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comments23.xml" ContentType="application/vnd.openxmlformats-officedocument.spreadsheetml.comments+xml"/>
  <Override PartName="/xl/comments12.xml" ContentType="application/vnd.openxmlformats-officedocument.spreadsheetml.comments+xml"/>
  <Override PartName="/xl/_rels/workbook.xml.rels" ContentType="application/vnd.openxmlformats-package.relationships+xml"/>
  <Override PartName="/xl/comments2.xml" ContentType="application/vnd.openxmlformats-officedocument.spreadsheetml.comments+xml"/>
  <Override PartName="/xl/comments24.xml" ContentType="application/vnd.openxmlformats-officedocument.spreadsheetml.comments+xml"/>
  <Override PartName="/xl/drawings/vmlDrawing13.vml" ContentType="application/vnd.openxmlformats-officedocument.vmlDrawing"/>
  <Override PartName="/xl/drawings/vmlDrawing12.vml" ContentType="application/vnd.openxmlformats-officedocument.vmlDrawing"/>
  <Override PartName="/xl/drawings/vmlDrawing11.vml" ContentType="application/vnd.openxmlformats-officedocument.vmlDrawing"/>
  <Override PartName="/xl/drawings/vmlDrawing10.vml" ContentType="application/vnd.openxmlformats-officedocument.vmlDrawing"/>
  <Override PartName="/xl/drawings/vmlDrawing9.vml" ContentType="application/vnd.openxmlformats-officedocument.vmlDrawing"/>
  <Override PartName="/xl/drawings/vmlDrawing8.vml" ContentType="application/vnd.openxmlformats-officedocument.vmlDrawing"/>
  <Override PartName="/xl/drawings/vmlDrawing7.vml" ContentType="application/vnd.openxmlformats-officedocument.vmlDrawing"/>
  <Override PartName="/xl/drawings/vmlDrawing6.vml" ContentType="application/vnd.openxmlformats-officedocument.vmlDrawing"/>
  <Override PartName="/xl/drawings/vmlDrawing5.vml" ContentType="application/vnd.openxmlformats-officedocument.vmlDrawing"/>
  <Override PartName="/xl/drawings/vmlDrawing4.vml" ContentType="application/vnd.openxmlformats-officedocument.vmlDrawing"/>
  <Override PartName="/xl/drawings/vmlDrawing3.vml" ContentType="application/vnd.openxmlformats-officedocument.vmlDrawing"/>
  <Override PartName="/xl/drawings/vmlDrawing24.vml" ContentType="application/vnd.openxmlformats-officedocument.vmlDrawing"/>
  <Override PartName="/xl/drawings/vmlDrawing23.vml" ContentType="application/vnd.openxmlformats-officedocument.vmlDrawing"/>
  <Override PartName="/xl/drawings/vmlDrawing22.vml" ContentType="application/vnd.openxmlformats-officedocument.vmlDrawing"/>
  <Override PartName="/xl/drawings/vmlDrawing21.vml" ContentType="application/vnd.openxmlformats-officedocument.vmlDrawing"/>
  <Override PartName="/xl/drawings/vmlDrawing19.vml" ContentType="application/vnd.openxmlformats-officedocument.vmlDrawing"/>
  <Override PartName="/xl/drawings/vmlDrawing20.vml" ContentType="application/vnd.openxmlformats-officedocument.vmlDrawing"/>
  <Override PartName="/xl/drawings/vmlDrawing18.vml" ContentType="application/vnd.openxmlformats-officedocument.vmlDrawing"/>
  <Override PartName="/xl/drawings/vmlDrawing17.vml" ContentType="application/vnd.openxmlformats-officedocument.vmlDrawing"/>
  <Override PartName="/xl/drawings/vmlDrawing16.vml" ContentType="application/vnd.openxmlformats-officedocument.vmlDrawing"/>
  <Override PartName="/xl/drawings/vmlDrawing2.vml" ContentType="application/vnd.openxmlformats-officedocument.vmlDrawing"/>
  <Override PartName="/xl/drawings/vmlDrawing15.vml" ContentType="application/vnd.openxmlformats-officedocument.vmlDrawing"/>
  <Override PartName="/xl/drawings/vmlDrawing1.vml" ContentType="application/vnd.openxmlformats-officedocument.vmlDrawing"/>
  <Override PartName="/xl/drawings/vmlDrawing14.vml" ContentType="application/vnd.openxmlformats-officedocument.vmlDrawing"/>
  <Override PartName="/xl/comments14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6.xml" ContentType="application/vnd.openxmlformats-officedocument.spreadsheetml.comments+xml"/>
  <Override PartName="/xl/comments20.xml" ContentType="application/vnd.openxmlformats-officedocument.spreadsheetml.comments+xml"/>
  <Override PartName="/xl/comments18.xml" ContentType="application/vnd.openxmlformats-officedocument.spreadsheetml.comments+xml"/>
  <Override PartName="/xl/theme/theme1.xml" ContentType="application/vnd.openxmlformats-officedocument.theme+xml"/>
  <Override PartName="/xl/comments8.xml" ContentType="application/vnd.openxmlformats-officedocument.spreadsheetml.comments+xml"/>
  <Override PartName="/xl/sharedStrings.xml" ContentType="application/vnd.openxmlformats-officedocument.spreadsheetml.sharedStrings+xml"/>
  <Override PartName="/xl/worksheets/_rels/sheet15.xml.rels" ContentType="application/vnd.openxmlformats-package.relationships+xml"/>
  <Override PartName="/xl/worksheets/_rels/sheet16.xml.rels" ContentType="application/vnd.openxmlformats-package.relationships+xml"/>
  <Override PartName="/xl/worksheets/_rels/sheet17.xml.rels" ContentType="application/vnd.openxmlformats-package.relationships+xml"/>
  <Override PartName="/xl/worksheets/_rels/sheet18.xml.rels" ContentType="application/vnd.openxmlformats-package.relationships+xml"/>
  <Override PartName="/xl/worksheets/_rels/sheet20.xml.rels" ContentType="application/vnd.openxmlformats-package.relationships+xml"/>
  <Override PartName="/xl/worksheets/_rels/sheet2.xml.rels" ContentType="application/vnd.openxmlformats-package.relationships+xml"/>
  <Override PartName="/xl/worksheets/_rels/sheet19.xml.rels" ContentType="application/vnd.openxmlformats-package.relationships+xml"/>
  <Override PartName="/xl/worksheets/_rels/sheet21.xml.rels" ContentType="application/vnd.openxmlformats-package.relationships+xml"/>
  <Override PartName="/xl/worksheets/_rels/sheet3.xml.rels" ContentType="application/vnd.openxmlformats-package.relationships+xml"/>
  <Override PartName="/xl/worksheets/_rels/sheet22.xml.rels" ContentType="application/vnd.openxmlformats-package.relationships+xml"/>
  <Override PartName="/xl/worksheets/_rels/sheet23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24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25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5.xml" ContentType="application/vnd.openxmlformats-officedocument.spreadsheetml.worksheet+xml"/>
  <Override PartName="/xl/worksheets/sheet2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comments9.xml" ContentType="application/vnd.openxmlformats-officedocument.spreadsheetml.comments+xml"/>
  <Override PartName="/xl/comments19.xml" ContentType="application/vnd.openxmlformats-officedocument.spreadsheetml.comments+xml"/>
  <Override PartName="/xl/comments21.xml" ContentType="application/vnd.openxmlformats-officedocument.spreadsheetml.comments+xml"/>
  <Override PartName="/xl/comments3.xml" ContentType="application/vnd.openxmlformats-officedocument.spreadsheetml.comments+xml"/>
  <Override PartName="/xl/comments13.xml" ContentType="application/vnd.openxmlformats-officedocument.spreadsheetml.comments+xml"/>
  <Override PartName="/xl/comments7.xml" ContentType="application/vnd.openxmlformats-officedocument.spreadsheetml.comments+xml"/>
  <Override PartName="/xl/comments17.xml" ContentType="application/vnd.openxmlformats-officedocument.spreadsheetml.comments+xml"/>
  <Override PartName="/xl/comments25.xml" ContentType="application/vnd.openxmlformats-officedocument.spreadsheetml.comments+xml"/>
  <Override PartName="/xl/workbook.xml" ContentType="application/vnd.openxmlformats-officedocument.spreadsheetml.sheet.main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styles.xml" ContentType="application/vnd.openxmlformats-officedocument.spreadsheetml.styles+xml"/>
  <Override PartName="/xl/comments2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 Scorecard" sheetId="1" state="visible" r:id="rId3"/>
    <sheet name="Dashboard Calc" sheetId="2" state="visible" r:id="rId4"/>
    <sheet name="OM Actuals" sheetId="3" state="visible" r:id="rId5"/>
    <sheet name="Unit Mix+Rents" sheetId="4" state="visible" r:id="rId6"/>
    <sheet name="Rev+Expenses" sheetId="5" state="visible" r:id="rId7"/>
    <sheet name="Expense Detail" sheetId="6" state="visible" r:id="rId8"/>
    <sheet name="Rehab Scope" sheetId="7" state="visible" r:id="rId9"/>
    <sheet name="Sources &amp; Uses" sheetId="8" state="visible" r:id="rId10"/>
    <sheet name="S&amp;U Timing" sheetId="9" state="visible" r:id="rId11"/>
    <sheet name="Tax Credit Calc" sheetId="10" state="visible" r:id="rId12"/>
    <sheet name="Bridge Period" sheetId="11" state="visible" r:id="rId13"/>
    <sheet name="Financing Assumptions" sheetId="12" state="visible" r:id="rId14"/>
    <sheet name="CH - Pro Forma" sheetId="13" state="visible" r:id="rId15"/>
    <sheet name="CH - Waterfall" sheetId="14" state="visible" r:id="rId16"/>
    <sheet name="NZ - Pro Forma" sheetId="15" state="visible" r:id="rId17"/>
    <sheet name="NZ - Waterfall" sheetId="16" state="visible" r:id="rId18"/>
    <sheet name="LOM - Pro Forma" sheetId="17" state="visible" r:id="rId19"/>
    <sheet name="LOM - Waterfall" sheetId="18" state="visible" r:id="rId20"/>
    <sheet name="SA - Pro Forma" sheetId="19" state="visible" r:id="rId21"/>
    <sheet name="SA - Waterfall" sheetId="20" state="visible" r:id="rId22"/>
    <sheet name="Max Price Solver" sheetId="21" state="visible" r:id="rId23"/>
    <sheet name="Portfolio Consolidation" sheetId="22" state="visible" r:id="rId24"/>
    <sheet name="Timeline" sheetId="23" state="visible" r:id="rId25"/>
    <sheet name="QAP_Rule_Register" sheetId="24" state="hidden" r:id="rId26"/>
    <sheet name="TDC Limits" sheetId="25" state="hidden" r:id="rId27"/>
  </sheets>
  <definedNames>
    <definedName function="false" hidden="false" localSheetId="1" name="_xlnm.Print_Area" vbProcedure="false">'Dashboard Calc'!$A$1:$G$41</definedName>
    <definedName function="false" hidden="false" localSheetId="0" name="_xlnm.Print_Area" vbProcedure="false">'Model Scorecard'!$A$1:$H$29</definedName>
    <definedName function="false" hidden="false" localSheetId="4" name="_xlnm.Print_Area" vbProcedure="false">'Rev+Expenses'!$A$1:$G$34</definedName>
    <definedName function="false" hidden="false" localSheetId="7" name="_xlnm.Print_Area" vbProcedure="false">'Sources &amp; Uses'!$A$1:$G$33</definedName>
    <definedName function="false" hidden="false" name="AMFeeCap" vbProcedure="false">QAP_Rule_Register!$H$23</definedName>
    <definedName function="false" hidden="false" name="ArchPct" vbProcedure="false">QAP_Rule_Register!$H$16</definedName>
    <definedName function="false" hidden="false" name="Bond50Min" vbProcedure="false">QAP_Rule_Register!$B$66</definedName>
    <definedName function="false" hidden="false" name="BoostCapPct" vbProcedure="false">QAP_Rule_Register!$H$10</definedName>
    <definedName function="false" hidden="false" name="BuilderOHPct" vbProcedure="false">QAP_Rule_Register!$H$18</definedName>
    <definedName function="false" hidden="false" name="BuilderProfitPct" vbProcedure="false">QAP_Rule_Register!$H$17</definedName>
    <definedName function="false" hidden="false" name="CashFlowCeilPct" vbProcedure="false">QAP_Rule_Register!$H$36</definedName>
    <definedName function="false" hidden="false" name="CH_AcqBasis" vbProcedure="false">'Tax Credit Calc'!$C$10</definedName>
    <definedName function="false" hidden="false" name="CH_AcqDate" vbProcedure="false">'Dashboard Calc'!$C$14</definedName>
    <definedName function="false" hidden="false" name="CH_AcqPrice" vbProcedure="false">'Dashboard Calc'!$C$12</definedName>
    <definedName function="false" hidden="false" name="CH_AnnCredits" vbProcedure="false">'Tax Credit Calc'!$C$25</definedName>
    <definedName function="false" hidden="false" name="CH_AssumedAtAcq" vbProcedure="false">'Financing Assumptions'!$C$10</definedName>
    <definedName function="false" hidden="false" name="CH_AssumedAtClose" vbProcedure="false">'Financing Assumptions'!$C$11</definedName>
    <definedName function="false" hidden="false" name="CH_BondTest" vbProcedure="false">'Tax Credit Calc'!$C$35</definedName>
    <definedName function="false" hidden="false" name="CH_BridgeCF" vbProcedure="false">'Bridge Period'!$L$15</definedName>
    <definedName function="false" hidden="false" name="CH_BridgeDSCR" vbProcedure="false">'Bridge Period'!$L$17</definedName>
    <definedName function="false" hidden="false" name="CH_BridgeMonths" vbProcedure="false">'Dashboard Calc'!$C$16</definedName>
    <definedName function="false" hidden="false" name="CH_BurnCurve" vbProcedure="false">'Rehab Scope'!$C$43:$C$60</definedName>
    <definedName function="false" hidden="false" name="CH_CapCheck" vbProcedure="false">'Unit Mix+Rents'!$L$7:$L$10</definedName>
    <definedName function="false" hidden="false" name="CH_CFBDS" vbProcedure="false">'Rev+Expenses'!$C$29</definedName>
    <definedName function="false" hidden="false" name="CH_ConstrInt" vbProcedure="false">'S&amp;U Timing'!$U$15</definedName>
    <definedName function="false" hidden="false" name="CH_CurMonthly" vbProcedure="false">'Unit Mix+Rents'!$E$11</definedName>
    <definedName function="false" hidden="false" name="CH_DDF" vbProcedure="false">'Sources &amp; Uses'!$C$10</definedName>
    <definedName function="false" hidden="false" name="CH_DDFPayback" vbProcedure="false">'CH - Waterfall'!$C$35</definedName>
    <definedName function="false" hidden="false" name="CH_DevFee" vbProcedure="false">'Sources &amp; Uses'!$C$24</definedName>
    <definedName function="false" hidden="false" name="CH_EGI" vbProcedure="false">'Rev+Expenses'!$C$15</definedName>
    <definedName function="false" hidden="false" name="CH_Equity" vbProcedure="false">'Tax Credit Calc'!$C$28</definedName>
    <definedName function="false" hidden="false" name="CH_FinFees" vbProcedure="false">'Financing Assumptions'!$C$30</definedName>
    <definedName function="false" hidden="false" name="CH_GPR" vbProcedure="false">'Rev+Expenses'!$C$8</definedName>
    <definedName function="false" hidden="false" name="CH_HAPUnits" vbProcedure="false">'Dashboard Calc'!$C$5</definedName>
    <definedName function="false" hidden="false" name="CH_InflYears" vbProcedure="false">'Dashboard Calc'!$C$19</definedName>
    <definedName function="false" hidden="false" name="CH_InPlaceMonthly" vbProcedure="false">'Unit Mix+Rents'!$M$11</definedName>
    <definedName function="false" hidden="false" name="CH_InsExp" vbProcedure="false">'Expense Detail'!$F$35</definedName>
    <definedName function="false" hidden="false" name="CH_LandPct" vbProcedure="false">'Dashboard Calc'!$C$13</definedName>
    <definedName function="false" hidden="false" name="CH_MaxOutstanding" vbProcedure="false">'S&amp;U Timing'!$U$18</definedName>
    <definedName function="false" hidden="false" name="CH_MaxPrice" vbProcedure="false">'Max Price Solver'!$C$45</definedName>
    <definedName function="false" hidden="false" name="CH_MgmtFeeCell" vbProcedure="false">'Expense Detail'!$F$10</definedName>
    <definedName function="false" hidden="false" name="CH_MixCount" vbProcedure="false">'Unit Mix+Rents'!$C$7:$C$10</definedName>
    <definedName function="false" hidden="false" name="CH_MixCur" vbProcedure="false">'Unit Mix+Rents'!$E$7:$E$10</definedName>
    <definedName function="false" hidden="false" name="CH_MixPR" vbProcedure="false">'Unit Mix+Rents'!$H$7:$H$10</definedName>
    <definedName function="false" hidden="false" name="CH_MixSF" vbProcedure="false">'Unit Mix+Rents'!$D$7:$D$10</definedName>
    <definedName function="false" hidden="false" name="CH_MixTier" vbProcedure="false">'Unit Mix+Rents'!$N$7:$N$10</definedName>
    <definedName function="false" hidden="false" name="CH_MixTrend" vbProcedure="false">'Unit Mix+Rents'!$G$7:$G$10</definedName>
    <definedName function="false" hidden="false" name="CH_NOI" vbProcedure="false">'Rev+Expenses'!$C$26</definedName>
    <definedName function="false" hidden="false" name="CH_NotePI" vbProcedure="false">'Bridge Period'!$K$4</definedName>
    <definedName function="false" hidden="false" name="CH_NoteRate" vbProcedure="false">'Financing Assumptions'!$C$6</definedName>
    <definedName function="false" hidden="false" name="CH_NRSF" vbProcedure="false">'Dashboard Calc'!$C$6</definedName>
    <definedName function="false" hidden="false" name="CH_OfflinePct" vbProcedure="false">'Rehab Scope'!$C$39</definedName>
    <definedName function="false" hidden="false" name="CH_OpexAdmin" vbProcedure="false">'Expense Detail'!$F$16</definedName>
    <definedName function="false" hidden="false" name="CH_OpexOM" vbProcedure="false">'Expense Detail'!$F$31</definedName>
    <definedName function="false" hidden="false" name="CH_OpexStab" vbProcedure="false">'Rev+Expenses'!$C$24</definedName>
    <definedName function="false" hidden="false" name="CH_OpexTI" vbProcedure="false">'Expense Detail'!$F$39</definedName>
    <definedName function="false" hidden="false" name="CH_OpexTotal" vbProcedure="false">'Expense Detail'!$F$40</definedName>
    <definedName function="false" hidden="false" name="CH_OpexUtil" vbProcedure="false">'Expense Detail'!$F$22</definedName>
    <definedName function="false" hidden="false" name="CH_OtherInc" vbProcedure="false">'Rev+Expenses'!$C$9</definedName>
    <definedName function="false" hidden="false" name="CH_PayinAmts" vbProcedure="false">'Tax Credit Calc'!$E$41:$E$46</definedName>
    <definedName function="false" hidden="false" name="CH_PayinCheck" vbProcedure="false">'Tax Credit Calc'!$D$47</definedName>
    <definedName function="false" hidden="false" name="CH_PayinMonths" vbProcedure="false">'Tax Credit Calc'!$C$41:$C$46</definedName>
    <definedName function="false" hidden="false" name="CH_PermDS" vbProcedure="false">'Financing Assumptions'!$C$27</definedName>
    <definedName function="false" hidden="false" name="CH_PermLoan" vbProcedure="false">'Financing Assumptions'!$C$26</definedName>
    <definedName function="false" hidden="false" name="CH_PF_CF" vbProcedure="false">'CH - Pro Forma'!$D$36:$W$36</definedName>
    <definedName function="false" hidden="false" name="CH_PF_DSCR" vbProcedure="false">'CH - Pro Forma'!$D$39:$W$39</definedName>
    <definedName function="false" hidden="false" name="CH_PF_NOI" vbProcedure="false">'CH - Pro Forma'!$D$25:$W$25</definedName>
    <definedName function="false" hidden="false" name="CH_PRMonthly" vbProcedure="false">'Unit Mix+Rents'!$H$11</definedName>
    <definedName function="false" hidden="false" name="CH_RehabBase" vbProcedure="false">'Rehab Scope'!$C$9</definedName>
    <definedName function="false" hidden="false" name="CH_RehabBasis" vbProcedure="false">'Tax Credit Calc'!$C$20</definedName>
    <definedName function="false" hidden="false" name="CH_RehabMonths" vbProcedure="false">'Dashboard Calc'!$C$17</definedName>
    <definedName function="false" hidden="false" name="CH_RehabPU" vbProcedure="false">'Rehab Scope'!$C$13</definedName>
    <definedName function="false" hidden="false" name="CH_RehabTotal" vbProcedure="false">'Rehab Scope'!$C$14</definedName>
    <definedName function="false" hidden="false" name="CH_RelocTotal" vbProcedure="false">'Rehab Scope'!$C$34</definedName>
    <definedName function="false" hidden="false" name="CH_Reserves" vbProcedure="false">'Expense Detail'!$F$41</definedName>
    <definedName function="false" hidden="false" name="CH_ReservesStab" vbProcedure="false">'Rev+Expenses'!$C$28</definedName>
    <definedName function="false" hidden="false" name="CH_ResynDate" vbProcedure="false">'Dashboard Calc'!$C$15</definedName>
    <definedName function="false" hidden="false" name="CH_SchedDate" vbProcedure="false">'Unit Mix+Rents'!$C$5</definedName>
    <definedName function="false" hidden="false" name="CH_SelDS" vbProcedure="false">'Financing Assumptions'!$C$39</definedName>
    <definedName function="false" hidden="false" name="CH_SelProceeds" vbProcedure="false">'Financing Assumptions'!$C$38</definedName>
    <definedName function="false" hidden="false" name="CH_Sources" vbProcedure="false">'Sources &amp; Uses'!$C$13</definedName>
    <definedName function="false" hidden="false" name="CH_Surplus" vbProcedure="false">'Sources &amp; Uses'!$C$29</definedName>
    <definedName function="false" hidden="false" name="CH_TDCLimit" vbProcedure="false">'TDC Limits'!$B$48</definedName>
    <definedName function="false" hidden="false" name="CH_TDCLimitPU" vbProcedure="false">'TDC Limits'!$B$47</definedName>
    <definedName function="false" hidden="false" name="CH_TDCpu" vbProcedure="false">'Sources &amp; Uses'!$C$32</definedName>
    <definedName function="false" hidden="false" name="CH_TrendMonthly" vbProcedure="false">'Unit Mix+Rents'!$G$11</definedName>
    <definedName function="false" hidden="false" name="CH_Units" vbProcedure="false">'Dashboard Calc'!$C$4</definedName>
    <definedName function="false" hidden="false" name="CH_Uses" vbProcedure="false">'Sources &amp; Uses'!$C$26</definedName>
    <definedName function="false" hidden="false" name="CH_VacHAP" vbProcedure="false">'Rev+Expenses'!$C$11</definedName>
    <definedName function="false" hidden="false" name="CH_Y1OCAF" vbProcedure="false">'Unit Mix+Rents'!$G$5</definedName>
    <definedName function="false" hidden="false" name="ConsolSummaryAnchor" vbProcedure="false">'Portfolio Consolidation'!$B$61</definedName>
    <definedName function="false" hidden="false" name="ContingencyPct" vbProcedure="false">QAP_Rule_Register!$H$20</definedName>
    <definedName function="false" hidden="false" name="CostInflation" vbProcedure="false">'Dashboard Calc'!$C$30</definedName>
    <definedName function="false" hidden="false" name="DebtStrategy" vbProcedure="false">'Dashboard Calc'!$C$35</definedName>
    <definedName function="false" hidden="false" name="DevFeeCapAbs" vbProcedure="false">QAP_Rule_Register!$B$57</definedName>
    <definedName function="false" hidden="false" name="DevFeeCapPct" vbProcedure="false">QAP_Rule_Register!$B$58</definedName>
    <definedName function="false" hidden="false" name="DSCR15Floor" vbProcedure="false">QAP_Rule_Register!$B$63</definedName>
    <definedName function="false" hidden="false" name="DSCRCeil" vbProcedure="false">QAP_Rule_Register!$B$62</definedName>
    <definedName function="false" hidden="false" name="DSCRFloor" vbProcedure="false">QAP_Rule_Register!$B$61</definedName>
    <definedName function="false" hidden="false" name="EquityPrice" vbProcedure="false">'Dashboard Calc'!$C$31</definedName>
    <definedName function="false" hidden="false" name="ExpGrowth" vbProcedure="false">'Dashboard Calc'!$C$27</definedName>
    <definedName function="false" hidden="false" name="ExpTrendMin" vbProcedure="false">QAP_Rule_Register!$H$30</definedName>
    <definedName function="false" hidden="false" name="GenReqPct" vbProcedure="false">QAP_Rule_Register!$H$19</definedName>
    <definedName function="false" hidden="false" name="HoldEnd" vbProcedure="false">'Dashboard Calc'!$C$18</definedName>
    <definedName function="false" hidden="false" name="InsGrowth" vbProcedure="false">'Dashboard Calc'!$C$28</definedName>
    <definedName function="false" hidden="false" name="LIHTCRate4" vbProcedure="false">QAP_Rule_Register!$B$64</definedName>
    <definedName function="false" hidden="false" name="LIHTCRate9" vbProcedure="false">QAP_Rule_Register!$B$65</definedName>
    <definedName function="false" hidden="false" name="LOM_AcqBasis" vbProcedure="false">'Tax Credit Calc'!$E$10</definedName>
    <definedName function="false" hidden="false" name="LOM_AcqDate" vbProcedure="false">'Dashboard Calc'!$E$14</definedName>
    <definedName function="false" hidden="false" name="LOM_AcqPrice" vbProcedure="false">'Dashboard Calc'!$E$12</definedName>
    <definedName function="false" hidden="false" name="LOM_AnnCredits" vbProcedure="false">'Tax Credit Calc'!$E$25</definedName>
    <definedName function="false" hidden="false" name="LOM_AssumedAtAcq" vbProcedure="false">'Financing Assumptions'!$E$10</definedName>
    <definedName function="false" hidden="false" name="LOM_AssumedAtClose" vbProcedure="false">'Financing Assumptions'!$E$11</definedName>
    <definedName function="false" hidden="false" name="LOM_BondTest" vbProcedure="false">'Tax Credit Calc'!$E$35</definedName>
    <definedName function="false" hidden="false" name="LOM_BridgeCF" vbProcedure="false">'Bridge Period'!$L$47</definedName>
    <definedName function="false" hidden="false" name="LOM_BridgeDSCR" vbProcedure="false">'Bridge Period'!$L$49</definedName>
    <definedName function="false" hidden="false" name="LOM_BridgeMonths" vbProcedure="false">'Dashboard Calc'!$E$16</definedName>
    <definedName function="false" hidden="false" name="LOM_BurnCurve" vbProcedure="false">'Rehab Scope'!$E$43:$E$60</definedName>
    <definedName function="false" hidden="false" name="LOM_CapCheck" vbProcedure="false">'Unit Mix+Rents'!$L$26:$L$28</definedName>
    <definedName function="false" hidden="false" name="LOM_CFBDS" vbProcedure="false">'Rev+Expenses'!$E$29</definedName>
    <definedName function="false" hidden="false" name="LOM_ConstrInt" vbProcedure="false">'S&amp;U Timing'!$U$49</definedName>
    <definedName function="false" hidden="false" name="LOM_CurMonthly" vbProcedure="false">'Unit Mix+Rents'!$E$29</definedName>
    <definedName function="false" hidden="false" name="LOM_DDF" vbProcedure="false">'Sources &amp; Uses'!$E$10</definedName>
    <definedName function="false" hidden="false" name="LOM_DDFPayback" vbProcedure="false">'LOM - Waterfall'!$C$35</definedName>
    <definedName function="false" hidden="false" name="LOM_DevFee" vbProcedure="false">'Sources &amp; Uses'!$E$24</definedName>
    <definedName function="false" hidden="false" name="LOM_EGI" vbProcedure="false">'Rev+Expenses'!$E$15</definedName>
    <definedName function="false" hidden="false" name="LOM_Equity" vbProcedure="false">'Tax Credit Calc'!$E$28</definedName>
    <definedName function="false" hidden="false" name="LOM_FinFees" vbProcedure="false">'Financing Assumptions'!$E$30</definedName>
    <definedName function="false" hidden="false" name="LOM_GPR" vbProcedure="false">'Rev+Expenses'!$E$8</definedName>
    <definedName function="false" hidden="false" name="LOM_HAPUnits" vbProcedure="false">'Dashboard Calc'!$E$5</definedName>
    <definedName function="false" hidden="false" name="LOM_InflYears" vbProcedure="false">'Dashboard Calc'!$E$19</definedName>
    <definedName function="false" hidden="false" name="LOM_InPlaceMonthly" vbProcedure="false">'Unit Mix+Rents'!$M$29</definedName>
    <definedName function="false" hidden="false" name="LOM_InsExp" vbProcedure="false">'Expense Detail'!$F$115</definedName>
    <definedName function="false" hidden="false" name="LOM_LandPct" vbProcedure="false">'Dashboard Calc'!$E$13</definedName>
    <definedName function="false" hidden="false" name="LOM_MaxOutstanding" vbProcedure="false">'S&amp;U Timing'!$U$52</definedName>
    <definedName function="false" hidden="false" name="LOM_MaxPrice" vbProcedure="false">'Max Price Solver'!$C$133</definedName>
    <definedName function="false" hidden="false" name="LOM_MgmtFeeCell" vbProcedure="false">'Expense Detail'!$F$90</definedName>
    <definedName function="false" hidden="false" name="LOM_MixCount" vbProcedure="false">'Unit Mix+Rents'!$C$26:$C$28</definedName>
    <definedName function="false" hidden="false" name="LOM_MixCur" vbProcedure="false">'Unit Mix+Rents'!$E$26:$E$28</definedName>
    <definedName function="false" hidden="false" name="LOM_MixPR" vbProcedure="false">'Unit Mix+Rents'!$H$26:$H$28</definedName>
    <definedName function="false" hidden="false" name="LOM_MixSF" vbProcedure="false">'Unit Mix+Rents'!$D$26:$D$28</definedName>
    <definedName function="false" hidden="false" name="LOM_MixTier" vbProcedure="false">'Unit Mix+Rents'!$N$26:$N$28</definedName>
    <definedName function="false" hidden="false" name="LOM_MixTrend" vbProcedure="false">'Unit Mix+Rents'!$G$26:$G$28</definedName>
    <definedName function="false" hidden="false" name="LOM_NOI" vbProcedure="false">'Rev+Expenses'!$E$26</definedName>
    <definedName function="false" hidden="false" name="LOM_NotePI" vbProcedure="false">'Bridge Period'!$K$36</definedName>
    <definedName function="false" hidden="false" name="LOM_NoteRate" vbProcedure="false">'Financing Assumptions'!$E$6</definedName>
    <definedName function="false" hidden="false" name="LOM_NRSF" vbProcedure="false">'Dashboard Calc'!$E$6</definedName>
    <definedName function="false" hidden="false" name="LOM_OfflinePct" vbProcedure="false">'Rehab Scope'!$E$39</definedName>
    <definedName function="false" hidden="false" name="LOM_OpexAdmin" vbProcedure="false">'Expense Detail'!$F$96</definedName>
    <definedName function="false" hidden="false" name="LOM_OpexOM" vbProcedure="false">'Expense Detail'!$F$111</definedName>
    <definedName function="false" hidden="false" name="LOM_OpexStab" vbProcedure="false">'Rev+Expenses'!$E$24</definedName>
    <definedName function="false" hidden="false" name="LOM_OpexTI" vbProcedure="false">'Expense Detail'!$F$119</definedName>
    <definedName function="false" hidden="false" name="LOM_OpexTotal" vbProcedure="false">'Expense Detail'!$F$120</definedName>
    <definedName function="false" hidden="false" name="LOM_OpexUtil" vbProcedure="false">'Expense Detail'!$F$102</definedName>
    <definedName function="false" hidden="false" name="LOM_OtherInc" vbProcedure="false">'Rev+Expenses'!$E$9</definedName>
    <definedName function="false" hidden="false" name="LOM_PayinAmts" vbProcedure="false">'Tax Credit Calc'!$E$61:$E$66</definedName>
    <definedName function="false" hidden="false" name="LOM_PayinCheck" vbProcedure="false">'Tax Credit Calc'!$D$67</definedName>
    <definedName function="false" hidden="false" name="LOM_PayinMonths" vbProcedure="false">'Tax Credit Calc'!$C$61:$C$66</definedName>
    <definedName function="false" hidden="false" name="LOM_PermDS" vbProcedure="false">'Financing Assumptions'!$E$27</definedName>
    <definedName function="false" hidden="false" name="LOM_PermLoan" vbProcedure="false">'Financing Assumptions'!$E$26</definedName>
    <definedName function="false" hidden="false" name="LOM_PF_CF" vbProcedure="false">'LOM - Pro Forma'!$D$36:$W$36</definedName>
    <definedName function="false" hidden="false" name="LOM_PF_DSCR" vbProcedure="false">'LOM - Pro Forma'!$D$39:$W$39</definedName>
    <definedName function="false" hidden="false" name="LOM_PF_NOI" vbProcedure="false">'LOM - Pro Forma'!$D$25:$W$25</definedName>
    <definedName function="false" hidden="false" name="LOM_PRMonthly" vbProcedure="false">'Unit Mix+Rents'!$H$29</definedName>
    <definedName function="false" hidden="false" name="LOM_RehabBase" vbProcedure="false">'Rehab Scope'!$E$9</definedName>
    <definedName function="false" hidden="false" name="LOM_RehabBasis" vbProcedure="false">'Tax Credit Calc'!$E$20</definedName>
    <definedName function="false" hidden="false" name="LOM_RehabMonths" vbProcedure="false">'Dashboard Calc'!$E$17</definedName>
    <definedName function="false" hidden="false" name="LOM_RehabPU" vbProcedure="false">'Rehab Scope'!$E$13</definedName>
    <definedName function="false" hidden="false" name="LOM_RehabTotal" vbProcedure="false">'Rehab Scope'!$E$14</definedName>
    <definedName function="false" hidden="false" name="LOM_RelocTotal" vbProcedure="false">'Rehab Scope'!$E$34</definedName>
    <definedName function="false" hidden="false" name="LOM_Reserves" vbProcedure="false">'Expense Detail'!$F$121</definedName>
    <definedName function="false" hidden="false" name="LOM_ReservesStab" vbProcedure="false">'Rev+Expenses'!$E$28</definedName>
    <definedName function="false" hidden="false" name="LOM_ResynDate" vbProcedure="false">'Dashboard Calc'!$E$15</definedName>
    <definedName function="false" hidden="false" name="LOM_SchedDate" vbProcedure="false">'Unit Mix+Rents'!$C$24</definedName>
    <definedName function="false" hidden="false" name="LOM_SelDS" vbProcedure="false">'Financing Assumptions'!$E$39</definedName>
    <definedName function="false" hidden="false" name="LOM_SelProceeds" vbProcedure="false">'Financing Assumptions'!$E$38</definedName>
    <definedName function="false" hidden="false" name="LOM_Sources" vbProcedure="false">'Sources &amp; Uses'!$E$13</definedName>
    <definedName function="false" hidden="false" name="LOM_Surplus" vbProcedure="false">'Sources &amp; Uses'!$E$29</definedName>
    <definedName function="false" hidden="false" name="LOM_TDCLimit" vbProcedure="false">'TDC Limits'!$D$48</definedName>
    <definedName function="false" hidden="false" name="LOM_TDCLimitPU" vbProcedure="false">'TDC Limits'!$D$47</definedName>
    <definedName function="false" hidden="false" name="LOM_TDCpu" vbProcedure="false">'Sources &amp; Uses'!$E$32</definedName>
    <definedName function="false" hidden="false" name="LOM_TrendMonthly" vbProcedure="false">'Unit Mix+Rents'!$G$29</definedName>
    <definedName function="false" hidden="false" name="LOM_Units" vbProcedure="false">'Dashboard Calc'!$E$4</definedName>
    <definedName function="false" hidden="false" name="LOM_Uses" vbProcedure="false">'Sources &amp; Uses'!$E$26</definedName>
    <definedName function="false" hidden="false" name="LOM_VacHAP" vbProcedure="false">'Rev+Expenses'!$E$11</definedName>
    <definedName function="false" hidden="false" name="LOM_Y1OCAF" vbProcedure="false">'Unit Mix+Rents'!$G$24</definedName>
    <definedName function="false" hidden="false" name="LTVCap" vbProcedure="false">'Dashboard Calc'!$C$34</definedName>
    <definedName function="false" hidden="false" name="MgmtFeePct" vbProcedure="false">'Dashboard Calc'!$C$38</definedName>
    <definedName function="false" hidden="false" name="MinRehabIRC" vbProcedure="false">QAP_Rule_Register!$B$67</definedName>
    <definedName function="false" hidden="false" name="MinRehabQAP" vbProcedure="false">QAP_Rule_Register!$B$68</definedName>
    <definedName function="false" hidden="false" name="NZ_AcqBasis" vbProcedure="false">'Tax Credit Calc'!$D$10</definedName>
    <definedName function="false" hidden="false" name="NZ_AcqDate" vbProcedure="false">'Dashboard Calc'!$D$14</definedName>
    <definedName function="false" hidden="false" name="NZ_AcqPrice" vbProcedure="false">'Dashboard Calc'!$D$12</definedName>
    <definedName function="false" hidden="false" name="NZ_AnnCredits" vbProcedure="false">'Tax Credit Calc'!$D$25</definedName>
    <definedName function="false" hidden="false" name="NZ_AssumedAtAcq" vbProcedure="false">'Financing Assumptions'!$D$10</definedName>
    <definedName function="false" hidden="false" name="NZ_AssumedAtClose" vbProcedure="false">'Financing Assumptions'!$D$11</definedName>
    <definedName function="false" hidden="false" name="NZ_BondTest" vbProcedure="false">'Tax Credit Calc'!$D$35</definedName>
    <definedName function="false" hidden="false" name="NZ_BridgeCF" vbProcedure="false">'Bridge Period'!$L$31</definedName>
    <definedName function="false" hidden="false" name="NZ_BridgeDSCR" vbProcedure="false">'Bridge Period'!$L$33</definedName>
    <definedName function="false" hidden="false" name="NZ_BridgeMonths" vbProcedure="false">'Dashboard Calc'!$D$16</definedName>
    <definedName function="false" hidden="false" name="NZ_BurnCurve" vbProcedure="false">'Rehab Scope'!$D$43:$D$60</definedName>
    <definedName function="false" hidden="false" name="NZ_CapCheck" vbProcedure="false">'Unit Mix+Rents'!$L$17:$L$19</definedName>
    <definedName function="false" hidden="false" name="NZ_CFBDS" vbProcedure="false">'Rev+Expenses'!$D$29</definedName>
    <definedName function="false" hidden="false" name="NZ_ConstrInt" vbProcedure="false">'S&amp;U Timing'!$U$32</definedName>
    <definedName function="false" hidden="false" name="NZ_CurMonthly" vbProcedure="false">'Unit Mix+Rents'!$E$20</definedName>
    <definedName function="false" hidden="false" name="NZ_DDF" vbProcedure="false">'Sources &amp; Uses'!$D$10</definedName>
    <definedName function="false" hidden="false" name="NZ_DDFPayback" vbProcedure="false">'NZ - Waterfall'!$C$35</definedName>
    <definedName function="false" hidden="false" name="NZ_DevFee" vbProcedure="false">'Sources &amp; Uses'!$D$24</definedName>
    <definedName function="false" hidden="false" name="NZ_EGI" vbProcedure="false">'Rev+Expenses'!$D$15</definedName>
    <definedName function="false" hidden="false" name="NZ_Equity" vbProcedure="false">'Tax Credit Calc'!$D$28</definedName>
    <definedName function="false" hidden="false" name="NZ_FinFees" vbProcedure="false">'Financing Assumptions'!$D$30</definedName>
    <definedName function="false" hidden="false" name="NZ_GPR" vbProcedure="false">'Rev+Expenses'!$D$8</definedName>
    <definedName function="false" hidden="false" name="NZ_HAPUnits" vbProcedure="false">'Dashboard Calc'!$D$5</definedName>
    <definedName function="false" hidden="false" name="NZ_HOMEPayoff" vbProcedure="false">'Financing Assumptions'!$D$16+'Financing Assumptions'!$D$17</definedName>
    <definedName function="false" hidden="false" name="NZ_InflYears" vbProcedure="false">'Dashboard Calc'!$D$19</definedName>
    <definedName function="false" hidden="false" name="NZ_InPlaceMonthly" vbProcedure="false">'Unit Mix+Rents'!$M$20</definedName>
    <definedName function="false" hidden="false" name="NZ_InsExp" vbProcedure="false">'Expense Detail'!$F$75</definedName>
    <definedName function="false" hidden="false" name="NZ_LandPct" vbProcedure="false">'Dashboard Calc'!$D$13</definedName>
    <definedName function="false" hidden="false" name="NZ_MaxOutstanding" vbProcedure="false">'S&amp;U Timing'!$U$35</definedName>
    <definedName function="false" hidden="false" name="NZ_MaxPrice" vbProcedure="false">'Max Price Solver'!$C$89</definedName>
    <definedName function="false" hidden="false" name="NZ_MgmtFeeCell" vbProcedure="false">'Expense Detail'!$F$50</definedName>
    <definedName function="false" hidden="false" name="NZ_MixCount" vbProcedure="false">'Unit Mix+Rents'!$C$17:$C$19</definedName>
    <definedName function="false" hidden="false" name="NZ_MixCur" vbProcedure="false">'Unit Mix+Rents'!$E$17:$E$19</definedName>
    <definedName function="false" hidden="false" name="NZ_MixPR" vbProcedure="false">'Unit Mix+Rents'!$H$17:$H$19</definedName>
    <definedName function="false" hidden="false" name="NZ_MixSF" vbProcedure="false">'Unit Mix+Rents'!$D$17:$D$19</definedName>
    <definedName function="false" hidden="false" name="NZ_MixTier" vbProcedure="false">'Unit Mix+Rents'!$N$17:$N$19</definedName>
    <definedName function="false" hidden="false" name="NZ_MixTrend" vbProcedure="false">'Unit Mix+Rents'!$G$17:$G$19</definedName>
    <definedName function="false" hidden="false" name="NZ_NOI" vbProcedure="false">'Rev+Expenses'!$D$26</definedName>
    <definedName function="false" hidden="false" name="NZ_NotePI" vbProcedure="false">'Bridge Period'!$K$20</definedName>
    <definedName function="false" hidden="false" name="NZ_NoteRate" vbProcedure="false">'Financing Assumptions'!$D$6</definedName>
    <definedName function="false" hidden="false" name="NZ_NRSF" vbProcedure="false">'Dashboard Calc'!$D$6</definedName>
    <definedName function="false" hidden="false" name="NZ_OfflinePct" vbProcedure="false">'Rehab Scope'!$D$39</definedName>
    <definedName function="false" hidden="false" name="NZ_OpexAdmin" vbProcedure="false">'Expense Detail'!$F$56</definedName>
    <definedName function="false" hidden="false" name="NZ_OpexOM" vbProcedure="false">'Expense Detail'!$F$71</definedName>
    <definedName function="false" hidden="false" name="NZ_OpexStab" vbProcedure="false">'Rev+Expenses'!$D$24</definedName>
    <definedName function="false" hidden="false" name="NZ_OpexTI" vbProcedure="false">'Expense Detail'!$F$79</definedName>
    <definedName function="false" hidden="false" name="NZ_OpexTotal" vbProcedure="false">'Expense Detail'!$F$80</definedName>
    <definedName function="false" hidden="false" name="NZ_OpexUtil" vbProcedure="false">'Expense Detail'!$F$62</definedName>
    <definedName function="false" hidden="false" name="NZ_OtherInc" vbProcedure="false">'Rev+Expenses'!$D$9</definedName>
    <definedName function="false" hidden="false" name="NZ_PayinAmts" vbProcedure="false">'Tax Credit Calc'!$E$51:$E$56</definedName>
    <definedName function="false" hidden="false" name="NZ_PayinCheck" vbProcedure="false">'Tax Credit Calc'!$D$57</definedName>
    <definedName function="false" hidden="false" name="NZ_PayinMonths" vbProcedure="false">'Tax Credit Calc'!$C$51:$C$56</definedName>
    <definedName function="false" hidden="false" name="NZ_PermDS" vbProcedure="false">'Financing Assumptions'!$D$27</definedName>
    <definedName function="false" hidden="false" name="NZ_PermLoan" vbProcedure="false">'Financing Assumptions'!$D$26</definedName>
    <definedName function="false" hidden="false" name="NZ_PF_CF" vbProcedure="false">'NZ - Pro Forma'!$D$36:$W$36</definedName>
    <definedName function="false" hidden="false" name="NZ_PF_DSCR" vbProcedure="false">'NZ - Pro Forma'!$D$39:$W$39</definedName>
    <definedName function="false" hidden="false" name="NZ_PF_NOI" vbProcedure="false">'NZ - Pro Forma'!$D$25:$W$25</definedName>
    <definedName function="false" hidden="false" name="NZ_PRMonthly" vbProcedure="false">'Unit Mix+Rents'!$H$20</definedName>
    <definedName function="false" hidden="false" name="NZ_RehabBase" vbProcedure="false">'Rehab Scope'!$D$9</definedName>
    <definedName function="false" hidden="false" name="NZ_RehabBasis" vbProcedure="false">'Tax Credit Calc'!$D$20</definedName>
    <definedName function="false" hidden="false" name="NZ_RehabMonths" vbProcedure="false">'Dashboard Calc'!$D$17</definedName>
    <definedName function="false" hidden="false" name="NZ_RehabPU" vbProcedure="false">'Rehab Scope'!$D$13</definedName>
    <definedName function="false" hidden="false" name="NZ_RehabTotal" vbProcedure="false">'Rehab Scope'!$D$14</definedName>
    <definedName function="false" hidden="false" name="NZ_RelocTotal" vbProcedure="false">'Rehab Scope'!$D$34</definedName>
    <definedName function="false" hidden="false" name="NZ_Reserves" vbProcedure="false">'Expense Detail'!$F$81</definedName>
    <definedName function="false" hidden="false" name="NZ_ReservesStab" vbProcedure="false">'Rev+Expenses'!$D$28</definedName>
    <definedName function="false" hidden="false" name="NZ_ResynDate" vbProcedure="false">'Dashboard Calc'!$D$15</definedName>
    <definedName function="false" hidden="false" name="NZ_SchedDate" vbProcedure="false">'Unit Mix+Rents'!$C$15</definedName>
    <definedName function="false" hidden="false" name="NZ_SelDS" vbProcedure="false">'Financing Assumptions'!$D$39</definedName>
    <definedName function="false" hidden="false" name="NZ_SelProceeds" vbProcedure="false">'Financing Assumptions'!$D$38</definedName>
    <definedName function="false" hidden="false" name="NZ_Sources" vbProcedure="false">'Sources &amp; Uses'!$D$13</definedName>
    <definedName function="false" hidden="false" name="NZ_Surplus" vbProcedure="false">'Sources &amp; Uses'!$D$29</definedName>
    <definedName function="false" hidden="false" name="NZ_TDCLimit" vbProcedure="false">'TDC Limits'!$C$48</definedName>
    <definedName function="false" hidden="false" name="NZ_TDCLimitPU" vbProcedure="false">'TDC Limits'!$C$47</definedName>
    <definedName function="false" hidden="false" name="NZ_TDCpu" vbProcedure="false">'Sources &amp; Uses'!$D$32</definedName>
    <definedName function="false" hidden="false" name="NZ_TrendMonthly" vbProcedure="false">'Unit Mix+Rents'!$G$20</definedName>
    <definedName function="false" hidden="false" name="NZ_Units" vbProcedure="false">'Dashboard Calc'!$D$4</definedName>
    <definedName function="false" hidden="false" name="NZ_Uses" vbProcedure="false">'Sources &amp; Uses'!$D$26</definedName>
    <definedName function="false" hidden="false" name="NZ_VacHAP" vbProcedure="false">'Rev+Expenses'!$D$11</definedName>
    <definedName function="false" hidden="false" name="NZ_Y1OCAF" vbProcedure="false">'Unit Mix+Rents'!$G$15</definedName>
    <definedName function="false" hidden="false" name="OCAF" vbProcedure="false">'Dashboard Calc'!$C$24</definedName>
    <definedName function="false" hidden="false" name="OCAF2027" vbProcedure="false">'Dashboard Calc'!$C$26</definedName>
    <definedName function="false" hidden="false" name="OCAFHaircut" vbProcedure="false">'Dashboard Calc'!$C$25</definedName>
    <definedName function="false" hidden="false" name="OpexMinPU" vbProcedure="false">QAP_Rule_Register!$H$21</definedName>
    <definedName function="false" hidden="false" name="OpReserveFrac" vbProcedure="false">QAP_Rule_Register!$H$22</definedName>
    <definedName function="false" hidden="false" name="PermAmort" vbProcedure="false">'Dashboard Calc'!$C$33</definedName>
    <definedName function="false" hidden="false" name="PermRate" vbProcedure="false">'Dashboard Calc'!$C$32</definedName>
    <definedName function="false" hidden="false" name="PoolCapMetro" vbProcedure="false">QAP_Rule_Register!$B$53</definedName>
    <definedName function="false" hidden="false" name="PoolCapReproc" vbProcedure="false">QAP_Rule_Register!$B$56</definedName>
    <definedName function="false" hidden="false" name="PoolCapRural" vbProcedure="false">QAP_Rule_Register!$B$54</definedName>
    <definedName function="false" hidden="false" name="PoolCapRuralQNP" vbProcedure="false">QAP_Rule_Register!$B$55</definedName>
    <definedName function="false" hidden="false" name="PortfolioMaxPrice" vbProcedure="false">'Max Price Solver'!$C$181</definedName>
    <definedName function="false" hidden="false" name="PostRehabUplift" vbProcedure="false">'Dashboard Calc'!$C$29</definedName>
    <definedName function="false" hidden="false" name="RehabPerUnit" vbProcedure="false">'Dashboard Calc'!$C$36</definedName>
    <definedName function="false" hidden="false" name="RelocPerUnit" vbProcedure="false">'Dashboard Calc'!$C$37</definedName>
    <definedName function="false" hidden="false" name="RentTrendMax" vbProcedure="false">QAP_Rule_Register!$H$28</definedName>
    <definedName function="false" hidden="false" name="ReserveFloorFamily" vbProcedure="false">QAP_Rule_Register!$B$51</definedName>
    <definedName function="false" hidden="false" name="ReserveFloorRehab" vbProcedure="false">QAP_Rule_Register!$B$52</definedName>
    <definedName function="false" hidden="false" name="ReserveFloorSenior" vbProcedure="false">QAP_Rule_Register!$B$50</definedName>
    <definedName function="false" hidden="false" name="SA_AcqBasis" vbProcedure="false">'Tax Credit Calc'!$F$10</definedName>
    <definedName function="false" hidden="false" name="SA_AcqDate" vbProcedure="false">'Dashboard Calc'!$F$14</definedName>
    <definedName function="false" hidden="false" name="SA_AcqPrice" vbProcedure="false">'Dashboard Calc'!$F$12</definedName>
    <definedName function="false" hidden="false" name="SA_AnnCredits" vbProcedure="false">'Tax Credit Calc'!$F$25</definedName>
    <definedName function="false" hidden="false" name="SA_AssumedAtAcq" vbProcedure="false">'Financing Assumptions'!$F$10</definedName>
    <definedName function="false" hidden="false" name="SA_AssumedAtClose" vbProcedure="false">'Financing Assumptions'!$F$11</definedName>
    <definedName function="false" hidden="false" name="SA_BondTest" vbProcedure="false">'Tax Credit Calc'!$F$35</definedName>
    <definedName function="false" hidden="false" name="SA_BridgeCF" vbProcedure="false">'Bridge Period'!$L$63</definedName>
    <definedName function="false" hidden="false" name="SA_BridgeDSCR" vbProcedure="false">'Bridge Period'!$L$65</definedName>
    <definedName function="false" hidden="false" name="SA_BridgeMonths" vbProcedure="false">'Dashboard Calc'!$F$16</definedName>
    <definedName function="false" hidden="false" name="SA_BurnCurve" vbProcedure="false">'Rehab Scope'!$F$43:$F$60</definedName>
    <definedName function="false" hidden="false" name="SA_CapCheck" vbProcedure="false">'Unit Mix+Rents'!$L$35:$L$47</definedName>
    <definedName function="false" hidden="false" name="SA_CFBDS" vbProcedure="false">'Rev+Expenses'!$F$29</definedName>
    <definedName function="false" hidden="false" name="SA_ConstrInt" vbProcedure="false">'S&amp;U Timing'!$U$66</definedName>
    <definedName function="false" hidden="false" name="SA_CurMonthly" vbProcedure="false">'Unit Mix+Rents'!$E$48</definedName>
    <definedName function="false" hidden="false" name="SA_DDF" vbProcedure="false">'Sources &amp; Uses'!$F$10</definedName>
    <definedName function="false" hidden="false" name="SA_DDFPayback" vbProcedure="false">'SA - Waterfall'!$C$35</definedName>
    <definedName function="false" hidden="false" name="SA_DevFee" vbProcedure="false">'Sources &amp; Uses'!$F$24</definedName>
    <definedName function="false" hidden="false" name="SA_EGI" vbProcedure="false">'Rev+Expenses'!$F$15</definedName>
    <definedName function="false" hidden="false" name="SA_Equity" vbProcedure="false">'Tax Credit Calc'!$F$28</definedName>
    <definedName function="false" hidden="false" name="SA_FinFees" vbProcedure="false">'Financing Assumptions'!$F$30</definedName>
    <definedName function="false" hidden="false" name="SA_GPR" vbProcedure="false">'Rev+Expenses'!$F$8</definedName>
    <definedName function="false" hidden="false" name="SA_HAPUnits" vbProcedure="false">'Dashboard Calc'!$F$5</definedName>
    <definedName function="false" hidden="false" name="SA_InflYears" vbProcedure="false">'Dashboard Calc'!$F$19</definedName>
    <definedName function="false" hidden="false" name="SA_InPlaceMonthly" vbProcedure="false">'Unit Mix+Rents'!$M$48</definedName>
    <definedName function="false" hidden="false" name="SA_InsExp" vbProcedure="false">'Expense Detail'!$F$155</definedName>
    <definedName function="false" hidden="false" name="SA_LandPct" vbProcedure="false">'Dashboard Calc'!$F$13</definedName>
    <definedName function="false" hidden="false" name="SA_MaxOutstanding" vbProcedure="false">'S&amp;U Timing'!$U$69</definedName>
    <definedName function="false" hidden="false" name="SA_MaxPrice" vbProcedure="false">'Max Price Solver'!$C$177</definedName>
    <definedName function="false" hidden="false" name="SA_MgmtFeeCell" vbProcedure="false">'Expense Detail'!$F$130</definedName>
    <definedName function="false" hidden="false" name="SA_MixCount" vbProcedure="false">'Unit Mix+Rents'!$C$35:$C$47</definedName>
    <definedName function="false" hidden="false" name="SA_MixCur" vbProcedure="false">'Unit Mix+Rents'!$E$35:$E$47</definedName>
    <definedName function="false" hidden="false" name="SA_MixPR" vbProcedure="false">'Unit Mix+Rents'!$H$35:$H$47</definedName>
    <definedName function="false" hidden="false" name="SA_MixSF" vbProcedure="false">'Unit Mix+Rents'!$D$35:$D$47</definedName>
    <definedName function="false" hidden="false" name="SA_MixTier" vbProcedure="false">'Unit Mix+Rents'!$N$35:$N$47</definedName>
    <definedName function="false" hidden="false" name="SA_MixTrend" vbProcedure="false">'Unit Mix+Rents'!$G$35:$G$47</definedName>
    <definedName function="false" hidden="false" name="SA_NOI" vbProcedure="false">'Rev+Expenses'!$F$26</definedName>
    <definedName function="false" hidden="false" name="SA_NotePI" vbProcedure="false">'Bridge Period'!$K$52</definedName>
    <definedName function="false" hidden="false" name="SA_NoteRate" vbProcedure="false">'Financing Assumptions'!$F$6</definedName>
    <definedName function="false" hidden="false" name="SA_NRSF" vbProcedure="false">'Dashboard Calc'!$F$6</definedName>
    <definedName function="false" hidden="false" name="SA_OfflinePct" vbProcedure="false">'Rehab Scope'!$F$39</definedName>
    <definedName function="false" hidden="false" name="SA_OpexAdmin" vbProcedure="false">'Expense Detail'!$F$136</definedName>
    <definedName function="false" hidden="false" name="SA_OpexOM" vbProcedure="false">'Expense Detail'!$F$151</definedName>
    <definedName function="false" hidden="false" name="SA_OpexStab" vbProcedure="false">'Rev+Expenses'!$F$24</definedName>
    <definedName function="false" hidden="false" name="SA_OpexTI" vbProcedure="false">'Expense Detail'!$F$159</definedName>
    <definedName function="false" hidden="false" name="SA_OpexTotal" vbProcedure="false">'Expense Detail'!$F$160</definedName>
    <definedName function="false" hidden="false" name="SA_OpexUtil" vbProcedure="false">'Expense Detail'!$F$142</definedName>
    <definedName function="false" hidden="false" name="SA_OtherInc" vbProcedure="false">'Rev+Expenses'!$F$9</definedName>
    <definedName function="false" hidden="false" name="SA_PayinAmts" vbProcedure="false">'Tax Credit Calc'!$E$71:$E$76</definedName>
    <definedName function="false" hidden="false" name="SA_PayinCheck" vbProcedure="false">'Tax Credit Calc'!$D$77</definedName>
    <definedName function="false" hidden="false" name="SA_PayinMonths" vbProcedure="false">'Tax Credit Calc'!$C$71:$C$76</definedName>
    <definedName function="false" hidden="false" name="SA_PermDS" vbProcedure="false">'Financing Assumptions'!$F$27</definedName>
    <definedName function="false" hidden="false" name="SA_PermLoan" vbProcedure="false">'Financing Assumptions'!$F$26</definedName>
    <definedName function="false" hidden="false" name="SA_PF_CF" vbProcedure="false">'SA - Pro Forma'!$D$36:$W$36</definedName>
    <definedName function="false" hidden="false" name="SA_PF_DSCR" vbProcedure="false">'SA - Pro Forma'!$D$39:$W$39</definedName>
    <definedName function="false" hidden="false" name="SA_PF_NOI" vbProcedure="false">'SA - Pro Forma'!$D$25:$W$25</definedName>
    <definedName function="false" hidden="false" name="SA_PRMonthly" vbProcedure="false">'Unit Mix+Rents'!$H$48</definedName>
    <definedName function="false" hidden="false" name="SA_RehabBase" vbProcedure="false">'Rehab Scope'!$F$9</definedName>
    <definedName function="false" hidden="false" name="SA_RehabBasis" vbProcedure="false">'Tax Credit Calc'!$F$20</definedName>
    <definedName function="false" hidden="false" name="SA_RehabMonths" vbProcedure="false">'Dashboard Calc'!$F$17</definedName>
    <definedName function="false" hidden="false" name="SA_RehabPU" vbProcedure="false">'Rehab Scope'!$F$13</definedName>
    <definedName function="false" hidden="false" name="SA_RehabTotal" vbProcedure="false">'Rehab Scope'!$F$14</definedName>
    <definedName function="false" hidden="false" name="SA_RelocTotal" vbProcedure="false">'Rehab Scope'!$F$34</definedName>
    <definedName function="false" hidden="false" name="SA_Reserves" vbProcedure="false">'Expense Detail'!$F$161</definedName>
    <definedName function="false" hidden="false" name="SA_ReservesStab" vbProcedure="false">'Rev+Expenses'!$F$28</definedName>
    <definedName function="false" hidden="false" name="SA_ResynDate" vbProcedure="false">'Dashboard Calc'!$F$15</definedName>
    <definedName function="false" hidden="false" name="SA_SchedDate" vbProcedure="false">'Unit Mix+Rents'!$C$33</definedName>
    <definedName function="false" hidden="false" name="SA_SelDS" vbProcedure="false">'Financing Assumptions'!$F$39</definedName>
    <definedName function="false" hidden="false" name="SA_SelProceeds" vbProcedure="false">'Financing Assumptions'!$F$38</definedName>
    <definedName function="false" hidden="false" name="SA_Sources" vbProcedure="false">'Sources &amp; Uses'!$F$13</definedName>
    <definedName function="false" hidden="false" name="SA_Surplus" vbProcedure="false">'Sources &amp; Uses'!$F$29</definedName>
    <definedName function="false" hidden="false" name="SA_TDCLimit" vbProcedure="false">'TDC Limits'!$E$48</definedName>
    <definedName function="false" hidden="false" name="SA_TDCLimitPU" vbProcedure="false">'TDC Limits'!$E$47</definedName>
    <definedName function="false" hidden="false" name="SA_TDCpu" vbProcedure="false">'Sources &amp; Uses'!$F$32</definedName>
    <definedName function="false" hidden="false" name="SA_TrendMonthly" vbProcedure="false">'Unit Mix+Rents'!$G$48</definedName>
    <definedName function="false" hidden="false" name="SA_Units" vbProcedure="false">'Dashboard Calc'!$F$4</definedName>
    <definedName function="false" hidden="false" name="SA_Uses" vbProcedure="false">'Sources &amp; Uses'!$F$26</definedName>
    <definedName function="false" hidden="false" name="SA_VacHAP" vbProcedure="false">'Rev+Expenses'!$F$11</definedName>
    <definedName function="false" hidden="false" name="SA_Y1OCAF" vbProcedure="false">'Unit Mix+Rents'!$G$33</definedName>
    <definedName function="false" hidden="false" name="SUBalanceTol" vbProcedure="false">QAP_Rule_Register!$H$32</definedName>
    <definedName function="false" hidden="false" name="SyndCapPriv" vbProcedure="false">QAP_Rule_Register!$B$59</definedName>
    <definedName function="false" hidden="false" name="SyndCapPub" vbProcedure="false">QAP_Rule_Register!$B$60</definedName>
    <definedName function="false" hidden="false" name="TargetReturn" vbProcedure="false">'Dashboard Calc'!$C$23</definedName>
    <definedName function="false" hidden="false" name="VacancyMin" vbProcedure="false">QAP_Rule_Register!$H$26</definedName>
  </definedNames>
  <calcPr iterateCount="100" refMode="A1" iterate="true" iterateDelta="0.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9" authorId="0">
      <text>
        <r>
          <rPr>
            <sz val="10"/>
            <rFont val="Arial"/>
            <family val="2"/>
          </rPr>
          <t xml:space="preserve">LAHAP Model Build:
Years between acquisition (2026 dollars) and that property's resyndication close; drives the cost-inflation factor on S&amp;U rehab/fee lines (spec Sec. 2).</t>
        </r>
      </text>
    </comment>
    <comment ref="C3" authorId="0">
      <text>
        <r>
          <rPr>
            <sz val="10"/>
            <rFont val="Arial"/>
            <family val="2"/>
          </rPr>
          <t xml:space="preserve">LAHAP Model Build:
Source: SVN Offering Memorandum, pp.7/14/21/28.</t>
        </r>
      </text>
    </comment>
    <comment ref="C4" authorId="0">
      <text>
        <r>
          <rPr>
            <sz val="10"/>
            <rFont val="Arial"/>
            <family val="2"/>
          </rPr>
          <t xml:space="preserve">LAHAP Model Build:
Source: OM pp.7/14/21/28; confirmed vs Property Data Points.xlsx (DD) and 4.15.26 rent rolls.</t>
        </r>
      </text>
    </comment>
    <comment ref="C5" authorId="0">
      <text>
        <r>
          <rPr>
            <sz val="10"/>
            <rFont val="Arial"/>
            <family val="2"/>
          </rPr>
          <t xml:space="preserve">LAHAP Model Build:
Source: Property Data Points.xlsx (DD) — SA is 123 of 204 units (60.3%); others 100% HAP.</t>
        </r>
      </text>
    </comment>
    <comment ref="C6" authorId="0">
      <text>
        <r>
          <rPr>
            <sz val="10"/>
            <rFont val="Arial"/>
            <family val="2"/>
          </rPr>
          <t xml:space="preserve">LAHAP Model Build:
Source: OM pp.7/14/21/28.</t>
        </r>
      </text>
    </comment>
    <comment ref="C7" authorId="0">
      <text>
        <r>
          <rPr>
            <sz val="10"/>
            <rFont val="Arial"/>
            <family val="2"/>
          </rPr>
          <t xml:space="preserve">LAHAP Model Build:
Source: OM pp.7/14/21/28.</t>
        </r>
      </text>
    </comment>
    <comment ref="C8" authorId="0">
      <text>
        <r>
          <rPr>
            <sz val="10"/>
            <rFont val="Arial"/>
            <family val="2"/>
          </rPr>
          <t xml:space="preserve">LAHAP Model Build:
Spec Sec. 4/Sec. 3: TDC limit regions — Shreveport (CH/NZ), Lafayette (LOM/Abbeville), Baton Rouge (SA).</t>
        </r>
      </text>
    </comment>
    <comment ref="C9" authorId="0">
      <text>
        <r>
          <rPr>
            <sz val="10"/>
            <rFont val="Arial"/>
            <family val="2"/>
          </rPr>
          <t xml:space="preserve">LAHAP Model Build:
Spec Sec. 5.1 default.</t>
        </r>
      </text>
    </comment>
    <comment ref="C10" authorId="0">
      <text>
        <r>
          <rPr>
            <sz val="10"/>
            <rFont val="Arial"/>
            <family val="2"/>
          </rPr>
          <t xml:space="preserve">LAHAP Model Build:
Spec Sec. 5.1 default — 4% LIHTC resyndication with tax-exempt bonds.</t>
        </r>
      </text>
    </comment>
    <comment ref="C11" authorId="0">
      <text>
        <r>
          <rPr>
            <sz val="10"/>
            <rFont val="Arial"/>
            <family val="2"/>
          </rPr>
          <t xml:space="preserve">LAHAP Model Build:
All four properties in Qualified Census Tracts — OM pp.7/14/21/28; 130% boost applies to rehab basis only (not acquisition basis).</t>
        </r>
      </text>
    </comment>
    <comment ref="C12" authorId="0">
      <text>
        <r>
          <rPr>
            <sz val="10"/>
            <rFont val="Arial"/>
            <family val="2"/>
          </rPr>
          <t xml:space="preserve">LAHAP Model Build:
OUTPUT of the Max Price Solver (DSCR-constrained backsolve incl. bridge carry), written as a value per spec Sec. 5.1. PLACEHOLDER-flagged because it moves with every assumption — re-run the solver loop after changes. CH $0 means the stack cannot support any price at current assumptions (needs soft funds or reduced scope).</t>
        </r>
      </text>
    </comment>
    <comment ref="C13" authorId="0">
      <text>
        <r>
          <rPr>
            <sz val="10"/>
            <rFont val="Arial"/>
            <family val="2"/>
          </rPr>
          <t xml:space="preserve">LAHAP Model Build:
PLACEHOLDER — replace with diligence data. Purchase-price allocation (Gap #7) drives acquisition credit basis; needs appraisal support. 15% is a buyer placeholder assumption.</t>
        </r>
      </text>
    </comment>
    <comment ref="C14" authorId="0">
      <text>
        <r>
          <rPr>
            <sz val="10"/>
            <rFont val="Arial"/>
            <family val="2"/>
          </rPr>
          <t xml:space="preserve">LAHAP Model Build:
Buyer assumption (user decision 8/6/26): close 12/1/2026. Adjust as needed.</t>
        </r>
      </text>
    </comment>
    <comment ref="C15" authorId="0">
      <text>
        <r>
          <rPr>
            <sz val="10"/>
            <rFont val="Arial"/>
            <family val="2"/>
          </rPr>
          <t xml:space="preserve">LAHAP Model Build:
Buyer assumption: earliest close after resyndication eligibility (OM pp.7/14/21/28 — CH 2028, NZ 2029, LOM 2029, SA immediate; TCCP ends CH 2027, NZ/LOM 2028, SA 2023). SA closes at acquisition.</t>
        </r>
      </text>
    </comment>
    <comment ref="C17" authorId="0">
      <text>
        <r>
          <rPr>
            <sz val="10"/>
            <rFont val="Arial"/>
            <family val="2"/>
          </rPr>
          <t xml:space="preserve">LAHAP Model Build:
Buyer assumption — occupied-rehab curve 12-18 months scaled to unit count (spec Sec. 5.12). Adjust as needed.</t>
        </r>
      </text>
    </comment>
    <comment ref="C18" authorId="0">
      <text>
        <r>
          <rPr>
            <sz val="10"/>
            <rFont val="Arial"/>
            <family val="2"/>
          </rPr>
          <t xml:space="preserve">LAHAP Model Build:
Buyer assumption — matches Portfolio Consolidation window 2026-2046 (spec Sec. 6).</t>
        </r>
      </text>
    </comment>
    <comment ref="C22" authorId="0">
      <text>
        <r>
          <rPr>
            <sz val="10"/>
            <rFont val="Arial"/>
            <family val="2"/>
          </rPr>
          <t xml:space="preserve">LAHAP Model Build:
User decision 8/6/26 (Gap #1): max price = highest price at which the capital stack balances with perm debt sized at the DSCR floor.</t>
        </r>
      </text>
    </comment>
    <comment ref="C23" authorId="0">
      <text>
        <r>
          <rPr>
            <sz val="10"/>
            <rFont val="Arial"/>
            <family val="2"/>
          </rPr>
          <t xml:space="preserve">LAHAP Model Build:
User decision 8/6/26: minimum DSCR constraining resyndication perm sizing.</t>
        </r>
      </text>
    </comment>
    <comment ref="C24" authorId="0">
      <text>
        <r>
          <rPr>
            <sz val="10"/>
            <rFont val="Arial"/>
            <family val="2"/>
          </rPr>
          <t xml:space="preserve">LAHAP Model Build:
PLACEHOLDER buyer assumption (user default 8/6/26): 2.5%/yr ongoing OCAF trend. OM cites a 9.8% LA OCAF for the NZ 1/1/27 schedule with 75% achievement — see OCAF Achievement Haircut.</t>
        </r>
      </text>
    </comment>
    <comment ref="C25" authorId="0">
      <text>
        <r>
          <rPr>
            <sz val="10"/>
            <rFont val="Arial"/>
            <family val="2"/>
          </rPr>
          <t xml:space="preserve">LAHAP Model Build:
Source: OM p.17 note — OM underwrites New Zion's 2027 schedule at 75% of the 9.8% Louisiana OCAF.</t>
        </r>
      </text>
    </comment>
    <comment ref="C26" authorId="0">
      <text>
        <r>
          <rPr>
            <sz val="10"/>
            <rFont val="Arial"/>
            <family val="2"/>
          </rPr>
          <t xml:space="preserve">LAHAP Model Build:
Source: OM p.17 note — published 9.8% Louisiana OCAF applied to the NZ 1/1/2027 rent schedule.</t>
        </r>
      </text>
    </comment>
    <comment ref="C27" authorId="0">
      <text>
        <r>
          <rPr>
            <sz val="10"/>
            <rFont val="Arial"/>
            <family val="2"/>
          </rPr>
          <t xml:space="preserve">LAHAP Model Build:
PLACEHOLDER buyer assumption (user default 8/6/26): 3.0%/yr general expense trend.</t>
        </r>
      </text>
    </comment>
    <comment ref="C28" authorId="0">
      <text>
        <r>
          <rPr>
            <sz val="10"/>
            <rFont val="Arial"/>
            <family val="2"/>
          </rPr>
          <t xml:space="preserve">LAHAP Model Build:
PLACEHOLDER buyer assumption (user default 8/6/26): 6.0%/yr — Louisiana insurance modeled on its own trend per spec Sec. 5.4; never blended into the general trend.</t>
        </r>
      </text>
    </comment>
    <comment ref="C29" authorId="0">
      <text>
        <r>
          <rPr>
            <sz val="10"/>
            <rFont val="Arial"/>
            <family val="2"/>
          </rPr>
          <t xml:space="preserve">LAHAP Model Build:
Broker assumption — validate via RCS (spec Sec. 5.2). OM assumes post-rehab rents at 10% over current (OM pp.10/17/24/31 footnote 2).</t>
        </r>
      </text>
    </comment>
    <comment ref="C30" authorId="0">
      <text>
        <r>
          <rPr>
            <sz val="10"/>
            <rFont val="Arial"/>
            <family val="2"/>
          </rPr>
          <t xml:space="preserve">LAHAP Model Build:
PLACEHOLDER buyer assumption (user default 8/6/26): 4%/yr applied to rehab and fee lines for the 2028/2029 closes so S&amp;U columns are stated in their vintage-year dollars (spec Sec. 2).</t>
        </r>
      </text>
    </comment>
    <comment ref="C31" authorId="0">
      <text>
        <r>
          <rPr>
            <sz val="10"/>
            <rFont val="Arial"/>
            <family val="2"/>
          </rPr>
          <t xml:space="preserve">LAHAP Model Build:
User decision 8/6/26 (Gap #4): $0.80 per credit for Louisiana 4% deals.</t>
        </r>
      </text>
    </comment>
    <comment ref="C32" authorId="0">
      <text>
        <r>
          <rPr>
            <sz val="10"/>
            <rFont val="Arial"/>
            <family val="2"/>
          </rPr>
          <t xml:space="preserve">LAHAP Model Build:
PLACEHOLDER buyer assumption (user decision 8/6/26): 6.00% placeholder for resyndication perm debt.</t>
        </r>
      </text>
    </comment>
    <comment ref="C33" authorId="0">
      <text>
        <r>
          <rPr>
            <sz val="10"/>
            <rFont val="Arial"/>
            <family val="2"/>
          </rPr>
          <t xml:space="preserve">LAHAP Model Build:
User decision 8/6/26: 35-year amortization.</t>
        </r>
      </text>
    </comment>
    <comment ref="C34" authorId="0">
      <text>
        <r>
          <rPr>
            <sz val="10"/>
            <rFont val="Arial"/>
            <family val="2"/>
          </rPr>
          <t xml:space="preserve">LAHAP Model Build:
PLACEHOLDER buyer assumption (user default 8/6/26): 90% LTV cap alongside the DSCR constraint. Applied to total development cost as an appraisal proxy — needs appraisal support.</t>
        </r>
      </text>
    </comment>
    <comment ref="C35" authorId="0">
      <text>
        <r>
          <rPr>
            <sz val="10"/>
            <rFont val="Arial"/>
            <family val="2"/>
          </rPr>
          <t xml:space="preserve">LAHAP Model Build:
User decision 8/6/26 (Gap #5): refinance at each resyndication close is the base case; toggle to 'Assume &amp; Hold' to keep the assumable 221(d)(4) notes.</t>
        </r>
      </text>
    </comment>
    <comment ref="C36" authorId="0">
      <text>
        <r>
          <rPr>
            <sz val="10"/>
            <rFont val="Arial"/>
            <family val="2"/>
          </rPr>
          <t xml:space="preserve">LAHAP Model Build:
PLACEHOLDER — replace with diligence data. No CNA/rehab budget exists (Gap #2); $40,000/unit hard-cost placeholder per user decision 8/6/26.</t>
        </r>
      </text>
    </comment>
    <comment ref="C37" authorId="0">
      <text>
        <r>
          <rPr>
            <sz val="10"/>
            <rFont val="Arial"/>
            <family val="2"/>
          </rPr>
          <t xml:space="preserve">LAHAP Model Build:
PLACEHOLDER — replace with diligence data. Spec Sec. 8 #10: $2,500/unit allowance, in-place phased method, pending relocation plan and URA determination.</t>
        </r>
      </text>
    </comment>
    <comment ref="C38" authorId="0">
      <text>
        <r>
          <rPr>
            <sz val="10"/>
            <rFont val="Arial"/>
            <family val="2"/>
          </rPr>
          <t xml:space="preserve">LAHAP Model Build:
Source: broker UW model (Louisiana HAP Portfolio - Underwriting &amp; Hold Models.xlsx) — 4% of collected income.</t>
        </r>
      </text>
    </comment>
    <comment ref="C39" authorId="0">
      <text>
        <r>
          <rPr>
            <sz val="10"/>
            <rFont val="Arial"/>
            <family val="2"/>
          </rPr>
          <t xml:space="preserve">LAHAP Model Build:
User decision 8/6/26 (Gap #9): assume 20-yr renewal at then-current rents continuing to trend at OCAF. PLACEHOLDER assumption pending renewal-terms diligence.</t>
        </r>
      </text>
    </comment>
    <comment ref="D3" authorId="0">
      <text>
        <r>
          <rPr>
            <sz val="10"/>
            <rFont val="Arial"/>
            <family val="2"/>
          </rPr>
          <t xml:space="preserve">LAHAP Model Build:
Source: SVN Offering Memorandum, pp.7/14/21/28.
(Same source as the first commented cell in this row.)</t>
        </r>
      </text>
    </comment>
    <comment ref="D4" authorId="0">
      <text>
        <r>
          <rPr>
            <sz val="10"/>
            <rFont val="Arial"/>
            <family val="2"/>
          </rPr>
          <t xml:space="preserve">LAHAP Model Build:
Source: OM pp.7/14/21/28; confirmed vs Property Data Points.xlsx (DD) and 4.15.26 rent rolls.
(Same source as the first commented cell in this row.)</t>
        </r>
      </text>
    </comment>
    <comment ref="D5" authorId="0">
      <text>
        <r>
          <rPr>
            <sz val="10"/>
            <rFont val="Arial"/>
            <family val="2"/>
          </rPr>
          <t xml:space="preserve">LAHAP Model Build:
Source: Property Data Points.xlsx (DD) — SA is 123 of 204 units (60.3%); others 100% HAP.
(Same source as the first commented cell in this row.)</t>
        </r>
      </text>
    </comment>
    <comment ref="D6" authorId="0">
      <text>
        <r>
          <rPr>
            <sz val="10"/>
            <rFont val="Arial"/>
            <family val="2"/>
          </rPr>
          <t xml:space="preserve">LAHAP Model Build:
Source: OM pp.7/14/21/28.
(Same source as the first commented cell in this row.)</t>
        </r>
      </text>
    </comment>
    <comment ref="D7" authorId="0">
      <text>
        <r>
          <rPr>
            <sz val="10"/>
            <rFont val="Arial"/>
            <family val="2"/>
          </rPr>
          <t xml:space="preserve">LAHAP Model Build:
Source: OM pp.7/14/21/28.
(Same source as the first commented cell in this row.)</t>
        </r>
      </text>
    </comment>
    <comment ref="D8" authorId="0">
      <text>
        <r>
          <rPr>
            <sz val="10"/>
            <rFont val="Arial"/>
            <family val="2"/>
          </rPr>
          <t xml:space="preserve">LAHAP Model Build:
Spec Sec. 4/Sec. 3: TDC limit regions — Shreveport (CH/NZ), Lafayette (LOM/Abbeville), Baton Rouge (SA).
(Same source as the first commented cell in this row.)</t>
        </r>
      </text>
    </comment>
    <comment ref="D9" authorId="0">
      <text>
        <r>
          <rPr>
            <sz val="10"/>
            <rFont val="Arial"/>
            <family val="2"/>
          </rPr>
          <t xml:space="preserve">LAHAP Model Build:
Spec Sec. 5.1 default.
(Same source as the first commented cell in this row.)</t>
        </r>
      </text>
    </comment>
    <comment ref="D10" authorId="0">
      <text>
        <r>
          <rPr>
            <sz val="10"/>
            <rFont val="Arial"/>
            <family val="2"/>
          </rPr>
          <t xml:space="preserve">LAHAP Model Build:
Spec Sec. 5.1 default — 4% LIHTC resyndication with tax-exempt bonds.
(Same source as the first commented cell in this row.)</t>
        </r>
      </text>
    </comment>
    <comment ref="D11" authorId="0">
      <text>
        <r>
          <rPr>
            <sz val="10"/>
            <rFont val="Arial"/>
            <family val="2"/>
          </rPr>
          <t xml:space="preserve">LAHAP Model Build:
All four properties in Qualified Census Tracts — OM pp.7/14/21/28; 130% boost applies to rehab basis only (not acquisition basis).
(Same source as the first commented cell in this row.)</t>
        </r>
      </text>
    </comment>
    <comment ref="D12" authorId="0">
      <text>
        <r>
          <rPr>
            <sz val="10"/>
            <rFont val="Arial"/>
            <family val="2"/>
          </rPr>
          <t xml:space="preserve">LAHAP Model Build:
OUTPUT of the Max Price Solver (DSCR-constrained backsolve incl. bridge carry), written as a value per spec Sec. 5.1. PLACEHOLDER-flagged because it moves with every assumption — re-run the solver loop after changes. CH $0 means the stack cannot support any price at current assumptions (needs soft funds or reduced scope).
(Same source as the first commented cell in this row.)</t>
        </r>
      </text>
    </comment>
    <comment ref="D13" authorId="0">
      <text>
        <r>
          <rPr>
            <sz val="10"/>
            <rFont val="Arial"/>
            <family val="2"/>
          </rPr>
          <t xml:space="preserve">LAHAP Model Build:
PLACEHOLDER — replace with diligence data. Purchase-price allocation (Gap #7) drives acquisition credit basis; needs appraisal support. 15% is a buyer placeholder assumption.
(Same source as the first commented cell in this row.)</t>
        </r>
      </text>
    </comment>
    <comment ref="D14" authorId="0">
      <text>
        <r>
          <rPr>
            <sz val="10"/>
            <rFont val="Arial"/>
            <family val="2"/>
          </rPr>
          <t xml:space="preserve">LAHAP Model Build:
Buyer assumption (user decision 8/6/26): close 12/1/2026. Adjust as needed.
(Same source as the first commented cell in this row.)</t>
        </r>
      </text>
    </comment>
    <comment ref="D15" authorId="0">
      <text>
        <r>
          <rPr>
            <sz val="10"/>
            <rFont val="Arial"/>
            <family val="2"/>
          </rPr>
          <t xml:space="preserve">LAHAP Model Build:
Buyer assumption: earliest close after resyndication eligibility (OM pp.7/14/21/28 — CH 2028, NZ 2029, LOM 2029, SA immediate; TCCP ends CH 2027, NZ/LOM 2028, SA 2023). SA closes at acquisition.
(Same source as the first commented cell in this row.)</t>
        </r>
      </text>
    </comment>
    <comment ref="D17" authorId="0">
      <text>
        <r>
          <rPr>
            <sz val="10"/>
            <rFont val="Arial"/>
            <family val="2"/>
          </rPr>
          <t xml:space="preserve">LAHAP Model Build:
Buyer assumption — occupied-rehab curve 12-18 months scaled to unit count (spec Sec. 5.12). Adjust as needed.
(Same source as the first commented cell in this row.)</t>
        </r>
      </text>
    </comment>
    <comment ref="D18" authorId="0">
      <text>
        <r>
          <rPr>
            <sz val="10"/>
            <rFont val="Arial"/>
            <family val="2"/>
          </rPr>
          <t xml:space="preserve">LAHAP Model Build:
Buyer assumption — matches Portfolio Consolidation window 2026-2046 (spec Sec. 6).
(Same source as the first commented cell in this row.)</t>
        </r>
      </text>
    </comment>
    <comment ref="E3" authorId="0">
      <text>
        <r>
          <rPr>
            <sz val="10"/>
            <rFont val="Arial"/>
            <family val="2"/>
          </rPr>
          <t xml:space="preserve">LAHAP Model Build:
Source: SVN Offering Memorandum, pp.7/14/21/28.
(Same source as the first commented cell in this row.)</t>
        </r>
      </text>
    </comment>
    <comment ref="E4" authorId="0">
      <text>
        <r>
          <rPr>
            <sz val="10"/>
            <rFont val="Arial"/>
            <family val="2"/>
          </rPr>
          <t xml:space="preserve">LAHAP Model Build:
Source: OM pp.7/14/21/28; confirmed vs Property Data Points.xlsx (DD) and 4.15.26 rent rolls.
(Same source as the first commented cell in this row.)</t>
        </r>
      </text>
    </comment>
    <comment ref="E5" authorId="0">
      <text>
        <r>
          <rPr>
            <sz val="10"/>
            <rFont val="Arial"/>
            <family val="2"/>
          </rPr>
          <t xml:space="preserve">LAHAP Model Build:
Source: Property Data Points.xlsx (DD) — SA is 123 of 204 units (60.3%); others 100% HAP.
(Same source as the first commented cell in this row.)</t>
        </r>
      </text>
    </comment>
    <comment ref="E6" authorId="0">
      <text>
        <r>
          <rPr>
            <sz val="10"/>
            <rFont val="Arial"/>
            <family val="2"/>
          </rPr>
          <t xml:space="preserve">LAHAP Model Build:
Source: OM pp.7/14/21/28.
(Same source as the first commented cell in this row.)</t>
        </r>
      </text>
    </comment>
    <comment ref="E7" authorId="0">
      <text>
        <r>
          <rPr>
            <sz val="10"/>
            <rFont val="Arial"/>
            <family val="2"/>
          </rPr>
          <t xml:space="preserve">LAHAP Model Build:
Source: OM pp.7/14/21/28.
(Same source as the first commented cell in this row.)</t>
        </r>
      </text>
    </comment>
    <comment ref="E8" authorId="0">
      <text>
        <r>
          <rPr>
            <sz val="10"/>
            <rFont val="Arial"/>
            <family val="2"/>
          </rPr>
          <t xml:space="preserve">LAHAP Model Build:
Spec Sec. 4/Sec. 3: TDC limit regions — Shreveport (CH/NZ), Lafayette (LOM/Abbeville), Baton Rouge (SA).
(Same source as the first commented cell in this row.)</t>
        </r>
      </text>
    </comment>
    <comment ref="E9" authorId="0">
      <text>
        <r>
          <rPr>
            <sz val="10"/>
            <rFont val="Arial"/>
            <family val="2"/>
          </rPr>
          <t xml:space="preserve">LAHAP Model Build:
Spec Sec. 5.1 default.
(Same source as the first commented cell in this row.)</t>
        </r>
      </text>
    </comment>
    <comment ref="E10" authorId="0">
      <text>
        <r>
          <rPr>
            <sz val="10"/>
            <rFont val="Arial"/>
            <family val="2"/>
          </rPr>
          <t xml:space="preserve">LAHAP Model Build:
Spec Sec. 5.1 default — 4% LIHTC resyndication with tax-exempt bonds.
(Same source as the first commented cell in this row.)</t>
        </r>
      </text>
    </comment>
    <comment ref="E11" authorId="0">
      <text>
        <r>
          <rPr>
            <sz val="10"/>
            <rFont val="Arial"/>
            <family val="2"/>
          </rPr>
          <t xml:space="preserve">LAHAP Model Build:
All four properties in Qualified Census Tracts — OM pp.7/14/21/28; 130% boost applies to rehab basis only (not acquisition basis).
(Same source as the first commented cell in this row.)</t>
        </r>
      </text>
    </comment>
    <comment ref="E12" authorId="0">
      <text>
        <r>
          <rPr>
            <sz val="10"/>
            <rFont val="Arial"/>
            <family val="2"/>
          </rPr>
          <t xml:space="preserve">LAHAP Model Build:
OUTPUT of the Max Price Solver (DSCR-constrained backsolve incl. bridge carry), written as a value per spec Sec. 5.1. PLACEHOLDER-flagged because it moves with every assumption — re-run the solver loop after changes. CH $0 means the stack cannot support any price at current assumptions (needs soft funds or reduced scope).
(Same source as the first commented cell in this row.)</t>
        </r>
      </text>
    </comment>
    <comment ref="E13" authorId="0">
      <text>
        <r>
          <rPr>
            <sz val="10"/>
            <rFont val="Arial"/>
            <family val="2"/>
          </rPr>
          <t xml:space="preserve">LAHAP Model Build:
PLACEHOLDER — replace with diligence data. Purchase-price allocation (Gap #7) drives acquisition credit basis; needs appraisal support. 15% is a buyer placeholder assumption.
(Same source as the first commented cell in this row.)</t>
        </r>
      </text>
    </comment>
    <comment ref="E14" authorId="0">
      <text>
        <r>
          <rPr>
            <sz val="10"/>
            <rFont val="Arial"/>
            <family val="2"/>
          </rPr>
          <t xml:space="preserve">LAHAP Model Build:
Buyer assumption (user decision 8/6/26): close 12/1/2026. Adjust as needed.
(Same source as the first commented cell in this row.)</t>
        </r>
      </text>
    </comment>
    <comment ref="E15" authorId="0">
      <text>
        <r>
          <rPr>
            <sz val="10"/>
            <rFont val="Arial"/>
            <family val="2"/>
          </rPr>
          <t xml:space="preserve">LAHAP Model Build:
Buyer assumption: earliest close after resyndication eligibility (OM pp.7/14/21/28 — CH 2028, NZ 2029, LOM 2029, SA immediate; TCCP ends CH 2027, NZ/LOM 2028, SA 2023). SA closes at acquisition.
(Same source as the first commented cell in this row.)</t>
        </r>
      </text>
    </comment>
    <comment ref="E17" authorId="0">
      <text>
        <r>
          <rPr>
            <sz val="10"/>
            <rFont val="Arial"/>
            <family val="2"/>
          </rPr>
          <t xml:space="preserve">LAHAP Model Build:
Buyer assumption — occupied-rehab curve 12-18 months scaled to unit count (spec Sec. 5.12). Adjust as needed.
(Same source as the first commented cell in this row.)</t>
        </r>
      </text>
    </comment>
    <comment ref="E18" authorId="0">
      <text>
        <r>
          <rPr>
            <sz val="10"/>
            <rFont val="Arial"/>
            <family val="2"/>
          </rPr>
          <t xml:space="preserve">LAHAP Model Build:
Buyer assumption — matches Portfolio Consolidation window 2026-2046 (spec Sec. 6).
(Same source as the first commented cell in this row.)</t>
        </r>
      </text>
    </comment>
    <comment ref="F3" authorId="0">
      <text>
        <r>
          <rPr>
            <sz val="10"/>
            <rFont val="Arial"/>
            <family val="2"/>
          </rPr>
          <t xml:space="preserve">LAHAP Model Build:
Source: SVN Offering Memorandum, pp.7/14/21/28.
(Same source as the first commented cell in this row.)</t>
        </r>
      </text>
    </comment>
    <comment ref="F4" authorId="0">
      <text>
        <r>
          <rPr>
            <sz val="10"/>
            <rFont val="Arial"/>
            <family val="2"/>
          </rPr>
          <t xml:space="preserve">LAHAP Model Build:
Source: OM pp.7/14/21/28; confirmed vs Property Data Points.xlsx (DD) and 4.15.26 rent rolls.
(Same source as the first commented cell in this row.)</t>
        </r>
      </text>
    </comment>
    <comment ref="F5" authorId="0">
      <text>
        <r>
          <rPr>
            <sz val="10"/>
            <rFont val="Arial"/>
            <family val="2"/>
          </rPr>
          <t xml:space="preserve">LAHAP Model Build:
Source: Property Data Points.xlsx (DD) — SA is 123 of 204 units (60.3%); others 100% HAP.
(Same source as the first commented cell in this row.)</t>
        </r>
      </text>
    </comment>
    <comment ref="F6" authorId="0">
      <text>
        <r>
          <rPr>
            <sz val="10"/>
            <rFont val="Arial"/>
            <family val="2"/>
          </rPr>
          <t xml:space="preserve">LAHAP Model Build:
Source: OM pp.7/14/21/28.
(Same source as the first commented cell in this row.)</t>
        </r>
      </text>
    </comment>
    <comment ref="F7" authorId="0">
      <text>
        <r>
          <rPr>
            <sz val="10"/>
            <rFont val="Arial"/>
            <family val="2"/>
          </rPr>
          <t xml:space="preserve">LAHAP Model Build:
Source: OM pp.7/14/21/28.
(Same source as the first commented cell in this row.)</t>
        </r>
      </text>
    </comment>
    <comment ref="F8" authorId="0">
      <text>
        <r>
          <rPr>
            <sz val="10"/>
            <rFont val="Arial"/>
            <family val="2"/>
          </rPr>
          <t xml:space="preserve">LAHAP Model Build:
Spec Sec. 4/Sec. 3: TDC limit regions — Shreveport (CH/NZ), Lafayette (LOM/Abbeville), Baton Rouge (SA).
(Same source as the first commented cell in this row.)</t>
        </r>
      </text>
    </comment>
    <comment ref="F9" authorId="0">
      <text>
        <r>
          <rPr>
            <sz val="10"/>
            <rFont val="Arial"/>
            <family val="2"/>
          </rPr>
          <t xml:space="preserve">LAHAP Model Build:
Spec Sec. 5.1 default.
(Same source as the first commented cell in this row.)</t>
        </r>
      </text>
    </comment>
    <comment ref="F10" authorId="0">
      <text>
        <r>
          <rPr>
            <sz val="10"/>
            <rFont val="Arial"/>
            <family val="2"/>
          </rPr>
          <t xml:space="preserve">LAHAP Model Build:
Spec Sec. 5.1 default — 4% LIHTC resyndication with tax-exempt bonds.
(Same source as the first commented cell in this row.)</t>
        </r>
      </text>
    </comment>
    <comment ref="F11" authorId="0">
      <text>
        <r>
          <rPr>
            <sz val="10"/>
            <rFont val="Arial"/>
            <family val="2"/>
          </rPr>
          <t xml:space="preserve">LAHAP Model Build:
All four properties in Qualified Census Tracts — OM pp.7/14/21/28; 130% boost applies to rehab basis only (not acquisition basis).
(Same source as the first commented cell in this row.)</t>
        </r>
      </text>
    </comment>
    <comment ref="F12" authorId="0">
      <text>
        <r>
          <rPr>
            <sz val="10"/>
            <rFont val="Arial"/>
            <family val="2"/>
          </rPr>
          <t xml:space="preserve">LAHAP Model Build:
OUTPUT of the Max Price Solver (DSCR-constrained backsolve incl. bridge carry), written as a value per spec Sec. 5.1. PLACEHOLDER-flagged because it moves with every assumption — re-run the solver loop after changes. CH $0 means the stack cannot support any price at current assumptions (needs soft funds or reduced scope).
(Same source as the first commented cell in this row.)</t>
        </r>
      </text>
    </comment>
    <comment ref="F13" authorId="0">
      <text>
        <r>
          <rPr>
            <sz val="10"/>
            <rFont val="Arial"/>
            <family val="2"/>
          </rPr>
          <t xml:space="preserve">LAHAP Model Build:
PLACEHOLDER — replace with diligence data. Purchase-price allocation (Gap #7) drives acquisition credit basis; needs appraisal support. 15% is a buyer placeholder assumption.
(Same source as the first commented cell in this row.)</t>
        </r>
      </text>
    </comment>
    <comment ref="F14" authorId="0">
      <text>
        <r>
          <rPr>
            <sz val="10"/>
            <rFont val="Arial"/>
            <family val="2"/>
          </rPr>
          <t xml:space="preserve">LAHAP Model Build:
Buyer assumption (user decision 8/6/26): close 12/1/2026. Adjust as needed.
(Same source as the first commented cell in this row.)</t>
        </r>
      </text>
    </comment>
    <comment ref="F15" authorId="0">
      <text>
        <r>
          <rPr>
            <sz val="10"/>
            <rFont val="Arial"/>
            <family val="2"/>
          </rPr>
          <t xml:space="preserve">LAHAP Model Build:
Buyer assumption: earliest close after resyndication eligibility (OM pp.7/14/21/28 — CH 2028, NZ 2029, LOM 2029, SA immediate; TCCP ends CH 2027, NZ/LOM 2028, SA 2023). SA closes at acquisition.
(Same source as the first commented cell in this row.)</t>
        </r>
      </text>
    </comment>
    <comment ref="F17" authorId="0">
      <text>
        <r>
          <rPr>
            <sz val="10"/>
            <rFont val="Arial"/>
            <family val="2"/>
          </rPr>
          <t xml:space="preserve">LAHAP Model Build:
Buyer assumption — occupied-rehab curve 12-18 months scaled to unit count (spec Sec. 5.12). Adjust as needed.
(Same source as the first commented cell in this row.)</t>
        </r>
      </text>
    </comment>
    <comment ref="F18" authorId="0">
      <text>
        <r>
          <rPr>
            <sz val="10"/>
            <rFont val="Arial"/>
            <family val="2"/>
          </rPr>
          <t xml:space="preserve">LAHAP Model Build:
Buyer assumption — matches Portfolio Consolidation window 2026-2046 (spec Sec. 6).
(Same source as the first commented cell in this row.)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LAHAP Model Build:
Source: SVN Offering Memorandum, p.9. OM Current Rents = HAP units per current/projected HUD rent schedules w/ market expenses; OM Post-Rehab = rents at 10% over current (broker assumption). Taxes underwritten by broker using 2025 actual tax bills.</t>
        </r>
      </text>
    </comment>
    <comment ref="B19" authorId="0">
      <text>
        <r>
          <rPr>
            <sz val="10"/>
            <rFont val="Arial"/>
            <family val="2"/>
          </rPr>
          <t xml:space="preserve">LAHAP Model Build:
Source: SVN Offering Memorandum, p.16. OM Current Rents = HAP units per current/projected HUD rent schedules w/ market expenses; OM Post-Rehab = rents at 10% over current (broker assumption). Taxes underwritten by broker using 2025 actual tax bills.</t>
        </r>
      </text>
    </comment>
    <comment ref="B34" authorId="0">
      <text>
        <r>
          <rPr>
            <sz val="10"/>
            <rFont val="Arial"/>
            <family val="2"/>
          </rPr>
          <t xml:space="preserve">LAHAP Model Build:
Source: SVN Offering Memorandum, p.23. OM Current Rents = HAP units per current/projected HUD rent schedules w/ market expenses; OM Post-Rehab = rents at 10% over current (broker assumption). Taxes underwritten by broker using 2025 actual tax bills.</t>
        </r>
      </text>
    </comment>
    <comment ref="B49" authorId="0">
      <text>
        <r>
          <rPr>
            <sz val="10"/>
            <rFont val="Arial"/>
            <family val="2"/>
          </rPr>
          <t xml:space="preserve">LAHAP Model Build:
Source: SVN Offering Memorandum, p.30. OM Current Rents = HAP units per current/projected HUD rent schedules w/ market expenses; OM Post-Rehab = rents at 10% over current (broker assumption). Taxes underwritten by broker using 2025 actual tax bills.</t>
        </r>
      </text>
    </comment>
    <comment ref="B64" authorId="0">
      <text>
        <r>
          <rPr>
            <sz val="10"/>
            <rFont val="Arial"/>
            <family val="2"/>
          </rPr>
          <t xml:space="preserve">LAHAP Model Build:
Source: SVN Offering Memorandum, p.5. OM Current Rents = HAP units per current/projected HUD rent schedules w/ market expenses; OM Post-Rehab = rents at 10% over current (broker assumption). Taxes underwritten by broker using 2025 actual tax bills.</t>
        </r>
      </text>
    </comment>
    <comment ref="B121" authorId="0">
      <text>
        <r>
          <rPr>
            <sz val="10"/>
            <rFont val="Arial"/>
            <family val="2"/>
          </rPr>
          <t xml:space="preserve">LAHAP Model Build:
Source: OM pp.7,14,21,28; HAP unit count per Property Data Points.xlsx (DD)</t>
        </r>
      </text>
    </comment>
    <comment ref="B122" authorId="0">
      <text>
        <r>
          <rPr>
            <sz val="10"/>
            <rFont val="Arial"/>
            <family val="2"/>
          </rPr>
          <t xml:space="preserve">LAHAP Model Build:
Source: OM pp.7,14,21,28</t>
        </r>
      </text>
    </comment>
    <comment ref="B123" authorId="0">
      <text>
        <r>
          <rPr>
            <sz val="10"/>
            <rFont val="Arial"/>
            <family val="2"/>
          </rPr>
          <t xml:space="preserve">LAHAP Model Build:
Source: OM pp.7,14,21,28</t>
        </r>
      </text>
    </comment>
    <comment ref="B124" authorId="0">
      <text>
        <r>
          <rPr>
            <sz val="10"/>
            <rFont val="Arial"/>
            <family val="2"/>
          </rPr>
          <t xml:space="preserve">LAHAP Model Build:
Source: OM pp.7,14,21,28</t>
        </r>
      </text>
    </comment>
    <comment ref="B125" authorId="0">
      <text>
        <r>
          <rPr>
            <sz val="10"/>
            <rFont val="Arial"/>
            <family val="2"/>
          </rPr>
          <t xml:space="preserve">LAHAP Model Build:
Source: OM pp.7,14,21,28</t>
        </r>
      </text>
    </comment>
    <comment ref="B126" authorId="0">
      <text>
        <r>
          <rPr>
            <sz val="10"/>
            <rFont val="Arial"/>
            <family val="2"/>
          </rPr>
          <t xml:space="preserve">LAHAP Model Build:
Source: OM pp.7,14,21,28</t>
        </r>
      </text>
    </comment>
    <comment ref="B127" authorId="0">
      <text>
        <r>
          <rPr>
            <sz val="10"/>
            <rFont val="Arial"/>
            <family val="2"/>
          </rPr>
          <t xml:space="preserve">LAHAP Model Build:
Source: OM pp.7,14,21,28 — verify vs loan notes (DD tier 1)</t>
        </r>
      </text>
    </comment>
    <comment ref="B128" authorId="0">
      <text>
        <r>
          <rPr>
            <sz val="10"/>
            <rFont val="Arial"/>
            <family val="2"/>
          </rPr>
          <t xml:space="preserve">LAHAP Model Build:
Source: OM pp.9,16,23,30</t>
        </r>
      </text>
    </comment>
    <comment ref="B129" authorId="0">
      <text>
        <r>
          <rPr>
            <sz val="10"/>
            <rFont val="Arial"/>
            <family val="2"/>
          </rPr>
          <t xml:space="preserve">LAHAP Model Build:
Source: OM pp.9,16,23,30</t>
        </r>
      </text>
    </comment>
    <comment ref="B130" authorId="0">
      <text>
        <r>
          <rPr>
            <sz val="10"/>
            <rFont val="Arial"/>
            <family val="2"/>
          </rPr>
          <t xml:space="preserve">LAHAP Model Build:
Source: OM pp.7,14,21,28 (rent roll 4.15.26 governs)</t>
        </r>
      </text>
    </comment>
    <comment ref="B131" authorId="0">
      <text>
        <r>
          <rPr>
            <sz val="10"/>
            <rFont val="Arial"/>
            <family val="2"/>
          </rPr>
          <t xml:space="preserve">LAHAP Model Build:
Source: OM pp.7,14,21,28</t>
        </r>
      </text>
    </comment>
    <comment ref="B132" authorId="0">
      <text>
        <r>
          <rPr>
            <sz val="10"/>
            <rFont val="Arial"/>
            <family val="2"/>
          </rPr>
          <t xml:space="preserve">LAHAP Model Build:
Source: OM pp.10,17,24,31</t>
        </r>
      </text>
    </comment>
    <comment ref="B133" authorId="0">
      <text>
        <r>
          <rPr>
            <sz val="10"/>
            <rFont val="Arial"/>
            <family val="2"/>
          </rPr>
          <t xml:space="preserve">LAHAP Model Build:
Source: OM pp.10,17,24,31 (radius: 8mi CH/NZ, 25mi LOM, 5mi SA)</t>
        </r>
      </text>
    </comment>
    <comment ref="B134" authorId="0">
      <text>
        <r>
          <rPr>
            <sz val="10"/>
            <rFont val="Arial"/>
            <family val="2"/>
          </rPr>
          <t xml:space="preserve">LAHAP Model Build:
Source: OM pp.10,17,24,31</t>
        </r>
      </text>
    </comment>
    <comment ref="B135" authorId="0">
      <text>
        <r>
          <rPr>
            <sz val="10"/>
            <rFont val="Arial"/>
            <family val="2"/>
          </rPr>
          <t xml:space="preserve">LAHAP Model Build:
Source: OM pp.7,14,21,28</t>
        </r>
      </text>
    </comment>
    <comment ref="B136" authorId="0">
      <text>
        <r>
          <rPr>
            <sz val="10"/>
            <rFont val="Arial"/>
            <family val="2"/>
          </rPr>
          <t xml:space="preserve">LAHAP Model Build:
Source: Property Data Points.xlsx (DD)</t>
        </r>
      </text>
    </comment>
    <comment ref="B137" authorId="0">
      <text>
        <r>
          <rPr>
            <sz val="10"/>
            <rFont val="Arial"/>
            <family val="2"/>
          </rPr>
          <t xml:space="preserve">LAHAP Model Build:
Source: Property Data Points.xlsx (DD); OM p.3 total $5.06M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LAHAP Model Build:
Source: CH - Rent Schedule (7.1.26).pdf — executed HUD rent schedule; basis for the Current Rent column (all rows).</t>
        </r>
      </text>
    </comment>
    <comment ref="C7" authorId="0">
      <text>
        <r>
          <rPr>
            <sz val="10"/>
            <rFont val="Arial"/>
            <family val="2"/>
          </rPr>
          <t xml:space="preserve">LAHAP Model Build:
Source: CH - Rent Roll (4.15.26).xlsx. matches 8 x 1 BDRM contract units in HUD docs</t>
        </r>
      </text>
    </comment>
    <comment ref="C8" authorId="0">
      <text>
        <r>
          <rPr>
            <sz val="10"/>
            <rFont val="Arial"/>
            <family val="2"/>
          </rPr>
          <t xml:space="preserve">LAHAP Model Build:
Source: CH - Rent Roll (4.15.26).xlsx.</t>
        </r>
      </text>
    </comment>
    <comment ref="C9" authorId="0">
      <text>
        <r>
          <rPr>
            <sz val="10"/>
            <rFont val="Arial"/>
            <family val="2"/>
          </rPr>
          <t xml:space="preserve">LAHAP Model Build:
Source: CH - Rent Roll (4.15.26).xlsx.</t>
        </r>
      </text>
    </comment>
    <comment ref="C10" authorId="0">
      <text>
        <r>
          <rPr>
            <sz val="10"/>
            <rFont val="Arial"/>
            <family val="2"/>
          </rPr>
          <t xml:space="preserve">LAHAP Model Build:
Source: CH - Rent Roll (4.15.26).xlsx.</t>
        </r>
      </text>
    </comment>
    <comment ref="C15" authorId="0">
      <text>
        <r>
          <rPr>
            <sz val="10"/>
            <rFont val="Arial"/>
            <family val="2"/>
          </rPr>
          <t xml:space="preserve">LAHAP Model Build:
Source: NZ - Rent Schedule (1.1.26).pdf — executed HUD rent schedule; basis for the Current Rent column (all rows).</t>
        </r>
      </text>
    </comment>
    <comment ref="C17" authorId="0">
      <text>
        <r>
          <rPr>
            <sz val="10"/>
            <rFont val="Arial"/>
            <family val="2"/>
          </rPr>
          <t xml:space="preserve">LAHAP Model Build:
Source: NZ - Rent Schedule (1.1.26).pdf.</t>
        </r>
      </text>
    </comment>
    <comment ref="C18" authorId="0">
      <text>
        <r>
          <rPr>
            <sz val="10"/>
            <rFont val="Arial"/>
            <family val="2"/>
          </rPr>
          <t xml:space="preserve">LAHAP Model Build:
Source: NZ - Rent Schedule (1.1.26).pdf.</t>
        </r>
      </text>
    </comment>
    <comment ref="C19" authorId="0">
      <text>
        <r>
          <rPr>
            <sz val="10"/>
            <rFont val="Arial"/>
            <family val="2"/>
          </rPr>
          <t xml:space="preserve">LAHAP Model Build:
Source: NZ - Rent Schedule (1.1.26).pdf.</t>
        </r>
      </text>
    </comment>
    <comment ref="C24" authorId="0">
      <text>
        <r>
          <rPr>
            <sz val="10"/>
            <rFont val="Arial"/>
            <family val="2"/>
          </rPr>
          <t xml:space="preserve">LAHAP Model Build:
Source: LOM - Rent Schedule (4.1.26).pdf — executed HUD rent schedule; basis for the Current Rent column (all rows).</t>
        </r>
      </text>
    </comment>
    <comment ref="C26" authorId="0">
      <text>
        <r>
          <rPr>
            <sz val="10"/>
            <rFont val="Arial"/>
            <family val="2"/>
          </rPr>
          <t xml:space="preserve">LAHAP Model Build:
Source: LOM - Rent Schedule (4.1.26).pdf Exhibit A; LOM - Rent Roll (4.15.26).xlsx.</t>
        </r>
      </text>
    </comment>
    <comment ref="C27" authorId="0">
      <text>
        <r>
          <rPr>
            <sz val="10"/>
            <rFont val="Arial"/>
            <family val="2"/>
          </rPr>
          <t xml:space="preserve">LAHAP Model Build:
Source: LOM - Rent Schedule (4.1.26).pdf Exhibit A; LOM - Rent Roll (4.15.26).xlsx.</t>
        </r>
      </text>
    </comment>
    <comment ref="C28" authorId="0">
      <text>
        <r>
          <rPr>
            <sz val="10"/>
            <rFont val="Arial"/>
            <family val="2"/>
          </rPr>
          <t xml:space="preserve">LAHAP Model Build:
Source: LOM - Rent Schedule (4.1.26).pdf Exhibit A; LOM - Rent Roll (4.15.26).xlsx.</t>
        </r>
      </text>
    </comment>
    <comment ref="C33" authorId="0">
      <text>
        <r>
          <rPr>
            <sz val="10"/>
            <rFont val="Arial"/>
            <family val="2"/>
          </rPr>
          <t xml:space="preserve">LAHAP Model Build:
Source: SA - Rent Schedule (5.1.26).pdf — executed HUD rent schedule; basis for the Current Rent column (HAP rows).</t>
        </r>
      </text>
    </comment>
    <comment ref="C35" authorId="0">
      <text>
        <r>
          <rPr>
            <sz val="10"/>
            <rFont val="Arial"/>
            <family val="2"/>
          </rPr>
          <t xml:space="preserve">LAHAP Model Build:
Source: SA - Rent Schedule (5.1.26).pdf.</t>
        </r>
      </text>
    </comment>
    <comment ref="C36" authorId="0">
      <text>
        <r>
          <rPr>
            <sz val="10"/>
            <rFont val="Arial"/>
            <family val="2"/>
          </rPr>
          <t xml:space="preserve">LAHAP Model Build:
Source: SA - Rent Schedule (5.1.26).pdf.</t>
        </r>
      </text>
    </comment>
    <comment ref="C37" authorId="0">
      <text>
        <r>
          <rPr>
            <sz val="10"/>
            <rFont val="Arial"/>
            <family val="2"/>
          </rPr>
          <t xml:space="preserve">LAHAP Model Build:
Source: SA - Rent Schedule (5.1.26).pdf.</t>
        </r>
      </text>
    </comment>
    <comment ref="C38" authorId="0">
      <text>
        <r>
          <rPr>
            <sz val="10"/>
            <rFont val="Arial"/>
            <family val="2"/>
          </rPr>
          <t xml:space="preserve">LAHAP Model Build:
Source: SA - Rent Schedule (5.1.26).pdf.</t>
        </r>
      </text>
    </comment>
    <comment ref="C39" authorId="0">
      <text>
        <r>
          <rPr>
            <sz val="10"/>
            <rFont val="Arial"/>
            <family val="2"/>
          </rPr>
          <t xml:space="preserve">LAHAP Model Build:
Source: SA - Rent Roll (4.15.26).xlsx subsidy/set-aside flags.</t>
        </r>
      </text>
    </comment>
    <comment ref="C40" authorId="0">
      <text>
        <r>
          <rPr>
            <sz val="10"/>
            <rFont val="Arial"/>
            <family val="2"/>
          </rPr>
          <t xml:space="preserve">LAHAP Model Build:
Source: SA - Rent Roll (4.15.26).xlsx subsidy/set-aside flags.</t>
        </r>
      </text>
    </comment>
    <comment ref="C41" authorId="0">
      <text>
        <r>
          <rPr>
            <sz val="10"/>
            <rFont val="Arial"/>
            <family val="2"/>
          </rPr>
          <t xml:space="preserve">LAHAP Model Build:
Source: SA - Rent Roll (4.15.26).xlsx subsidy/set-aside flags.</t>
        </r>
      </text>
    </comment>
    <comment ref="C42" authorId="0">
      <text>
        <r>
          <rPr>
            <sz val="10"/>
            <rFont val="Arial"/>
            <family val="2"/>
          </rPr>
          <t xml:space="preserve">LAHAP Model Build:
Source: SA - Rent Roll (4.15.26).xlsx subsidy/set-aside flags.</t>
        </r>
      </text>
    </comment>
    <comment ref="C43" authorId="0">
      <text>
        <r>
          <rPr>
            <sz val="10"/>
            <rFont val="Arial"/>
            <family val="2"/>
          </rPr>
          <t xml:space="preserve">LAHAP Model Build:
Source: SA - Rent Roll (4.15.26).xlsx subsidy/set-aside flags.</t>
        </r>
      </text>
    </comment>
    <comment ref="C44" authorId="0">
      <text>
        <r>
          <rPr>
            <sz val="10"/>
            <rFont val="Arial"/>
            <family val="2"/>
          </rPr>
          <t xml:space="preserve">LAHAP Model Build:
Source: SA - Rent Roll (4.15.26).xlsx subsidy/set-aside flags.</t>
        </r>
      </text>
    </comment>
    <comment ref="C45" authorId="0">
      <text>
        <r>
          <rPr>
            <sz val="10"/>
            <rFont val="Arial"/>
            <family val="2"/>
          </rPr>
          <t xml:space="preserve">LAHAP Model Build:
Source: SA - Rent Roll (4.15.26).xlsx subsidy/set-aside flags.</t>
        </r>
      </text>
    </comment>
    <comment ref="C46" authorId="0">
      <text>
        <r>
          <rPr>
            <sz val="10"/>
            <rFont val="Arial"/>
            <family val="2"/>
          </rPr>
          <t xml:space="preserve">LAHAP Model Build:
Source: SA - Rent Roll (4.15.26).xlsx subsidy/set-aside flags.</t>
        </r>
      </text>
    </comment>
    <comment ref="C47" authorId="0">
      <text>
        <r>
          <rPr>
            <sz val="10"/>
            <rFont val="Arial"/>
            <family val="2"/>
          </rPr>
          <t xml:space="preserve">LAHAP Model Build:
Source: SA - Rent Roll (4.15.26).xlsx subsidy/set-aside flags.</t>
        </r>
      </text>
    </comment>
    <comment ref="D7" authorId="0">
      <text>
        <r>
          <rPr>
            <sz val="10"/>
            <rFont val="Arial"/>
            <family val="2"/>
          </rPr>
          <t xml:space="preserve">LAHAP Model Build:
Source: CH - Rent Roll (4.15.26).xlsx.</t>
        </r>
      </text>
    </comment>
    <comment ref="D8" authorId="0">
      <text>
        <r>
          <rPr>
            <sz val="10"/>
            <rFont val="Arial"/>
            <family val="2"/>
          </rPr>
          <t xml:space="preserve">LAHAP Model Build:
Source: CH - Rent Roll (4.15.26).xlsx.</t>
        </r>
      </text>
    </comment>
    <comment ref="D9" authorId="0">
      <text>
        <r>
          <rPr>
            <sz val="10"/>
            <rFont val="Arial"/>
            <family val="2"/>
          </rPr>
          <t xml:space="preserve">LAHAP Model Build:
Source: CH - Rent Roll (4.15.26).xlsx.</t>
        </r>
      </text>
    </comment>
    <comment ref="D10" authorId="0">
      <text>
        <r>
          <rPr>
            <sz val="10"/>
            <rFont val="Arial"/>
            <family val="2"/>
          </rPr>
          <t xml:space="preserve">LAHAP Model Build:
Source: CH - Rent Roll (4.15.26).xlsx.</t>
        </r>
      </text>
    </comment>
    <comment ref="D17" authorId="0">
      <text>
        <r>
          <rPr>
            <sz val="10"/>
            <rFont val="Arial"/>
            <family val="2"/>
          </rPr>
          <t xml:space="preserve">LAHAP Model Build:
Source: NZ - Rent Roll (4.15.26).xlsx.</t>
        </r>
      </text>
    </comment>
    <comment ref="D18" authorId="0">
      <text>
        <r>
          <rPr>
            <sz val="10"/>
            <rFont val="Arial"/>
            <family val="2"/>
          </rPr>
          <t xml:space="preserve">LAHAP Model Build:
Source: NZ - Rent Roll (4.15.26).xlsx.</t>
        </r>
      </text>
    </comment>
    <comment ref="D19" authorId="0">
      <text>
        <r>
          <rPr>
            <sz val="10"/>
            <rFont val="Arial"/>
            <family val="2"/>
          </rPr>
          <t xml:space="preserve">LAHAP Model Build:
Source: NZ - Rent Roll (4.15.26).xlsx.</t>
        </r>
      </text>
    </comment>
    <comment ref="D26" authorId="0">
      <text>
        <r>
          <rPr>
            <sz val="10"/>
            <rFont val="Arial"/>
            <family val="2"/>
          </rPr>
          <t xml:space="preserve">LAHAP Model Build:
Source: LOM - Rent Roll (4.15.26).xlsx. OM p.24 also shows 716 SF</t>
        </r>
      </text>
    </comment>
    <comment ref="D27" authorId="0">
      <text>
        <r>
          <rPr>
            <sz val="10"/>
            <rFont val="Arial"/>
            <family val="2"/>
          </rPr>
          <t xml:space="preserve">LAHAP Model Build:
Source: LOM - Rent Roll (4.15.26).xlsx.</t>
        </r>
      </text>
    </comment>
    <comment ref="D28" authorId="0">
      <text>
        <r>
          <rPr>
            <sz val="10"/>
            <rFont val="Arial"/>
            <family val="2"/>
          </rPr>
          <t xml:space="preserve">LAHAP Model Build:
Source: LOM - Rent Roll (4.15.26).xlsx.</t>
        </r>
      </text>
    </comment>
    <comment ref="D35" authorId="0">
      <text>
        <r>
          <rPr>
            <sz val="10"/>
            <rFont val="Arial"/>
            <family val="2"/>
          </rPr>
          <t xml:space="preserve">LAHAP Model Build:
Source: SA - Rent Roll (4.15.26).xlsx. 4 of the 49 are '1BR 1B Lg' at 656-721 SF; OM p.31 shows 795 SF</t>
        </r>
      </text>
    </comment>
    <comment ref="D36" authorId="0">
      <text>
        <r>
          <rPr>
            <sz val="10"/>
            <rFont val="Arial"/>
            <family val="2"/>
          </rPr>
          <t xml:space="preserve">LAHAP Model Build:
Source: SA - Rent Roll (4.15.26).xlsx. OM p.31 shows 975 SF</t>
        </r>
      </text>
    </comment>
    <comment ref="D37" authorId="0">
      <text>
        <r>
          <rPr>
            <sz val="10"/>
            <rFont val="Arial"/>
            <family val="2"/>
          </rPr>
          <t xml:space="preserve">LAHAP Model Build:
Source: SA - Rent Roll (4.15.26).xlsx. OM p.31 shows 914 SF</t>
        </r>
      </text>
    </comment>
    <comment ref="D38" authorId="0">
      <text>
        <r>
          <rPr>
            <sz val="10"/>
            <rFont val="Arial"/>
            <family val="2"/>
          </rPr>
          <t xml:space="preserve">LAHAP Model Build:
Source: SA - Rent Roll (4.15.26).xlsx. OM p.31 shows 1,075 SF</t>
        </r>
      </text>
    </comment>
    <comment ref="D39" authorId="0">
      <text>
        <r>
          <rPr>
            <sz val="10"/>
            <rFont val="Arial"/>
            <family val="2"/>
          </rPr>
          <t xml:space="preserve">LAHAP Model Build:
Source: SA rent roll where numeric; OM p.31 where the rent roll shows a range.</t>
        </r>
      </text>
    </comment>
    <comment ref="D40" authorId="0">
      <text>
        <r>
          <rPr>
            <sz val="10"/>
            <rFont val="Arial"/>
            <family val="2"/>
          </rPr>
          <t xml:space="preserve">LAHAP Model Build:
Source: SA rent roll where numeric; OM p.31 where the rent roll shows a range.</t>
        </r>
      </text>
    </comment>
    <comment ref="D41" authorId="0">
      <text>
        <r>
          <rPr>
            <sz val="10"/>
            <rFont val="Arial"/>
            <family val="2"/>
          </rPr>
          <t xml:space="preserve">LAHAP Model Build:
Source: SA rent roll where numeric; OM p.31 where the rent roll shows a range.</t>
        </r>
      </text>
    </comment>
    <comment ref="D42" authorId="0">
      <text>
        <r>
          <rPr>
            <sz val="10"/>
            <rFont val="Arial"/>
            <family val="2"/>
          </rPr>
          <t xml:space="preserve">LAHAP Model Build:
Source: SA rent roll where numeric; OM p.31 where the rent roll shows a range.</t>
        </r>
      </text>
    </comment>
    <comment ref="D43" authorId="0">
      <text>
        <r>
          <rPr>
            <sz val="10"/>
            <rFont val="Arial"/>
            <family val="2"/>
          </rPr>
          <t xml:space="preserve">LAHAP Model Build:
Source: SA rent roll where numeric; OM p.31 where the rent roll shows a range.</t>
        </r>
      </text>
    </comment>
    <comment ref="D44" authorId="0">
      <text>
        <r>
          <rPr>
            <sz val="10"/>
            <rFont val="Arial"/>
            <family val="2"/>
          </rPr>
          <t xml:space="preserve">LAHAP Model Build:
Source: SA rent roll where numeric; OM p.31 where the rent roll shows a range.</t>
        </r>
      </text>
    </comment>
    <comment ref="D45" authorId="0">
      <text>
        <r>
          <rPr>
            <sz val="10"/>
            <rFont val="Arial"/>
            <family val="2"/>
          </rPr>
          <t xml:space="preserve">LAHAP Model Build:
Source: SA rent roll where numeric; OM p.31 where the rent roll shows a range.</t>
        </r>
      </text>
    </comment>
    <comment ref="D46" authorId="0">
      <text>
        <r>
          <rPr>
            <sz val="10"/>
            <rFont val="Arial"/>
            <family val="2"/>
          </rPr>
          <t xml:space="preserve">LAHAP Model Build:
Source: SA rent roll where numeric; OM p.31 where the rent roll shows a range.</t>
        </r>
      </text>
    </comment>
    <comment ref="D47" authorId="0">
      <text>
        <r>
          <rPr>
            <sz val="10"/>
            <rFont val="Arial"/>
            <family val="2"/>
          </rPr>
          <t xml:space="preserve">LAHAP Model Build:
Source: SA rent roll where numeric; OM p.31 where the rent roll shows a range.</t>
        </r>
      </text>
    </comment>
    <comment ref="E7" authorId="0">
      <text>
        <r>
          <rPr>
            <sz val="10"/>
            <rFont val="Arial"/>
            <family val="2"/>
          </rPr>
          <t xml:space="preserve">LAHAP Model Build:
Source: CH - Rent Schedule (7.1.26).pdf (HUD rent schedule — authoritative current HAP contract rent). HUD-92458/Exhibit A OCAF rents effective 07/01/2026; authoritative current rent</t>
        </r>
      </text>
    </comment>
    <comment ref="E8" authorId="0">
      <text>
        <r>
          <rPr>
            <sz val="10"/>
            <rFont val="Arial"/>
            <family val="2"/>
          </rPr>
          <t xml:space="preserve">LAHAP Model Build:
Source: CH - Rent Schedule (7.1.26).pdf (HUD rent schedule — authoritative current HAP contract rent).</t>
        </r>
      </text>
    </comment>
    <comment ref="E9" authorId="0">
      <text>
        <r>
          <rPr>
            <sz val="10"/>
            <rFont val="Arial"/>
            <family val="2"/>
          </rPr>
          <t xml:space="preserve">LAHAP Model Build:
Source: CH - Rent Schedule (7.1.26).pdf (HUD rent schedule — authoritative current HAP contract rent). 4-unit 3BR tier; UA $153, gross $1,253</t>
        </r>
      </text>
    </comment>
    <comment ref="E10" authorId="0">
      <text>
        <r>
          <rPr>
            <sz val="10"/>
            <rFont val="Arial"/>
            <family val="2"/>
          </rPr>
          <t xml:space="preserve">LAHAP Model Build:
Source: CH - Rent Schedule (7.1.26).pdf (HUD rent schedule — authoritative current HAP contract rent). 40-unit 3BR tier; UA $149, gross $1,262</t>
        </r>
      </text>
    </comment>
    <comment ref="E17" authorId="0">
      <text>
        <r>
          <rPr>
            <sz val="10"/>
            <rFont val="Arial"/>
            <family val="2"/>
          </rPr>
          <t xml:space="preserve">LAHAP Model Build:
Source: NZ - Rent Schedule (1.1.26).pdf (HUD rent schedule — authoritative current HAP contract rent). HUD-92458/Exhibit A effective 01/01/2026</t>
        </r>
      </text>
    </comment>
    <comment ref="E18" authorId="0">
      <text>
        <r>
          <rPr>
            <sz val="10"/>
            <rFont val="Arial"/>
            <family val="2"/>
          </rPr>
          <t xml:space="preserve">LAHAP Model Build:
Source: NZ - Rent Schedule (1.1.26).pdf (HUD rent schedule — authoritative current HAP contract rent). effective 01/01/2026</t>
        </r>
      </text>
    </comment>
    <comment ref="E19" authorId="0">
      <text>
        <r>
          <rPr>
            <sz val="10"/>
            <rFont val="Arial"/>
            <family val="2"/>
          </rPr>
          <t xml:space="preserve">LAHAP Model Build:
Source: NZ - Rent Schedule (1.1.26).pdf (HUD rent schedule — authoritative current HAP contract rent). effective 01/01/2026</t>
        </r>
      </text>
    </comment>
    <comment ref="E26" authorId="0">
      <text>
        <r>
          <rPr>
            <sz val="10"/>
            <rFont val="Arial"/>
            <family val="2"/>
          </rPr>
          <t xml:space="preserve">LAHAP Model Build:
Source: LOM - Rent Schedule (4.1.26).pdf (HUD-92458 / Exhibit A, effective 04/01/2026) (HUD rent schedule — authoritative current HAP contract rent).</t>
        </r>
      </text>
    </comment>
    <comment ref="E27" authorId="0">
      <text>
        <r>
          <rPr>
            <sz val="10"/>
            <rFont val="Arial"/>
            <family val="2"/>
          </rPr>
          <t xml:space="preserve">LAHAP Model Build:
Source: LOM - Rent Schedule (4.1.26).pdf Exhibit A, effective 04/01/2026 (HUD rent schedule — authoritative current HAP contract rent).</t>
        </r>
      </text>
    </comment>
    <comment ref="E28" authorId="0">
      <text>
        <r>
          <rPr>
            <sz val="10"/>
            <rFont val="Arial"/>
            <family val="2"/>
          </rPr>
          <t xml:space="preserve">LAHAP Model Build:
Source: LOM - Rent Schedule (4.1.26).pdf Exhibit A, effective 04/01/2026 (HUD rent schedule — authoritative current HAP contract rent).</t>
        </r>
      </text>
    </comment>
    <comment ref="E35" authorId="0">
      <text>
        <r>
          <rPr>
            <sz val="10"/>
            <rFont val="Arial"/>
            <family val="2"/>
          </rPr>
          <t xml:space="preserve">LAHAP Model Build:
Source: SA - Rent Schedule (5.1.26).pdf — executed HUD-92458 effective 5/1/2026.</t>
        </r>
      </text>
    </comment>
    <comment ref="E36" authorId="0">
      <text>
        <r>
          <rPr>
            <sz val="10"/>
            <rFont val="Arial"/>
            <family val="2"/>
          </rPr>
          <t xml:space="preserve">LAHAP Model Build:
Source: SA - Rent Schedule (5.1.26).pdf — executed HUD-92458 effective 5/1/2026.</t>
        </r>
      </text>
    </comment>
    <comment ref="E37" authorId="0">
      <text>
        <r>
          <rPr>
            <sz val="10"/>
            <rFont val="Arial"/>
            <family val="2"/>
          </rPr>
          <t xml:space="preserve">LAHAP Model Build:
Source: SA - Rent Schedule (5.1.26).pdf — executed HUD-92458 effective 5/1/2026.</t>
        </r>
      </text>
    </comment>
    <comment ref="E38" authorId="0">
      <text>
        <r>
          <rPr>
            <sz val="10"/>
            <rFont val="Arial"/>
            <family val="2"/>
          </rPr>
          <t xml:space="preserve">LAHAP Model Build:
Source: SA - Rent Schedule (5.1.26).pdf — executed HUD-92458 effective 5/1/2026.</t>
        </r>
      </text>
    </comment>
    <comment ref="E39" authorId="0">
      <text>
        <r>
          <rPr>
            <sz val="10"/>
            <rFont val="Arial"/>
            <family val="2"/>
          </rPr>
          <t xml:space="preserve">LAHAP Model Build:
Source: SA - Rent Roll (4.15.26).xlsx — average in-place rent for the tier (DD governs; OM p.31 used the rent roll's market-rent column for some tiers — see variance notes). Sec 236/LIHTC tier per rent-roll subsidy flags.</t>
        </r>
      </text>
    </comment>
    <comment ref="E40" authorId="0">
      <text>
        <r>
          <rPr>
            <sz val="10"/>
            <rFont val="Arial"/>
            <family val="2"/>
          </rPr>
          <t xml:space="preserve">LAHAP Model Build:
Source: SA - Rent Roll (4.15.26).xlsx — average in-place rent for the tier (DD governs; OM p.31 used the rent roll's market-rent column for some tiers — see variance notes). Sec 236/LIHTC tier per rent-roll subsidy flags.</t>
        </r>
      </text>
    </comment>
    <comment ref="E41" authorId="0">
      <text>
        <r>
          <rPr>
            <sz val="10"/>
            <rFont val="Arial"/>
            <family val="2"/>
          </rPr>
          <t xml:space="preserve">LAHAP Model Build:
Source: SA - Rent Roll (4.15.26).xlsx — average in-place rent for the tier (DD governs; OM p.31 used the rent roll's market-rent column for some tiers — see variance notes). Sec 236/LIHTC tier per rent-roll subsidy flags.</t>
        </r>
      </text>
    </comment>
    <comment ref="E42" authorId="0">
      <text>
        <r>
          <rPr>
            <sz val="10"/>
            <rFont val="Arial"/>
            <family val="2"/>
          </rPr>
          <t xml:space="preserve">LAHAP Model Build:
Source: SA - Rent Roll (4.15.26).xlsx — average in-place rent for the tier (DD governs; OM p.31 used the rent roll's market-rent column for some tiers — see variance notes). Sec 236/LIHTC tier per rent-roll subsidy flags.</t>
        </r>
      </text>
    </comment>
    <comment ref="E43" authorId="0">
      <text>
        <r>
          <rPr>
            <sz val="10"/>
            <rFont val="Arial"/>
            <family val="2"/>
          </rPr>
          <t xml:space="preserve">LAHAP Model Build:
Source: SA - Rent Roll (4.15.26).xlsx — average in-place rent for the tier (DD governs; OM p.31 used the rent roll's market-rent column for some tiers — see variance notes). Sec 236/LIHTC tier per rent-roll subsidy flags.</t>
        </r>
      </text>
    </comment>
    <comment ref="E44" authorId="0">
      <text>
        <r>
          <rPr>
            <sz val="10"/>
            <rFont val="Arial"/>
            <family val="2"/>
          </rPr>
          <t xml:space="preserve">LAHAP Model Build:
Source: SA - Rent Roll (4.15.26).xlsx — average in-place rent for the tier (DD governs; OM p.31 used the rent roll's market-rent column for some tiers — see variance notes). Sec 236/LIHTC tier per rent-roll subsidy flags.</t>
        </r>
      </text>
    </comment>
    <comment ref="E45" authorId="0">
      <text>
        <r>
          <rPr>
            <sz val="10"/>
            <rFont val="Arial"/>
            <family val="2"/>
          </rPr>
          <t xml:space="preserve">LAHAP Model Build:
Source: SA - Rent Roll (4.15.26).xlsx — average in-place rent for the tier (DD governs; OM p.31 used the rent roll's market-rent column for some tiers — see variance notes). Sec 236/LIHTC tier per rent-roll subsidy flags.</t>
        </r>
      </text>
    </comment>
    <comment ref="E46" authorId="0">
      <text>
        <r>
          <rPr>
            <sz val="10"/>
            <rFont val="Arial"/>
            <family val="2"/>
          </rPr>
          <t xml:space="preserve">LAHAP Model Build:
Source: SA - Rent Roll (4.15.26).xlsx — average in-place rent for the tier (DD governs; OM p.31 used the rent roll's market-rent column for some tiers — see variance notes). Sec 236/LIHTC tier per rent-roll subsidy flags.</t>
        </r>
      </text>
    </comment>
    <comment ref="E47" authorId="0">
      <text>
        <r>
          <rPr>
            <sz val="10"/>
            <rFont val="Arial"/>
            <family val="2"/>
          </rPr>
          <t xml:space="preserve">LAHAP Model Build:
Source: SA - Rent Roll (4.15.26).xlsx — average in-place rent for the tier (DD governs; OM p.31 used the rent roll's market-rent column for some tiers — see variance notes). Sec 236/LIHTC tier per rent-roll subsidy flags.</t>
        </r>
      </text>
    </comment>
    <comment ref="F7" authorId="0">
      <text>
        <r>
          <rPr>
            <sz val="10"/>
            <rFont val="Arial"/>
            <family val="2"/>
          </rPr>
          <t xml:space="preserve">LAHAP Model Build:
Utility allowance per the HUD rent schedule.</t>
        </r>
      </text>
    </comment>
    <comment ref="F8" authorId="0">
      <text>
        <r>
          <rPr>
            <sz val="10"/>
            <rFont val="Arial"/>
            <family val="2"/>
          </rPr>
          <t xml:space="preserve">LAHAP Model Build:
Utility allowance per the HUD rent schedule.</t>
        </r>
      </text>
    </comment>
    <comment ref="F9" authorId="0">
      <text>
        <r>
          <rPr>
            <sz val="10"/>
            <rFont val="Arial"/>
            <family val="2"/>
          </rPr>
          <t xml:space="preserve">LAHAP Model Build:
Utility allowance per the HUD rent schedule.</t>
        </r>
      </text>
    </comment>
    <comment ref="F10" authorId="0">
      <text>
        <r>
          <rPr>
            <sz val="10"/>
            <rFont val="Arial"/>
            <family val="2"/>
          </rPr>
          <t xml:space="preserve">LAHAP Model Build:
Utility allowance per the HUD rent schedule.</t>
        </r>
      </text>
    </comment>
    <comment ref="F17" authorId="0">
      <text>
        <r>
          <rPr>
            <sz val="10"/>
            <rFont val="Arial"/>
            <family val="2"/>
          </rPr>
          <t xml:space="preserve">LAHAP Model Build:
Utility allowance per the HUD rent schedule.</t>
        </r>
      </text>
    </comment>
    <comment ref="F18" authorId="0">
      <text>
        <r>
          <rPr>
            <sz val="10"/>
            <rFont val="Arial"/>
            <family val="2"/>
          </rPr>
          <t xml:space="preserve">LAHAP Model Build:
Utility allowance per the HUD rent schedule.</t>
        </r>
      </text>
    </comment>
    <comment ref="F19" authorId="0">
      <text>
        <r>
          <rPr>
            <sz val="10"/>
            <rFont val="Arial"/>
            <family val="2"/>
          </rPr>
          <t xml:space="preserve">LAHAP Model Build:
Utility allowance per the HUD rent schedule.</t>
        </r>
      </text>
    </comment>
    <comment ref="F26" authorId="0">
      <text>
        <r>
          <rPr>
            <sz val="10"/>
            <rFont val="Arial"/>
            <family val="2"/>
          </rPr>
          <t xml:space="preserve">LAHAP Model Build:
Utility allowance per the HUD rent schedule.</t>
        </r>
      </text>
    </comment>
    <comment ref="F27" authorId="0">
      <text>
        <r>
          <rPr>
            <sz val="10"/>
            <rFont val="Arial"/>
            <family val="2"/>
          </rPr>
          <t xml:space="preserve">LAHAP Model Build:
Utility allowance per the HUD rent schedule.</t>
        </r>
      </text>
    </comment>
    <comment ref="F28" authorId="0">
      <text>
        <r>
          <rPr>
            <sz val="10"/>
            <rFont val="Arial"/>
            <family val="2"/>
          </rPr>
          <t xml:space="preserve">LAHAP Model Build:
Utility allowance per the HUD rent schedule.</t>
        </r>
      </text>
    </comment>
    <comment ref="F35" authorId="0">
      <text>
        <r>
          <rPr>
            <sz val="10"/>
            <rFont val="Arial"/>
            <family val="2"/>
          </rPr>
          <t xml:space="preserve">LAHAP Model Build:
Utility allowance per the HUD rent schedule.</t>
        </r>
      </text>
    </comment>
    <comment ref="F36" authorId="0">
      <text>
        <r>
          <rPr>
            <sz val="10"/>
            <rFont val="Arial"/>
            <family val="2"/>
          </rPr>
          <t xml:space="preserve">LAHAP Model Build:
Utility allowance per the HUD rent schedule.</t>
        </r>
      </text>
    </comment>
    <comment ref="F37" authorId="0">
      <text>
        <r>
          <rPr>
            <sz val="10"/>
            <rFont val="Arial"/>
            <family val="2"/>
          </rPr>
          <t xml:space="preserve">LAHAP Model Build:
Utility allowance per the HUD rent schedule.</t>
        </r>
      </text>
    </comment>
    <comment ref="F38" authorId="0">
      <text>
        <r>
          <rPr>
            <sz val="10"/>
            <rFont val="Arial"/>
            <family val="2"/>
          </rPr>
          <t xml:space="preserve">LAHAP Model Build:
Utility allowance per the HUD rent schedule.</t>
        </r>
      </text>
    </comment>
    <comment ref="F39" authorId="0">
      <text>
        <r>
          <rPr>
            <sz val="10"/>
            <rFont val="Arial"/>
            <family val="2"/>
          </rPr>
          <t xml:space="preserve">LAHAP Model Build:
Utility allowance per the HUD rent schedule.</t>
        </r>
      </text>
    </comment>
    <comment ref="F40" authorId="0">
      <text>
        <r>
          <rPr>
            <sz val="10"/>
            <rFont val="Arial"/>
            <family val="2"/>
          </rPr>
          <t xml:space="preserve">LAHAP Model Build:
Utility allowance per the HUD rent schedule.</t>
        </r>
      </text>
    </comment>
    <comment ref="F41" authorId="0">
      <text>
        <r>
          <rPr>
            <sz val="10"/>
            <rFont val="Arial"/>
            <family val="2"/>
          </rPr>
          <t xml:space="preserve">LAHAP Model Build:
Utility allowance per the HUD rent schedule.</t>
        </r>
      </text>
    </comment>
    <comment ref="F42" authorId="0">
      <text>
        <r>
          <rPr>
            <sz val="10"/>
            <rFont val="Arial"/>
            <family val="2"/>
          </rPr>
          <t xml:space="preserve">LAHAP Model Build:
Utility allowance per the HUD rent schedule.</t>
        </r>
      </text>
    </comment>
    <comment ref="F43" authorId="0">
      <text>
        <r>
          <rPr>
            <sz val="10"/>
            <rFont val="Arial"/>
            <family val="2"/>
          </rPr>
          <t xml:space="preserve">LAHAP Model Build:
Utility allowance per the HUD rent schedule.</t>
        </r>
      </text>
    </comment>
    <comment ref="F44" authorId="0">
      <text>
        <r>
          <rPr>
            <sz val="10"/>
            <rFont val="Arial"/>
            <family val="2"/>
          </rPr>
          <t xml:space="preserve">LAHAP Model Build:
Utility allowance per the HUD rent schedule.</t>
        </r>
      </text>
    </comment>
    <comment ref="F45" authorId="0">
      <text>
        <r>
          <rPr>
            <sz val="10"/>
            <rFont val="Arial"/>
            <family val="2"/>
          </rPr>
          <t xml:space="preserve">LAHAP Model Build:
Utility allowance per the HUD rent schedule.</t>
        </r>
      </text>
    </comment>
    <comment ref="F46" authorId="0">
      <text>
        <r>
          <rPr>
            <sz val="10"/>
            <rFont val="Arial"/>
            <family val="2"/>
          </rPr>
          <t xml:space="preserve">LAHAP Model Build:
Utility allowance per the HUD rent schedule.</t>
        </r>
      </text>
    </comment>
    <comment ref="F47" authorId="0">
      <text>
        <r>
          <rPr>
            <sz val="10"/>
            <rFont val="Arial"/>
            <family val="2"/>
          </rPr>
          <t xml:space="preserve">LAHAP Model Build:
Utility allowance per the HUD rent schedule.</t>
        </r>
      </text>
    </comment>
    <comment ref="G5" authorId="0">
      <text>
        <r>
          <rPr>
            <sz val="10"/>
            <rFont val="Arial"/>
            <family val="2"/>
          </rPr>
          <t xml:space="preserve">LAHAP Model Build:
Defaults to the global OCAF assumption (Dashboard); override in blue if a published year-1 OCAF is known.</t>
        </r>
      </text>
    </comment>
    <comment ref="G15" authorId="0">
      <text>
        <r>
          <rPr>
            <sz val="10"/>
            <rFont val="Arial"/>
            <family val="2"/>
          </rPr>
          <t xml:space="preserve">LAHAP Model Build:
Source: OM p.17 — published 9.8% Louisiana OCAF applied to New Zion's 1/1/2027 schedule (75% achievement per OCAFHaircut).</t>
        </r>
      </text>
    </comment>
    <comment ref="G24" authorId="0">
      <text>
        <r>
          <rPr>
            <sz val="10"/>
            <rFont val="Arial"/>
            <family val="2"/>
          </rPr>
          <t xml:space="preserve">LAHAP Model Build:
Defaults to the global OCAF assumption (Dashboard); override in blue if a published year-1 OCAF is known.</t>
        </r>
      </text>
    </comment>
    <comment ref="G33" authorId="0">
      <text>
        <r>
          <rPr>
            <sz val="10"/>
            <rFont val="Arial"/>
            <family val="2"/>
          </rPr>
          <t xml:space="preserve">LAHAP Model Build:
Defaults to the global OCAF assumption (Dashboard); override in blue if a published year-1 OCAF is known.</t>
        </r>
      </text>
    </comment>
    <comment ref="I7" authorId="0">
      <text>
        <r>
          <rPr>
            <sz val="10"/>
            <rFont val="Arial"/>
            <family val="2"/>
          </rPr>
          <t xml:space="preserve">LAHAP Model Build:
Source: OM p.10 — highest contract rent by unit type for family Option 1/2 HAP properties within a 8-mile radius (mark-up-to-market ceiling). Hardcoded from OM; no DD comp study on file.</t>
        </r>
      </text>
    </comment>
    <comment ref="I8" authorId="0">
      <text>
        <r>
          <rPr>
            <sz val="10"/>
            <rFont val="Arial"/>
            <family val="2"/>
          </rPr>
          <t xml:space="preserve">LAHAP Model Build:
Source: OM p.10 — highest contract rent by unit type for family Option 1/2 HAP properties within a 8-mile radius (mark-up-to-market ceiling). Hardcoded from OM; no DD comp study on file.</t>
        </r>
      </text>
    </comment>
    <comment ref="I9" authorId="0">
      <text>
        <r>
          <rPr>
            <sz val="10"/>
            <rFont val="Arial"/>
            <family val="2"/>
          </rPr>
          <t xml:space="preserve">LAHAP Model Build:
Source: OM p.10 — highest contract rent by unit type for family Option 1/2 HAP properties within a 8-mile radius (mark-up-to-market ceiling). Hardcoded from OM; no DD comp study on file.</t>
        </r>
      </text>
    </comment>
    <comment ref="I10" authorId="0">
      <text>
        <r>
          <rPr>
            <sz val="10"/>
            <rFont val="Arial"/>
            <family val="2"/>
          </rPr>
          <t xml:space="preserve">LAHAP Model Build:
Source: OM p.10 — highest contract rent by unit type for family Option 1/2 HAP properties within a 8-mile radius (mark-up-to-market ceiling). Hardcoded from OM; no DD comp study on file.</t>
        </r>
      </text>
    </comment>
    <comment ref="I17" authorId="0">
      <text>
        <r>
          <rPr>
            <sz val="10"/>
            <rFont val="Arial"/>
            <family val="2"/>
          </rPr>
          <t xml:space="preserve">LAHAP Model Build:
Source: OM p.17 — highest contract rent by unit type for family Option 1/2 HAP properties within a 8-mile radius (mark-up-to-market ceiling). Hardcoded from OM; no DD comp study on file.</t>
        </r>
      </text>
    </comment>
    <comment ref="I18" authorId="0">
      <text>
        <r>
          <rPr>
            <sz val="10"/>
            <rFont val="Arial"/>
            <family val="2"/>
          </rPr>
          <t xml:space="preserve">LAHAP Model Build:
Source: OM p.17 — highest contract rent by unit type for family Option 1/2 HAP properties within a 8-mile radius (mark-up-to-market ceiling). Hardcoded from OM; no DD comp study on file.</t>
        </r>
      </text>
    </comment>
    <comment ref="I19" authorId="0">
      <text>
        <r>
          <rPr>
            <sz val="10"/>
            <rFont val="Arial"/>
            <family val="2"/>
          </rPr>
          <t xml:space="preserve">LAHAP Model Build:
Source: OM p.17 — highest contract rent by unit type for family Option 1/2 HAP properties within a 8-mile radius (mark-up-to-market ceiling). Hardcoded from OM; no DD comp study on file.</t>
        </r>
      </text>
    </comment>
    <comment ref="I26" authorId="0">
      <text>
        <r>
          <rPr>
            <sz val="10"/>
            <rFont val="Arial"/>
            <family val="2"/>
          </rPr>
          <t xml:space="preserve">LAHAP Model Build:
Source: OM p.24 — highest contract rent by unit type for family Option 1/2 HAP properties within a 25-mile radius (mark-up-to-market ceiling). Hardcoded from OM; no DD comp study on file.</t>
        </r>
      </text>
    </comment>
    <comment ref="I27" authorId="0">
      <text>
        <r>
          <rPr>
            <sz val="10"/>
            <rFont val="Arial"/>
            <family val="2"/>
          </rPr>
          <t xml:space="preserve">LAHAP Model Build:
Source: OM p.24 — highest contract rent by unit type for family Option 1/2 HAP properties within a 25-mile radius (mark-up-to-market ceiling). Hardcoded from OM; no DD comp study on file.</t>
        </r>
      </text>
    </comment>
    <comment ref="I28" authorId="0">
      <text>
        <r>
          <rPr>
            <sz val="10"/>
            <rFont val="Arial"/>
            <family val="2"/>
          </rPr>
          <t xml:space="preserve">LAHAP Model Build:
Source: OM p.24 — highest contract rent by unit type for family Option 1/2 HAP properties within a 25-mile radius (mark-up-to-market ceiling). Hardcoded from OM; no DD comp study on file.</t>
        </r>
      </text>
    </comment>
    <comment ref="I35" authorId="0">
      <text>
        <r>
          <rPr>
            <sz val="10"/>
            <rFont val="Arial"/>
            <family val="2"/>
          </rPr>
          <t xml:space="preserve">LAHAP Model Build:
Source: OM p.31 — highest contract rent by unit type for family Option 1/2 HAP properties within a 5-mile radius (mark-up-to-market ceiling). Hardcoded from OM; no DD comp study on file.</t>
        </r>
      </text>
    </comment>
    <comment ref="I36" authorId="0">
      <text>
        <r>
          <rPr>
            <sz val="10"/>
            <rFont val="Arial"/>
            <family val="2"/>
          </rPr>
          <t xml:space="preserve">LAHAP Model Build:
Source: OM p.31 — highest contract rent by unit type for family Option 1/2 HAP properties within a 5-mile radius (mark-up-to-market ceiling). Hardcoded from OM; no DD comp study on file.</t>
        </r>
      </text>
    </comment>
    <comment ref="I37" authorId="0">
      <text>
        <r>
          <rPr>
            <sz val="10"/>
            <rFont val="Arial"/>
            <family val="2"/>
          </rPr>
          <t xml:space="preserve">LAHAP Model Build:
Source: OM p.31 — highest contract rent by unit type for family Option 1/2 HAP properties within a 5-mile radius (mark-up-to-market ceiling). Hardcoded from OM; no DD comp study on file.</t>
        </r>
      </text>
    </comment>
    <comment ref="I38" authorId="0">
      <text>
        <r>
          <rPr>
            <sz val="10"/>
            <rFont val="Arial"/>
            <family val="2"/>
          </rPr>
          <t xml:space="preserve">LAHAP Model Build:
Source: OM p.31 — highest contract rent by unit type for family Option 1/2 HAP properties within a 5-mile radius (mark-up-to-market ceiling). Hardcoded from OM; no DD comp study on file.</t>
        </r>
      </text>
    </comment>
    <comment ref="I39" authorId="0">
      <text>
        <r>
          <rPr>
            <sz val="10"/>
            <rFont val="Arial"/>
            <family val="2"/>
          </rPr>
          <t xml:space="preserve">LAHAP Model Build:
Source: OM p.31 — highest contract rent by unit type for family Option 1/2 HAP properties within a 5-mile radius (mark-up-to-market ceiling). Hardcoded from OM; no DD comp study on file.</t>
        </r>
      </text>
    </comment>
    <comment ref="I40" authorId="0">
      <text>
        <r>
          <rPr>
            <sz val="10"/>
            <rFont val="Arial"/>
            <family val="2"/>
          </rPr>
          <t xml:space="preserve">LAHAP Model Build:
Source: OM p.31 — highest contract rent by unit type for family Option 1/2 HAP properties within a 5-mile radius (mark-up-to-market ceiling). Hardcoded from OM; no DD comp study on file.</t>
        </r>
      </text>
    </comment>
    <comment ref="I41" authorId="0">
      <text>
        <r>
          <rPr>
            <sz val="10"/>
            <rFont val="Arial"/>
            <family val="2"/>
          </rPr>
          <t xml:space="preserve">LAHAP Model Build:
Source: OM p.31 — highest contract rent by unit type for family Option 1/2 HAP properties within a 5-mile radius (mark-up-to-market ceiling). Hardcoded from OM; no DD comp study on file.</t>
        </r>
      </text>
    </comment>
    <comment ref="I42" authorId="0">
      <text>
        <r>
          <rPr>
            <sz val="10"/>
            <rFont val="Arial"/>
            <family val="2"/>
          </rPr>
          <t xml:space="preserve">LAHAP Model Build:
Source: OM p.31 — highest contract rent by unit type for family Option 1/2 HAP properties within a 5-mile radius (mark-up-to-market ceiling). Hardcoded from OM; no DD comp study on file.</t>
        </r>
      </text>
    </comment>
    <comment ref="I43" authorId="0">
      <text>
        <r>
          <rPr>
            <sz val="10"/>
            <rFont val="Arial"/>
            <family val="2"/>
          </rPr>
          <t xml:space="preserve">LAHAP Model Build:
Source: OM p.31 — highest contract rent by unit type for family Option 1/2 HAP properties within a 5-mile radius (mark-up-to-market ceiling). Hardcoded from OM; no DD comp study on file.</t>
        </r>
      </text>
    </comment>
    <comment ref="I44" authorId="0">
      <text>
        <r>
          <rPr>
            <sz val="10"/>
            <rFont val="Arial"/>
            <family val="2"/>
          </rPr>
          <t xml:space="preserve">LAHAP Model Build:
Source: OM p.31 — highest contract rent by unit type for family Option 1/2 HAP properties within a 5-mile radius (mark-up-to-market ceiling). Hardcoded from OM; no DD comp study on file.</t>
        </r>
      </text>
    </comment>
    <comment ref="I45" authorId="0">
      <text>
        <r>
          <rPr>
            <sz val="10"/>
            <rFont val="Arial"/>
            <family val="2"/>
          </rPr>
          <t xml:space="preserve">LAHAP Model Build:
Source: OM p.31 — highest contract rent by unit type for family Option 1/2 HAP properties within a 5-mile radius (mark-up-to-market ceiling). Hardcoded from OM; no DD comp study on file.</t>
        </r>
      </text>
    </comment>
    <comment ref="I46" authorId="0">
      <text>
        <r>
          <rPr>
            <sz val="10"/>
            <rFont val="Arial"/>
            <family val="2"/>
          </rPr>
          <t xml:space="preserve">LAHAP Model Build:
Source: OM p.31 — highest contract rent by unit type for family Option 1/2 HAP properties within a 5-mile radius (mark-up-to-market ceiling). Hardcoded from OM; no DD comp study on file.</t>
        </r>
      </text>
    </comment>
    <comment ref="I47" authorId="0">
      <text>
        <r>
          <rPr>
            <sz val="10"/>
            <rFont val="Arial"/>
            <family val="2"/>
          </rPr>
          <t xml:space="preserve">LAHAP Model Build:
Source: OM p.31 — highest contract rent by unit type for family Option 1/2 HAP properties within a 5-mile radius (mark-up-to-market ceiling). Hardcoded from OM; no DD comp study on file.</t>
        </r>
      </text>
    </comment>
    <comment ref="J5" authorId="0">
      <text>
        <r>
          <rPr>
            <sz val="10"/>
            <rFont val="Arial"/>
            <family val="2"/>
          </rPr>
          <t xml:space="preserve">LAHAP Model Build:
Whole schedule-anniversary OCAF bumps between the current schedule effective date and the resyndication close.</t>
        </r>
      </text>
    </comment>
    <comment ref="J7" authorId="0">
      <text>
        <r>
          <rPr>
            <sz val="10"/>
            <rFont val="Arial"/>
            <family val="2"/>
          </rPr>
          <t xml:space="preserve">LAHAP Model Build:
Source: OM p.10 — 150% of 2026 Small Area FMR, net of tenant-paid utilities.</t>
        </r>
      </text>
    </comment>
    <comment ref="J8" authorId="0">
      <text>
        <r>
          <rPr>
            <sz val="10"/>
            <rFont val="Arial"/>
            <family val="2"/>
          </rPr>
          <t xml:space="preserve">LAHAP Model Build:
Source: OM p.10 — 150% of 2026 Small Area FMR, net of tenant-paid utilities.</t>
        </r>
      </text>
    </comment>
    <comment ref="J9" authorId="0">
      <text>
        <r>
          <rPr>
            <sz val="10"/>
            <rFont val="Arial"/>
            <family val="2"/>
          </rPr>
          <t xml:space="preserve">LAHAP Model Build:
Source: OM p.10 — 150% of 2026 Small Area FMR, net of tenant-paid utilities.</t>
        </r>
      </text>
    </comment>
    <comment ref="J10" authorId="0">
      <text>
        <r>
          <rPr>
            <sz val="10"/>
            <rFont val="Arial"/>
            <family val="2"/>
          </rPr>
          <t xml:space="preserve">LAHAP Model Build:
Source: OM p.10 — 150% of 2026 Small Area FMR, net of tenant-paid utilities.</t>
        </r>
      </text>
    </comment>
    <comment ref="J15" authorId="0">
      <text>
        <r>
          <rPr>
            <sz val="10"/>
            <rFont val="Arial"/>
            <family val="2"/>
          </rPr>
          <t xml:space="preserve">LAHAP Model Build:
Whole schedule-anniversary OCAF bumps between the current schedule effective date and the resyndication close.</t>
        </r>
      </text>
    </comment>
    <comment ref="J17" authorId="0">
      <text>
        <r>
          <rPr>
            <sz val="10"/>
            <rFont val="Arial"/>
            <family val="2"/>
          </rPr>
          <t xml:space="preserve">LAHAP Model Build:
Source: OM p.17 — 150% of 2026 Small Area FMR, net of tenant-paid utilities.</t>
        </r>
      </text>
    </comment>
    <comment ref="J18" authorId="0">
      <text>
        <r>
          <rPr>
            <sz val="10"/>
            <rFont val="Arial"/>
            <family val="2"/>
          </rPr>
          <t xml:space="preserve">LAHAP Model Build:
Source: OM p.17 — 150% of 2026 Small Area FMR, net of tenant-paid utilities.</t>
        </r>
      </text>
    </comment>
    <comment ref="J19" authorId="0">
      <text>
        <r>
          <rPr>
            <sz val="10"/>
            <rFont val="Arial"/>
            <family val="2"/>
          </rPr>
          <t xml:space="preserve">LAHAP Model Build:
Source: OM p.17 — 150% of 2026 Small Area FMR, net of tenant-paid utilities.</t>
        </r>
      </text>
    </comment>
    <comment ref="J24" authorId="0">
      <text>
        <r>
          <rPr>
            <sz val="10"/>
            <rFont val="Arial"/>
            <family val="2"/>
          </rPr>
          <t xml:space="preserve">LAHAP Model Build:
Whole schedule-anniversary OCAF bumps between the current schedule effective date and the resyndication close.</t>
        </r>
      </text>
    </comment>
    <comment ref="J26" authorId="0">
      <text>
        <r>
          <rPr>
            <sz val="10"/>
            <rFont val="Arial"/>
            <family val="2"/>
          </rPr>
          <t xml:space="preserve">LAHAP Model Build:
Source: OM p.24 — 150% of 2026 Small Area FMR, net of tenant-paid utilities.</t>
        </r>
      </text>
    </comment>
    <comment ref="J27" authorId="0">
      <text>
        <r>
          <rPr>
            <sz val="10"/>
            <rFont val="Arial"/>
            <family val="2"/>
          </rPr>
          <t xml:space="preserve">LAHAP Model Build:
Source: OM p.24 — 150% of 2026 Small Area FMR, net of tenant-paid utilities.</t>
        </r>
      </text>
    </comment>
    <comment ref="J28" authorId="0">
      <text>
        <r>
          <rPr>
            <sz val="10"/>
            <rFont val="Arial"/>
            <family val="2"/>
          </rPr>
          <t xml:space="preserve">LAHAP Model Build:
Source: OM p.24 — 150% of 2026 Small Area FMR, net of tenant-paid utilities.</t>
        </r>
      </text>
    </comment>
    <comment ref="J33" authorId="0">
      <text>
        <r>
          <rPr>
            <sz val="10"/>
            <rFont val="Arial"/>
            <family val="2"/>
          </rPr>
          <t xml:space="preserve">LAHAP Model Build:
Whole schedule-anniversary OCAF bumps between the current schedule effective date and the resyndication close.</t>
        </r>
      </text>
    </comment>
    <comment ref="J35" authorId="0">
      <text>
        <r>
          <rPr>
            <sz val="10"/>
            <rFont val="Arial"/>
            <family val="2"/>
          </rPr>
          <t xml:space="preserve">LAHAP Model Build:
Source: OM p.31 — 150% of 2026 Small Area FMR, net of tenant-paid utilities.</t>
        </r>
      </text>
    </comment>
    <comment ref="J36" authorId="0">
      <text>
        <r>
          <rPr>
            <sz val="10"/>
            <rFont val="Arial"/>
            <family val="2"/>
          </rPr>
          <t xml:space="preserve">LAHAP Model Build:
Source: OM p.31 — 150% of 2026 Small Area FMR, net of tenant-paid utilities.</t>
        </r>
      </text>
    </comment>
    <comment ref="J37" authorId="0">
      <text>
        <r>
          <rPr>
            <sz val="10"/>
            <rFont val="Arial"/>
            <family val="2"/>
          </rPr>
          <t xml:space="preserve">LAHAP Model Build:
Source: OM p.31 — 150% of 2026 Small Area FMR, net of tenant-paid utilities.</t>
        </r>
      </text>
    </comment>
    <comment ref="J38" authorId="0">
      <text>
        <r>
          <rPr>
            <sz val="10"/>
            <rFont val="Arial"/>
            <family val="2"/>
          </rPr>
          <t xml:space="preserve">LAHAP Model Build:
Source: OM p.31 — 150% of 2026 Small Area FMR, net of tenant-paid utilities.</t>
        </r>
      </text>
    </comment>
    <comment ref="J39" authorId="0">
      <text>
        <r>
          <rPr>
            <sz val="10"/>
            <rFont val="Arial"/>
            <family val="2"/>
          </rPr>
          <t xml:space="preserve">LAHAP Model Build:
Source: OM p.31 — 150% of 2026 Small Area FMR, net of tenant-paid utilities.</t>
        </r>
      </text>
    </comment>
    <comment ref="J40" authorId="0">
      <text>
        <r>
          <rPr>
            <sz val="10"/>
            <rFont val="Arial"/>
            <family val="2"/>
          </rPr>
          <t xml:space="preserve">LAHAP Model Build:
Source: OM p.31 — 150% of 2026 Small Area FMR, net of tenant-paid utilities.</t>
        </r>
      </text>
    </comment>
    <comment ref="J41" authorId="0">
      <text>
        <r>
          <rPr>
            <sz val="10"/>
            <rFont val="Arial"/>
            <family val="2"/>
          </rPr>
          <t xml:space="preserve">LAHAP Model Build:
Source: OM p.31 — 150% of 2026 Small Area FMR, net of tenant-paid utilities.</t>
        </r>
      </text>
    </comment>
    <comment ref="J42" authorId="0">
      <text>
        <r>
          <rPr>
            <sz val="10"/>
            <rFont val="Arial"/>
            <family val="2"/>
          </rPr>
          <t xml:space="preserve">LAHAP Model Build:
Source: OM p.31 — 150% of 2026 Small Area FMR, net of tenant-paid utilities.</t>
        </r>
      </text>
    </comment>
    <comment ref="J43" authorId="0">
      <text>
        <r>
          <rPr>
            <sz val="10"/>
            <rFont val="Arial"/>
            <family val="2"/>
          </rPr>
          <t xml:space="preserve">LAHAP Model Build:
Source: OM p.31 — 150% of 2026 Small Area FMR, net of tenant-paid utilities.</t>
        </r>
      </text>
    </comment>
    <comment ref="J44" authorId="0">
      <text>
        <r>
          <rPr>
            <sz val="10"/>
            <rFont val="Arial"/>
            <family val="2"/>
          </rPr>
          <t xml:space="preserve">LAHAP Model Build:
Source: OM p.31 — 150% of 2026 Small Area FMR, net of tenant-paid utilities.</t>
        </r>
      </text>
    </comment>
    <comment ref="J45" authorId="0">
      <text>
        <r>
          <rPr>
            <sz val="10"/>
            <rFont val="Arial"/>
            <family val="2"/>
          </rPr>
          <t xml:space="preserve">LAHAP Model Build:
Source: OM p.31 — 150% of 2026 Small Area FMR, net of tenant-paid utilities.</t>
        </r>
      </text>
    </comment>
    <comment ref="J46" authorId="0">
      <text>
        <r>
          <rPr>
            <sz val="10"/>
            <rFont val="Arial"/>
            <family val="2"/>
          </rPr>
          <t xml:space="preserve">LAHAP Model Build:
Source: OM p.31 — 150% of 2026 Small Area FMR, net of tenant-paid utilities.</t>
        </r>
      </text>
    </comment>
    <comment ref="J47" authorId="0">
      <text>
        <r>
          <rPr>
            <sz val="10"/>
            <rFont val="Arial"/>
            <family val="2"/>
          </rPr>
          <t xml:space="preserve">LAHAP Model Build:
Source: OM p.31 — 150% of 2026 Small Area FMR, net of tenant-paid utilities.</t>
        </r>
      </text>
    </comment>
    <comment ref="K35" authorId="0">
      <text>
        <r>
          <rPr>
            <sz val="10"/>
            <rFont val="Arial"/>
            <family val="2"/>
          </rPr>
          <t xml:space="preserve">LAHAP Model Build:
Source: OM p.31 — 2026 LIHTC max rent at current income tiers; governs non-HAP units (spec Sec. 5.2).</t>
        </r>
      </text>
    </comment>
    <comment ref="K36" authorId="0">
      <text>
        <r>
          <rPr>
            <sz val="10"/>
            <rFont val="Arial"/>
            <family val="2"/>
          </rPr>
          <t xml:space="preserve">LAHAP Model Build:
Source: OM p.31 — 2026 LIHTC max rent at current income tiers; governs non-HAP units (spec Sec. 5.2).</t>
        </r>
      </text>
    </comment>
    <comment ref="K37" authorId="0">
      <text>
        <r>
          <rPr>
            <sz val="10"/>
            <rFont val="Arial"/>
            <family val="2"/>
          </rPr>
          <t xml:space="preserve">LAHAP Model Build:
Source: OM p.31 — 2026 LIHTC max rent at current income tiers; governs non-HAP units (spec Sec. 5.2).</t>
        </r>
      </text>
    </comment>
    <comment ref="K38" authorId="0">
      <text>
        <r>
          <rPr>
            <sz val="10"/>
            <rFont val="Arial"/>
            <family val="2"/>
          </rPr>
          <t xml:space="preserve">LAHAP Model Build:
Source: OM p.31 — 2026 LIHTC max rent at current income tiers; governs non-HAP units (spec Sec. 5.2).</t>
        </r>
      </text>
    </comment>
    <comment ref="K39" authorId="0">
      <text>
        <r>
          <rPr>
            <sz val="10"/>
            <rFont val="Arial"/>
            <family val="2"/>
          </rPr>
          <t xml:space="preserve">LAHAP Model Build:
Source: OM p.31 — 2026 LIHTC max rent at current income tiers; governs non-HAP units (spec Sec. 5.2).</t>
        </r>
      </text>
    </comment>
    <comment ref="K40" authorId="0">
      <text>
        <r>
          <rPr>
            <sz val="10"/>
            <rFont val="Arial"/>
            <family val="2"/>
          </rPr>
          <t xml:space="preserve">LAHAP Model Build:
Source: OM p.31 — 2026 LIHTC max rent at current income tiers; governs non-HAP units (spec Sec. 5.2).</t>
        </r>
      </text>
    </comment>
    <comment ref="K41" authorId="0">
      <text>
        <r>
          <rPr>
            <sz val="10"/>
            <rFont val="Arial"/>
            <family val="2"/>
          </rPr>
          <t xml:space="preserve">LAHAP Model Build:
Source: OM p.31 — 2026 LIHTC max rent at current income tiers; governs non-HAP units (spec Sec. 5.2).</t>
        </r>
      </text>
    </comment>
    <comment ref="K42" authorId="0">
      <text>
        <r>
          <rPr>
            <sz val="10"/>
            <rFont val="Arial"/>
            <family val="2"/>
          </rPr>
          <t xml:space="preserve">LAHAP Model Build:
Source: OM p.31 — 2026 LIHTC max rent at current income tiers; governs non-HAP units (spec Sec. 5.2).</t>
        </r>
      </text>
    </comment>
    <comment ref="K43" authorId="0">
      <text>
        <r>
          <rPr>
            <sz val="10"/>
            <rFont val="Arial"/>
            <family val="2"/>
          </rPr>
          <t xml:space="preserve">LAHAP Model Build:
Source: OM p.31 — 2026 LIHTC max rent at current income tiers; governs non-HAP units (spec Sec. 5.2).</t>
        </r>
      </text>
    </comment>
    <comment ref="K44" authorId="0">
      <text>
        <r>
          <rPr>
            <sz val="10"/>
            <rFont val="Arial"/>
            <family val="2"/>
          </rPr>
          <t xml:space="preserve">LAHAP Model Build:
Source: OM p.31 — 2026 LIHTC max rent at current income tiers; governs non-HAP units (spec Sec. 5.2).</t>
        </r>
      </text>
    </comment>
    <comment ref="K45" authorId="0">
      <text>
        <r>
          <rPr>
            <sz val="10"/>
            <rFont val="Arial"/>
            <family val="2"/>
          </rPr>
          <t xml:space="preserve">LAHAP Model Build:
Source: OM p.31 — 2026 LIHTC max rent at current income tiers; governs non-HAP units (spec Sec. 5.2).</t>
        </r>
      </text>
    </comment>
    <comment ref="K46" authorId="0">
      <text>
        <r>
          <rPr>
            <sz val="10"/>
            <rFont val="Arial"/>
            <family val="2"/>
          </rPr>
          <t xml:space="preserve">LAHAP Model Build:
Source: OM p.31 — 2026 LIHTC max rent at current income tiers; governs non-HAP units (spec Sec. 5.2).</t>
        </r>
      </text>
    </comment>
    <comment ref="K47" authorId="0">
      <text>
        <r>
          <rPr>
            <sz val="10"/>
            <rFont val="Arial"/>
            <family val="2"/>
          </rPr>
          <t xml:space="preserve">LAHAP Model Build:
Source: OM p.31 — 2026 LIHTC max rent at current income tiers; governs non-HAP units (spec Sec. 5.2).</t>
        </r>
      </text>
    </comment>
    <comment ref="M5" authorId="0">
      <text>
        <r>
          <rPr>
            <sz val="10"/>
            <rFont val="Arial"/>
            <family val="2"/>
          </rPr>
          <t xml:space="preserve">LAHAP Model Build:
Current x (1+OCAF x haircut)^bumps per spec Sec. 5.2; the first bump uses the published Year-1 OCAF where known.</t>
        </r>
      </text>
    </comment>
    <comment ref="M7" authorId="0">
      <text>
        <r>
          <rPr>
            <sz val="10"/>
            <rFont val="Arial"/>
            <family val="2"/>
          </rPr>
          <t xml:space="preserve">LAHAP Model Build:
Average in-place rent per the 4.15.26 rent roll (memo — pre-OCAF).</t>
        </r>
      </text>
    </comment>
    <comment ref="M8" authorId="0">
      <text>
        <r>
          <rPr>
            <sz val="10"/>
            <rFont val="Arial"/>
            <family val="2"/>
          </rPr>
          <t xml:space="preserve">LAHAP Model Build:
Average in-place rent per the 4.15.26 rent roll (memo — pre-OCAF).</t>
        </r>
      </text>
    </comment>
    <comment ref="M9" authorId="0">
      <text>
        <r>
          <rPr>
            <sz val="10"/>
            <rFont val="Arial"/>
            <family val="2"/>
          </rPr>
          <t xml:space="preserve">LAHAP Model Build:
Average in-place rent per the 4.15.26 rent roll (memo — pre-OCAF).</t>
        </r>
      </text>
    </comment>
    <comment ref="M10" authorId="0">
      <text>
        <r>
          <rPr>
            <sz val="10"/>
            <rFont val="Arial"/>
            <family val="2"/>
          </rPr>
          <t xml:space="preserve">LAHAP Model Build:
Average in-place rent per the 4.15.26 rent roll (memo — pre-OCAF).</t>
        </r>
      </text>
    </comment>
    <comment ref="M15" authorId="0">
      <text>
        <r>
          <rPr>
            <sz val="10"/>
            <rFont val="Arial"/>
            <family val="2"/>
          </rPr>
          <t xml:space="preserve">LAHAP Model Build:
Current x (1+OCAF x haircut)^bumps per spec Sec. 5.2; the first bump uses the published Year-1 OCAF where known.</t>
        </r>
      </text>
    </comment>
    <comment ref="M17" authorId="0">
      <text>
        <r>
          <rPr>
            <sz val="10"/>
            <rFont val="Arial"/>
            <family val="2"/>
          </rPr>
          <t xml:space="preserve">LAHAP Model Build:
Average in-place rent per the 4.15.26 rent roll (memo — pre-OCAF).</t>
        </r>
      </text>
    </comment>
    <comment ref="M18" authorId="0">
      <text>
        <r>
          <rPr>
            <sz val="10"/>
            <rFont val="Arial"/>
            <family val="2"/>
          </rPr>
          <t xml:space="preserve">LAHAP Model Build:
Average in-place rent per the 4.15.26 rent roll (memo — pre-OCAF).</t>
        </r>
      </text>
    </comment>
    <comment ref="M19" authorId="0">
      <text>
        <r>
          <rPr>
            <sz val="10"/>
            <rFont val="Arial"/>
            <family val="2"/>
          </rPr>
          <t xml:space="preserve">LAHAP Model Build:
Average in-place rent per the 4.15.26 rent roll (memo — pre-OCAF).</t>
        </r>
      </text>
    </comment>
    <comment ref="M24" authorId="0">
      <text>
        <r>
          <rPr>
            <sz val="10"/>
            <rFont val="Arial"/>
            <family val="2"/>
          </rPr>
          <t xml:space="preserve">LAHAP Model Build:
Current x (1+OCAF x haircut)^bumps per spec Sec. 5.2; the first bump uses the published Year-1 OCAF where known.</t>
        </r>
      </text>
    </comment>
    <comment ref="M26" authorId="0">
      <text>
        <r>
          <rPr>
            <sz val="10"/>
            <rFont val="Arial"/>
            <family val="2"/>
          </rPr>
          <t xml:space="preserve">LAHAP Model Build:
Average in-place rent per the 4.15.26 rent roll (memo — pre-OCAF).</t>
        </r>
      </text>
    </comment>
    <comment ref="M27" authorId="0">
      <text>
        <r>
          <rPr>
            <sz val="10"/>
            <rFont val="Arial"/>
            <family val="2"/>
          </rPr>
          <t xml:space="preserve">LAHAP Model Build:
Average in-place rent per the 4.15.26 rent roll (memo — pre-OCAF).</t>
        </r>
      </text>
    </comment>
    <comment ref="M28" authorId="0">
      <text>
        <r>
          <rPr>
            <sz val="10"/>
            <rFont val="Arial"/>
            <family val="2"/>
          </rPr>
          <t xml:space="preserve">LAHAP Model Build:
Average in-place rent per the 4.15.26 rent roll (memo — pre-OCAF).</t>
        </r>
      </text>
    </comment>
    <comment ref="M33" authorId="0">
      <text>
        <r>
          <rPr>
            <sz val="10"/>
            <rFont val="Arial"/>
            <family val="2"/>
          </rPr>
          <t xml:space="preserve">LAHAP Model Build:
Current x (1+OCAF x haircut)^bumps per spec Sec. 5.2; the first bump uses the published Year-1 OCAF where known.</t>
        </r>
      </text>
    </comment>
    <comment ref="M35" authorId="0">
      <text>
        <r>
          <rPr>
            <sz val="10"/>
            <rFont val="Arial"/>
            <family val="2"/>
          </rPr>
          <t xml:space="preserve">LAHAP Model Build:
Average in-place rent per the 4.15.26 rent roll (memo — pre-OCAF).</t>
        </r>
      </text>
    </comment>
    <comment ref="M36" authorId="0">
      <text>
        <r>
          <rPr>
            <sz val="10"/>
            <rFont val="Arial"/>
            <family val="2"/>
          </rPr>
          <t xml:space="preserve">LAHAP Model Build:
Average in-place rent per the 4.15.26 rent roll (memo — pre-OCAF).</t>
        </r>
      </text>
    </comment>
    <comment ref="M37" authorId="0">
      <text>
        <r>
          <rPr>
            <sz val="10"/>
            <rFont val="Arial"/>
            <family val="2"/>
          </rPr>
          <t xml:space="preserve">LAHAP Model Build:
Average in-place rent per the 4.15.26 rent roll (memo — pre-OCAF).</t>
        </r>
      </text>
    </comment>
    <comment ref="M38" authorId="0">
      <text>
        <r>
          <rPr>
            <sz val="10"/>
            <rFont val="Arial"/>
            <family val="2"/>
          </rPr>
          <t xml:space="preserve">LAHAP Model Build:
Average in-place rent per the 4.15.26 rent roll (memo — pre-OCAF).</t>
        </r>
      </text>
    </comment>
    <comment ref="M39" authorId="0">
      <text>
        <r>
          <rPr>
            <sz val="10"/>
            <rFont val="Arial"/>
            <family val="2"/>
          </rPr>
          <t xml:space="preserve">LAHAP Model Build:
Average in-place rent per the 4.15.26 rent roll (memo — pre-OCAF).</t>
        </r>
      </text>
    </comment>
    <comment ref="M40" authorId="0">
      <text>
        <r>
          <rPr>
            <sz val="10"/>
            <rFont val="Arial"/>
            <family val="2"/>
          </rPr>
          <t xml:space="preserve">LAHAP Model Build:
Average in-place rent per the 4.15.26 rent roll (memo — pre-OCAF).</t>
        </r>
      </text>
    </comment>
    <comment ref="M41" authorId="0">
      <text>
        <r>
          <rPr>
            <sz val="10"/>
            <rFont val="Arial"/>
            <family val="2"/>
          </rPr>
          <t xml:space="preserve">LAHAP Model Build:
Average in-place rent per the 4.15.26 rent roll (memo — pre-OCAF).</t>
        </r>
      </text>
    </comment>
    <comment ref="M42" authorId="0">
      <text>
        <r>
          <rPr>
            <sz val="10"/>
            <rFont val="Arial"/>
            <family val="2"/>
          </rPr>
          <t xml:space="preserve">LAHAP Model Build:
Average in-place rent per the 4.15.26 rent roll (memo — pre-OCAF).</t>
        </r>
      </text>
    </comment>
    <comment ref="M43" authorId="0">
      <text>
        <r>
          <rPr>
            <sz val="10"/>
            <rFont val="Arial"/>
            <family val="2"/>
          </rPr>
          <t xml:space="preserve">LAHAP Model Build:
Average in-place rent per the 4.15.26 rent roll (memo — pre-OCAF).</t>
        </r>
      </text>
    </comment>
    <comment ref="M44" authorId="0">
      <text>
        <r>
          <rPr>
            <sz val="10"/>
            <rFont val="Arial"/>
            <family val="2"/>
          </rPr>
          <t xml:space="preserve">LAHAP Model Build:
Average in-place rent per the 4.15.26 rent roll (memo — pre-OCAF).</t>
        </r>
      </text>
    </comment>
    <comment ref="M45" authorId="0">
      <text>
        <r>
          <rPr>
            <sz val="10"/>
            <rFont val="Arial"/>
            <family val="2"/>
          </rPr>
          <t xml:space="preserve">LAHAP Model Build:
Average in-place rent per the 4.15.26 rent roll (memo — pre-OCAF).</t>
        </r>
      </text>
    </comment>
    <comment ref="M46" authorId="0">
      <text>
        <r>
          <rPr>
            <sz val="10"/>
            <rFont val="Arial"/>
            <family val="2"/>
          </rPr>
          <t xml:space="preserve">LAHAP Model Build:
Average in-place rent per the 4.15.26 rent roll (memo — pre-OCAF).</t>
        </r>
      </text>
    </comment>
    <comment ref="M47" authorId="0">
      <text>
        <r>
          <rPr>
            <sz val="10"/>
            <rFont val="Arial"/>
            <family val="2"/>
          </rPr>
          <t xml:space="preserve">LAHAP Model Build:
Average in-place rent per the 4.15.26 rent roll (memo — pre-OCAF).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LAHAP Model Build:
12 x SUMPRODUCT of HAP unit counts x post-rehab rents (Unit Mix+Rents).</t>
        </r>
      </text>
    </comment>
    <comment ref="B18" authorId="0">
      <text>
        <r>
          <rPr>
            <sz val="10"/>
            <rFont val="Arial"/>
            <family val="2"/>
          </rPr>
          <t xml:space="preserve">LAHAP Model Build:
MgmtFeePct (Dashboard) x EGI. Expense Detail's management-fee line links here (green).</t>
        </r>
      </text>
    </comment>
    <comment ref="B23" authorId="0">
      <text>
        <r>
          <rPr>
            <sz val="10"/>
            <rFont val="Arial"/>
            <family val="2"/>
          </rPr>
          <t xml:space="preserve">LAHAP Model Build:
Insurance trends at InsGrowth (6.0% placeholder), never the general trend — spec Sec. 5.4; Louisiana insurance is the largest single expense risk.</t>
        </r>
      </text>
    </comment>
    <comment ref="C9" authorId="0">
      <text>
        <r>
          <rPr>
            <sz val="10"/>
            <rFont val="Arial"/>
            <family val="2"/>
          </rPr>
          <t xml:space="preserve">LAHAP Model Build:
Source: OM p.9 'Other Revenue' current-rents column (tenant charges + misc, avg of 2024/2025 actuals per broker). Seeded from OM actuals per spec Sec. 5.3; adjust as needed.</t>
        </r>
      </text>
    </comment>
    <comment ref="C11" authorId="0">
      <text>
        <r>
          <rPr>
            <sz val="10"/>
            <rFont val="Arial"/>
            <family val="2"/>
          </rPr>
          <t xml:space="preserve">LAHAP Model Build:
Seeded at actual vacancy per CH - Rent Roll (4.15.26).xlsx — 3 of 84 vacant (96.4% occupied). Spec Sec. 5.3. Scorecard tests this against the QAP vacancy floor (VacancyMin).</t>
        </r>
      </text>
    </comment>
    <comment ref="D9" authorId="0">
      <text>
        <r>
          <rPr>
            <sz val="10"/>
            <rFont val="Arial"/>
            <family val="2"/>
          </rPr>
          <t xml:space="preserve">LAHAP Model Build:
Source: OM p.16 'Other Revenue' current-rents column. Seeded from OM actuals per spec Sec. 5.3; adjust as needed.</t>
        </r>
      </text>
    </comment>
    <comment ref="D11" authorId="0">
      <text>
        <r>
          <rPr>
            <sz val="10"/>
            <rFont val="Arial"/>
            <family val="2"/>
          </rPr>
          <t xml:space="preserve">LAHAP Model Build:
Seeded at actual vacancy per NZ - Rent Roll (4.15.26).xlsx — 2 of 100 vacant (98.0% occupied). Spec Sec. 5.3. Scorecard tests this against the QAP vacancy floor (VacancyMin).</t>
        </r>
      </text>
    </comment>
    <comment ref="E9" authorId="0">
      <text>
        <r>
          <rPr>
            <sz val="10"/>
            <rFont val="Arial"/>
            <family val="2"/>
          </rPr>
          <t xml:space="preserve">LAHAP Model Build:
Source: OM p.23 'Other Revenue' current-rents column. Seeded from OM actuals per spec Sec. 5.3; adjust as needed.</t>
        </r>
      </text>
    </comment>
    <comment ref="E11" authorId="0">
      <text>
        <r>
          <rPr>
            <sz val="10"/>
            <rFont val="Arial"/>
            <family val="2"/>
          </rPr>
          <t xml:space="preserve">LAHAP Model Build:
Seeded at actual vacancy per LOM - Rent Roll (4.15.26).xlsx — 9 of 119 vacant (92.4% occupied). Spec Sec. 5.3. Scorecard tests this against the QAP vacancy floor (VacancyMin).</t>
        </r>
      </text>
    </comment>
    <comment ref="F9" authorId="0">
      <text>
        <r>
          <rPr>
            <sz val="10"/>
            <rFont val="Arial"/>
            <family val="2"/>
          </rPr>
          <t xml:space="preserve">LAHAP Model Build:
Source: OM p.30 'Other Revenue' current-rents column (tenant charges $30,700 + cable income $4,262, avg 2024/2025). Seeded from OM actuals per spec Sec. 5.3; adjust as needed.</t>
        </r>
      </text>
    </comment>
    <comment ref="F11" authorId="0">
      <text>
        <r>
          <rPr>
            <sz val="10"/>
            <rFont val="Arial"/>
            <family val="2"/>
          </rPr>
          <t xml:space="preserve">LAHAP Model Build:
Seeded at actual vacancy per SA - Rent Roll (4.15.26).xlsx — 19 of 204 vacant (90.7% occupied). Spec Sec. 5.3. Scorecard tests this against the QAP vacancy floor (VacancyMin).</t>
        </r>
      </text>
    </comment>
    <comment ref="F12" authorId="0">
      <text>
        <r>
          <rPr>
            <sz val="10"/>
            <rFont val="Arial"/>
            <family val="2"/>
          </rPr>
          <t xml:space="preserve">LAHAP Model Build:
Seeded at SA overall actual vacancy (rent roll does not split HAP vs non-HAP vacancy) — buyer assumption; adjust as needed.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6" authorId="0">
      <text>
        <r>
          <rPr>
            <sz val="10"/>
            <rFont val="Arial"/>
            <family val="2"/>
          </rPr>
          <t xml:space="preserve">LAHAP Model Build:
Model assumption = OM/broker market-expense basis (Average 2024 and 2025). Source: Louisiana HAP Portfolio - Underwriting &amp; Hold Models.xlsx (DD Master Documents), agent-verified against the audited financials. Adjust as needed.</t>
        </r>
      </text>
    </comment>
    <comment ref="F7" authorId="0">
      <text>
        <r>
          <rPr>
            <sz val="10"/>
            <rFont val="Arial"/>
            <family val="2"/>
          </rPr>
          <t xml:space="preserve">LAHAP Model Build:
Model assumption = OM/broker market-expense basis (Broker Estimate). Source: Louisiana HAP Portfolio - Underwriting &amp; Hold Models.xlsx (DD Master Documents), agent-verified against the audited financials. Adjust as needed.</t>
        </r>
      </text>
    </comment>
    <comment ref="F8" authorId="0">
      <text>
        <r>
          <rPr>
            <sz val="10"/>
            <rFont val="Arial"/>
            <family val="2"/>
          </rPr>
          <t xml:space="preserve">LAHAP Model Build:
Model assumption = OM/broker market-expense basis (In-Place FT Assistant Manager at current rate (allocated 46% to Clear Horizons and 54% to New Zion)). Source: Louisiana HAP Portfolio - Underwriting &amp; Hold Models.xlsx (DD Master Documents), agent-verified against the audited financials. Adjust as needed.</t>
        </r>
      </text>
    </comment>
    <comment ref="F9" authorId="0">
      <text>
        <r>
          <rPr>
            <sz val="10"/>
            <rFont val="Arial"/>
            <family val="2"/>
          </rPr>
          <t xml:space="preserve">LAHAP Model Build:
Model assumption = OM/broker market-expense basis (2026 Budget). Source: Louisiana HAP Portfolio - Underwriting &amp; Hold Models.xlsx (DD Master Documents), agent-verified against the audited financials. Adjust as needed.</t>
        </r>
      </text>
    </comment>
    <comment ref="F10" authorId="0">
      <text>
        <r>
          <rPr>
            <sz val="10"/>
            <rFont val="Arial"/>
            <family val="2"/>
          </rPr>
          <t xml:space="preserve">LAHAP Model Build:
Green link: management fee = MgmtFeePct x EGI, computed on Rev+Expenses. Comparison columns show the broker/audit fee for reference.</t>
        </r>
      </text>
    </comment>
    <comment ref="F11" authorId="0">
      <text>
        <r>
          <rPr>
            <sz val="10"/>
            <rFont val="Arial"/>
            <family val="2"/>
          </rPr>
          <t xml:space="preserve">LAHAP Model Build:
Model assumption = OM/broker market-expense basis (In-Place FT Property Manager at current rate). Source: Louisiana HAP Portfolio - Underwriting &amp; Hold Models.xlsx (DD Master Documents), agent-verified against the audited financials. Adjust as needed.</t>
        </r>
      </text>
    </comment>
    <comment ref="F12" authorId="0">
      <text>
        <r>
          <rPr>
            <sz val="10"/>
            <rFont val="Arial"/>
            <family val="2"/>
          </rPr>
          <t xml:space="preserve">LAHAP Model Build:
Model assumption = OM/broker market-expense basis (Broker Estimate). Source: Louisiana HAP Portfolio - Underwriting &amp; Hold Models.xlsx (DD Master Documents), agent-verified against the audited financials. Adjust as needed.</t>
        </r>
      </text>
    </comment>
    <comment ref="F13" authorId="0">
      <text>
        <r>
          <rPr>
            <sz val="10"/>
            <rFont val="Arial"/>
            <family val="2"/>
          </rPr>
          <t xml:space="preserve">LAHAP Model Build:
Model assumption = OM/broker market-expense basis (Broker Estimate). Source: Louisiana HAP Portfolio - Underwriting &amp; Hold Models.xlsx (DD Master Documents), agent-verified against the audited financials. Adjust as needed.</t>
        </r>
      </text>
    </comment>
    <comment ref="F14" authorId="0">
      <text>
        <r>
          <rPr>
            <sz val="10"/>
            <rFont val="Arial"/>
            <family val="2"/>
          </rPr>
          <t xml:space="preserve">LAHAP Model Build:
Model assumption = OM/broker market-expense basis. Source: Louisiana HAP Portfolio - Underwriting &amp; Hold Models.xlsx (DD Master Documents), agent-verified against the audited financials. Adjust as needed.</t>
        </r>
      </text>
    </comment>
    <comment ref="F15" authorId="0">
      <text>
        <r>
          <rPr>
            <sz val="10"/>
            <rFont val="Arial"/>
            <family val="2"/>
          </rPr>
          <t xml:space="preserve">LAHAP Model Build:
Model assumption = OM/broker market-expense basis (Broker Estimate). Source: Louisiana HAP Portfolio - Underwriting &amp; Hold Models.xlsx (DD Master Documents), agent-verified against the audited financials. Adjust as needed.</t>
        </r>
      </text>
    </comment>
    <comment ref="F18" authorId="0">
      <text>
        <r>
          <rPr>
            <sz val="10"/>
            <rFont val="Arial"/>
            <family val="2"/>
          </rPr>
          <t xml:space="preserve">LAHAP Model Build:
Model assumption = OM/broker market-expense basis (2026 Budget). Source: Louisiana HAP Portfolio - Underwriting &amp; Hold Models.xlsx (DD Master Documents), agent-verified against the audited financials. Adjust as needed.</t>
        </r>
      </text>
    </comment>
    <comment ref="F19" authorId="0">
      <text>
        <r>
          <rPr>
            <sz val="10"/>
            <rFont val="Arial"/>
            <family val="2"/>
          </rPr>
          <t xml:space="preserve">LAHAP Model Build:
Model assumption = OM/broker market-expense basis. Source: Louisiana HAP Portfolio - Underwriting &amp; Hold Models.xlsx (DD Master Documents), agent-verified against the audited financials. Adjust as needed.</t>
        </r>
      </text>
    </comment>
    <comment ref="F20" authorId="0">
      <text>
        <r>
          <rPr>
            <sz val="10"/>
            <rFont val="Arial"/>
            <family val="2"/>
          </rPr>
          <t xml:space="preserve">LAHAP Model Build:
Model assumption = OM/broker market-expense basis (2026 Budget). Source: Louisiana HAP Portfolio - Underwriting &amp; Hold Models.xlsx (DD Master Documents), agent-verified against the audited financials. Adjust as needed.</t>
        </r>
      </text>
    </comment>
    <comment ref="F21" authorId="0">
      <text>
        <r>
          <rPr>
            <sz val="10"/>
            <rFont val="Arial"/>
            <family val="2"/>
          </rPr>
          <t xml:space="preserve">LAHAP Model Build:
Model assumption = OM/broker market-expense basis. Source: Louisiana HAP Portfolio - Underwriting &amp; Hold Models.xlsx (DD Master Documents), agent-verified against the audited financials. Adjust as needed.</t>
        </r>
      </text>
    </comment>
    <comment ref="F24" authorId="0">
      <text>
        <r>
          <rPr>
            <sz val="10"/>
            <rFont val="Arial"/>
            <family val="2"/>
          </rPr>
          <t xml:space="preserve">LAHAP Model Build:
Model assumption = OM/broker market-expense basis (Four in-Place FT Maintenance Techs at current rates (all positions allocated 46% to Clear Horizons and 54% to New Zion)). Source: Louisiana HAP Portfolio - Underwriting &amp; Hold Models.xlsx (DD Master Documents), agent-verified against the audited financials. Adjust as needed.</t>
        </r>
      </text>
    </comment>
    <comment ref="F25" authorId="0">
      <text>
        <r>
          <rPr>
            <sz val="10"/>
            <rFont val="Arial"/>
            <family val="2"/>
          </rPr>
          <t xml:space="preserve">LAHAP Model Build:
Model assumption = OM/broker market-expense basis ($500/unit - Broker Estimate). Source: Louisiana HAP Portfolio - Underwriting &amp; Hold Models.xlsx (DD Master Documents), agent-verified against the audited financials. Adjust as needed.</t>
        </r>
      </text>
    </comment>
    <comment ref="F26" authorId="0">
      <text>
        <r>
          <rPr>
            <sz val="10"/>
            <rFont val="Arial"/>
            <family val="2"/>
          </rPr>
          <t xml:space="preserve">LAHAP Model Build:
Model assumption = OM/broker market-expense basis ($500/unit - Broker Estimate). Source: Louisiana HAP Portfolio - Underwriting &amp; Hold Models.xlsx (DD Master Documents), agent-verified against the audited financials. Adjust as needed.</t>
        </r>
      </text>
    </comment>
    <comment ref="F27" authorId="0">
      <text>
        <r>
          <rPr>
            <sz val="10"/>
            <rFont val="Arial"/>
            <family val="2"/>
          </rPr>
          <t xml:space="preserve">LAHAP Model Build:
Model assumption = OM/broker market-expense basis (2026 Budget). Source: Louisiana HAP Portfolio - Underwriting &amp; Hold Models.xlsx (DD Master Documents), agent-verified against the audited financials. Adjust as needed.</t>
        </r>
      </text>
    </comment>
    <comment ref="F28" authorId="0">
      <text>
        <r>
          <rPr>
            <sz val="10"/>
            <rFont val="Arial"/>
            <family val="2"/>
          </rPr>
          <t xml:space="preserve">LAHAP Model Build:
Model assumption = OM/broker market-expense basis (2026 Budget). Source: Louisiana HAP Portfolio - Underwriting &amp; Hold Models.xlsx (DD Master Documents), agent-verified against the audited financials. Adjust as needed.</t>
        </r>
      </text>
    </comment>
    <comment ref="F29" authorId="0">
      <text>
        <r>
          <rPr>
            <sz val="10"/>
            <rFont val="Arial"/>
            <family val="2"/>
          </rPr>
          <t xml:space="preserve">LAHAP Model Build:
Model assumption = OM/broker market-expense basis (Broker Estimate). Source: Louisiana HAP Portfolio - Underwriting &amp; Hold Models.xlsx (DD Master Documents), agent-verified against the audited financials. Adjust as needed.</t>
        </r>
      </text>
    </comment>
    <comment ref="F30" authorId="0">
      <text>
        <r>
          <rPr>
            <sz val="10"/>
            <rFont val="Arial"/>
            <family val="2"/>
          </rPr>
          <t xml:space="preserve">LAHAP Model Build:
Model assumption = OM/broker market-expense basis. Source: Louisiana HAP Portfolio - Underwriting &amp; Hold Models.xlsx (DD Master Documents), agent-verified against the audited financials. Adjust as needed.</t>
        </r>
      </text>
    </comment>
    <comment ref="F33" authorId="0">
      <text>
        <r>
          <rPr>
            <sz val="10"/>
            <rFont val="Arial"/>
            <family val="2"/>
          </rPr>
          <t xml:space="preserve">LAHAP Model Build:
Source: CH 2025 tax bills (DD) — RE $23,440.62 (Caddo $19,199.08 + City $4,241.54) plus personal-property bills $9,757.75. The broker's '2025 Actual Tax Bill' silently includes PPT; both are real recurring costs, so the combined figure is used. Post-acquisition reassessment risk not modeled — needs tax counsel.</t>
        </r>
      </text>
    </comment>
    <comment ref="F34" authorId="0">
      <text>
        <r>
          <rPr>
            <sz val="10"/>
            <rFont val="Arial"/>
            <family val="2"/>
          </rPr>
          <t xml:space="preserve">LAHAP Model Build:
Model assumption = OM/broker market-expense basis (7.65% of Payroll). Source: Louisiana HAP Portfolio - Underwriting &amp; Hold Models.xlsx (DD Master Documents), agent-verified against the audited financials. Adjust as needed.</t>
        </r>
      </text>
    </comment>
    <comment ref="F35" authorId="0">
      <text>
        <r>
          <rPr>
            <sz val="10"/>
            <rFont val="Arial"/>
            <family val="2"/>
          </rPr>
          <t xml:space="preserve">LAHAP Model Build:
Source: CH - 2026 Budget.xlsx — property $44,628 + GL $43,248 (T12 $87,879; 2025 audit $92,566). Broker 'in-place premium' $79,504 is unsupported by any DD document — variance recorded. DD governs (Sec. 9.2).</t>
        </r>
      </text>
    </comment>
    <comment ref="F36" authorId="0">
      <text>
        <r>
          <rPr>
            <sz val="10"/>
            <rFont val="Arial"/>
            <family val="2"/>
          </rPr>
          <t xml:space="preserve">LAHAP Model Build:
Model assumption = OM/broker market-expense basis (3% of Payroll). Source: Louisiana HAP Portfolio - Underwriting &amp; Hold Models.xlsx (DD Master Documents), agent-verified against the audited financials. Adjust as needed.</t>
        </r>
      </text>
    </comment>
    <comment ref="F37" authorId="0">
      <text>
        <r>
          <rPr>
            <sz val="10"/>
            <rFont val="Arial"/>
            <family val="2"/>
          </rPr>
          <t xml:space="preserve">LAHAP Model Build:
Model assumption = OM/broker market-expense basis (10% of Payroll). Source: Louisiana HAP Portfolio - Underwriting &amp; Hold Models.xlsx (DD Master Documents), agent-verified against the audited financials. Adjust as needed.</t>
        </r>
      </text>
    </comment>
    <comment ref="F38" authorId="0">
      <text>
        <r>
          <rPr>
            <sz val="10"/>
            <rFont val="Arial"/>
            <family val="2"/>
          </rPr>
          <t xml:space="preserve">LAHAP Model Build:
Model assumption = OM/broker market-expense basis. Source: Louisiana HAP Portfolio - Underwriting &amp; Hold Models.xlsx (DD Master Documents), agent-verified against the audited financials. Adjust as needed.</t>
        </r>
      </text>
    </comment>
    <comment ref="F41" authorId="0">
      <text>
        <r>
          <rPr>
            <sz val="10"/>
            <rFont val="Arial"/>
            <family val="2"/>
          </rPr>
          <t xml:space="preserve">LAHAP Model Build:
Greater of the QAP family reserve floor ($/unit, QAP_Rule_Register) and the OM/broker $300/unit estimate. Reserves sit below NOI, matching audit treatment (broker expensed them inside NOI — basis variance recorded).</t>
        </r>
      </text>
    </comment>
    <comment ref="F46" authorId="0">
      <text>
        <r>
          <rPr>
            <sz val="10"/>
            <rFont val="Arial"/>
            <family val="2"/>
          </rPr>
          <t xml:space="preserve">LAHAP Model Build:
Model assumption = OM/broker market-expense basis (2026 Budget). Source: Louisiana HAP Portfolio - Underwriting &amp; Hold Models.xlsx (DD Master Documents), agent-verified against the audited financials. Adjust as needed.</t>
        </r>
      </text>
    </comment>
    <comment ref="F47" authorId="0">
      <text>
        <r>
          <rPr>
            <sz val="10"/>
            <rFont val="Arial"/>
            <family val="2"/>
          </rPr>
          <t xml:space="preserve">LAHAP Model Build:
Model assumption = OM/broker market-expense basis (Broker Estimate). Source: Louisiana HAP Portfolio - Underwriting &amp; Hold Models.xlsx (DD Master Documents), agent-verified against the audited financials. Adjust as needed.</t>
        </r>
      </text>
    </comment>
    <comment ref="F48" authorId="0">
      <text>
        <r>
          <rPr>
            <sz val="10"/>
            <rFont val="Arial"/>
            <family val="2"/>
          </rPr>
          <t xml:space="preserve">LAHAP Model Build:
Model assumption = OM/broker market-expense basis (In-Place FT Assistant Manager at current rate (allocated 46% to Clear Horizons and 54% to New Zion)). Source: Louisiana HAP Portfolio - Underwriting &amp; Hold Models.xlsx (DD Master Documents), agent-verified against the audited financials. Adjust as needed.</t>
        </r>
      </text>
    </comment>
    <comment ref="F49" authorId="0">
      <text>
        <r>
          <rPr>
            <sz val="10"/>
            <rFont val="Arial"/>
            <family val="2"/>
          </rPr>
          <t xml:space="preserve">LAHAP Model Build:
Model assumption = OM/broker market-expense basis (2026 Budget). Source: Louisiana HAP Portfolio - Underwriting &amp; Hold Models.xlsx (DD Master Documents), agent-verified against the audited financials. Adjust as needed.</t>
        </r>
      </text>
    </comment>
    <comment ref="F50" authorId="0">
      <text>
        <r>
          <rPr>
            <sz val="10"/>
            <rFont val="Arial"/>
            <family val="2"/>
          </rPr>
          <t xml:space="preserve">LAHAP Model Build:
Green link: management fee = MgmtFeePct x EGI, computed on Rev+Expenses. Comparison columns show the broker/audit fee for reference.</t>
        </r>
      </text>
    </comment>
    <comment ref="F51" authorId="0">
      <text>
        <r>
          <rPr>
            <sz val="10"/>
            <rFont val="Arial"/>
            <family val="2"/>
          </rPr>
          <t xml:space="preserve">LAHAP Model Build:
Model assumption = OM/broker market-expense basis (In-Place FT Property Manager at current rate). Source: Louisiana HAP Portfolio - Underwriting &amp; Hold Models.xlsx (DD Master Documents), agent-verified against the audited financials. Adjust as needed.</t>
        </r>
      </text>
    </comment>
    <comment ref="F52" authorId="0">
      <text>
        <r>
          <rPr>
            <sz val="10"/>
            <rFont val="Arial"/>
            <family val="2"/>
          </rPr>
          <t xml:space="preserve">LAHAP Model Build:
Model assumption = OM/broker market-expense basis (2026 Budget). Source: Louisiana HAP Portfolio - Underwriting &amp; Hold Models.xlsx (DD Master Documents), agent-verified against the audited financials. Adjust as needed.</t>
        </r>
      </text>
    </comment>
    <comment ref="F53" authorId="0">
      <text>
        <r>
          <rPr>
            <sz val="10"/>
            <rFont val="Arial"/>
            <family val="2"/>
          </rPr>
          <t xml:space="preserve">LAHAP Model Build:
Model assumption = OM/broker market-expense basis (Broker Estimate). Source: Louisiana HAP Portfolio - Underwriting &amp; Hold Models.xlsx (DD Master Documents), agent-verified against the audited financials. Adjust as needed.</t>
        </r>
      </text>
    </comment>
    <comment ref="F54" authorId="0">
      <text>
        <r>
          <rPr>
            <sz val="10"/>
            <rFont val="Arial"/>
            <family val="2"/>
          </rPr>
          <t xml:space="preserve">LAHAP Model Build:
Model assumption = OM/broker market-expense basis. Source: Louisiana HAP Portfolio - Underwriting &amp; Hold Models.xlsx (DD Master Documents), agent-verified against the audited financials. Adjust as needed.</t>
        </r>
      </text>
    </comment>
    <comment ref="F55" authorId="0">
      <text>
        <r>
          <rPr>
            <sz val="10"/>
            <rFont val="Arial"/>
            <family val="2"/>
          </rPr>
          <t xml:space="preserve">LAHAP Model Build:
Model assumption = OM/broker market-expense basis (Broker Estimate). Source: Louisiana HAP Portfolio - Underwriting &amp; Hold Models.xlsx (DD Master Documents), agent-verified against the audited financials. Adjust as needed.</t>
        </r>
      </text>
    </comment>
    <comment ref="F58" authorId="0">
      <text>
        <r>
          <rPr>
            <sz val="10"/>
            <rFont val="Arial"/>
            <family val="2"/>
          </rPr>
          <t xml:space="preserve">LAHAP Model Build:
Model assumption = OM/broker market-expense basis (2026 Budget). Source: Louisiana HAP Portfolio - Underwriting &amp; Hold Models.xlsx (DD Master Documents), agent-verified against the audited financials. Adjust as needed.</t>
        </r>
      </text>
    </comment>
    <comment ref="F59" authorId="0">
      <text>
        <r>
          <rPr>
            <sz val="10"/>
            <rFont val="Arial"/>
            <family val="2"/>
          </rPr>
          <t xml:space="preserve">LAHAP Model Build:
Model assumption = OM/broker market-expense basis. Source: Louisiana HAP Portfolio - Underwriting &amp; Hold Models.xlsx (DD Master Documents), agent-verified against the audited financials. Adjust as needed.</t>
        </r>
      </text>
    </comment>
    <comment ref="F60" authorId="0">
      <text>
        <r>
          <rPr>
            <sz val="10"/>
            <rFont val="Arial"/>
            <family val="2"/>
          </rPr>
          <t xml:space="preserve">LAHAP Model Build:
Model assumption = OM/broker market-expense basis (2026 Budget). Source: Louisiana HAP Portfolio - Underwriting &amp; Hold Models.xlsx (DD Master Documents), agent-verified against the audited financials. Adjust as needed.</t>
        </r>
      </text>
    </comment>
    <comment ref="F61" authorId="0">
      <text>
        <r>
          <rPr>
            <sz val="10"/>
            <rFont val="Arial"/>
            <family val="2"/>
          </rPr>
          <t xml:space="preserve">LAHAP Model Build:
Model assumption = OM/broker market-expense basis. Source: Louisiana HAP Portfolio - Underwriting &amp; Hold Models.xlsx (DD Master Documents), agent-verified against the audited financials. Adjust as needed.</t>
        </r>
      </text>
    </comment>
    <comment ref="F64" authorId="0">
      <text>
        <r>
          <rPr>
            <sz val="10"/>
            <rFont val="Arial"/>
            <family val="2"/>
          </rPr>
          <t xml:space="preserve">LAHAP Model Build:
Model assumption = OM/broker market-expense basis (Four in-Place FT Maintenance Techs at current rates (all positions allocated 46% to Clear Horizons and 54% to New Zion)). Source: Louisiana HAP Portfolio - Underwriting &amp; Hold Models.xlsx (DD Master Documents), agent-verified against the audited financials. Adjust as needed.</t>
        </r>
      </text>
    </comment>
    <comment ref="F65" authorId="0">
      <text>
        <r>
          <rPr>
            <sz val="10"/>
            <rFont val="Arial"/>
            <family val="2"/>
          </rPr>
          <t xml:space="preserve">LAHAP Model Build:
Model assumption = OM/broker market-expense basis ($500/unit - Broker Estimate). Source: Louisiana HAP Portfolio - Underwriting &amp; Hold Models.xlsx (DD Master Documents), agent-verified against the audited financials. Adjust as needed.</t>
        </r>
      </text>
    </comment>
    <comment ref="F66" authorId="0">
      <text>
        <r>
          <rPr>
            <sz val="10"/>
            <rFont val="Arial"/>
            <family val="2"/>
          </rPr>
          <t xml:space="preserve">LAHAP Model Build:
Model assumption = OM/broker market-expense basis ($500/unit - Broker Estimate). Source: Louisiana HAP Portfolio - Underwriting &amp; Hold Models.xlsx (DD Master Documents), agent-verified against the audited financials. Adjust as needed.</t>
        </r>
      </text>
    </comment>
    <comment ref="F67" authorId="0">
      <text>
        <r>
          <rPr>
            <sz val="10"/>
            <rFont val="Arial"/>
            <family val="2"/>
          </rPr>
          <t xml:space="preserve">LAHAP Model Build:
Model assumption = OM/broker market-expense basis (2026 Budget). Source: Louisiana HAP Portfolio - Underwriting &amp; Hold Models.xlsx (DD Master Documents), agent-verified against the audited financials. Adjust as needed.</t>
        </r>
      </text>
    </comment>
    <comment ref="F68" authorId="0">
      <text>
        <r>
          <rPr>
            <sz val="10"/>
            <rFont val="Arial"/>
            <family val="2"/>
          </rPr>
          <t xml:space="preserve">LAHAP Model Build:
Model assumption = OM/broker market-expense basis (2026 Budget - Armed Security Officers patrolling 8 hrs/day - Property has comprehensive camera system with License plate recognition (LPR) cameras). Source: Louisiana HAP Portfolio - Underwriting &amp; Hold Models.xlsx (DD Master Documents), agent-verified against the audited financials. Adjust as needed.</t>
        </r>
      </text>
    </comment>
    <comment ref="F69" authorId="0">
      <text>
        <r>
          <rPr>
            <sz val="10"/>
            <rFont val="Arial"/>
            <family val="2"/>
          </rPr>
          <t xml:space="preserve">LAHAP Model Build:
Model assumption = OM/broker market-expense basis (Broker Estimate). Source: Louisiana HAP Portfolio - Underwriting &amp; Hold Models.xlsx (DD Master Documents), agent-verified against the audited financials. Adjust as needed.</t>
        </r>
      </text>
    </comment>
    <comment ref="F70" authorId="0">
      <text>
        <r>
          <rPr>
            <sz val="10"/>
            <rFont val="Arial"/>
            <family val="2"/>
          </rPr>
          <t xml:space="preserve">LAHAP Model Build:
Model assumption = OM/broker market-expense basis. Source: Louisiana HAP Portfolio - Underwriting &amp; Hold Models.xlsx (DD Master Documents), agent-verified against the audited financials. Adjust as needed.</t>
        </r>
      </text>
    </comment>
    <comment ref="F73" authorId="0">
      <text>
        <r>
          <rPr>
            <sz val="10"/>
            <rFont val="Arial"/>
            <family val="2"/>
          </rPr>
          <t xml:space="preserve">LAHAP Model Build:
Source: NZ - Asessor Property Report (2026).pdf — estimated RE taxes $26,500.96 + PPT bills $9,898.48 (actual RE tax-bill PDFs are unreadable scans — see files-failed list; audit RE-tax line $36,503 corroborates).</t>
        </r>
      </text>
    </comment>
    <comment ref="F74" authorId="0">
      <text>
        <r>
          <rPr>
            <sz val="10"/>
            <rFont val="Arial"/>
            <family val="2"/>
          </rPr>
          <t xml:space="preserve">LAHAP Model Build:
Model assumption = OM/broker market-expense basis (7.65% of Payroll). Source: Louisiana HAP Portfolio - Underwriting &amp; Hold Models.xlsx (DD Master Documents), agent-verified against the audited financials. Adjust as needed.</t>
        </r>
      </text>
    </comment>
    <comment ref="F75" authorId="0">
      <text>
        <r>
          <rPr>
            <sz val="10"/>
            <rFont val="Arial"/>
            <family val="2"/>
          </rPr>
          <t xml:space="preserve">LAHAP Model Build:
Source: NZ - 2026 Budget.xlsx / T12 accrual — property $36,881 + GL $51,451 (2025 audit $95,099). Broker 'in-place premium' $79,892 unsupported — variance recorded.</t>
        </r>
      </text>
    </comment>
    <comment ref="F76" authorId="0">
      <text>
        <r>
          <rPr>
            <sz val="10"/>
            <rFont val="Arial"/>
            <family val="2"/>
          </rPr>
          <t xml:space="preserve">LAHAP Model Build:
Model assumption = OM/broker market-expense basis (3% of Payroll). Source: Louisiana HAP Portfolio - Underwriting &amp; Hold Models.xlsx (DD Master Documents), agent-verified against the audited financials. Adjust as needed.</t>
        </r>
      </text>
    </comment>
    <comment ref="F77" authorId="0">
      <text>
        <r>
          <rPr>
            <sz val="10"/>
            <rFont val="Arial"/>
            <family val="2"/>
          </rPr>
          <t xml:space="preserve">LAHAP Model Build:
Model assumption = OM/broker market-expense basis (10% of Payroll). Source: Louisiana HAP Portfolio - Underwriting &amp; Hold Models.xlsx (DD Master Documents), agent-verified against the audited financials. Adjust as needed.</t>
        </r>
      </text>
    </comment>
    <comment ref="F78" authorId="0">
      <text>
        <r>
          <rPr>
            <sz val="10"/>
            <rFont val="Arial"/>
            <family val="2"/>
          </rPr>
          <t xml:space="preserve">LAHAP Model Build:
Model assumption = OM/broker market-expense basis. Source: Louisiana HAP Portfolio - Underwriting &amp; Hold Models.xlsx (DD Master Documents), agent-verified against the audited financials. Adjust as needed.</t>
        </r>
      </text>
    </comment>
    <comment ref="F81" authorId="0">
      <text>
        <r>
          <rPr>
            <sz val="10"/>
            <rFont val="Arial"/>
            <family val="2"/>
          </rPr>
          <t xml:space="preserve">LAHAP Model Build:
Greater of the QAP family reserve floor ($/unit, QAP_Rule_Register) and the OM/broker $300/unit estimate. Reserves sit below NOI, matching audit treatment (broker expensed them inside NOI — basis variance recorded).</t>
        </r>
      </text>
    </comment>
    <comment ref="F86" authorId="0">
      <text>
        <r>
          <rPr>
            <sz val="10"/>
            <rFont val="Arial"/>
            <family val="2"/>
          </rPr>
          <t xml:space="preserve">LAHAP Model Build:
Model assumption = OM/broker market-expense basis (2026 Budget). Source: Louisiana HAP Portfolio - Underwriting &amp; Hold Models.xlsx (DD Master Documents), agent-verified against the audited financials. Adjust as needed.</t>
        </r>
      </text>
    </comment>
    <comment ref="F87" authorId="0">
      <text>
        <r>
          <rPr>
            <sz val="10"/>
            <rFont val="Arial"/>
            <family val="2"/>
          </rPr>
          <t xml:space="preserve">LAHAP Model Build:
Model assumption = OM/broker market-expense basis (Broker Estimate). Source: Louisiana HAP Portfolio - Underwriting &amp; Hold Models.xlsx (DD Master Documents), agent-verified against the audited financials. Adjust as needed.</t>
        </r>
      </text>
    </comment>
    <comment ref="F88" authorId="0">
      <text>
        <r>
          <rPr>
            <sz val="10"/>
            <rFont val="Arial"/>
            <family val="2"/>
          </rPr>
          <t xml:space="preserve">LAHAP Model Build:
Model assumption = OM/broker market-expense basis (In-Place FT Assistant Manager at current rate). Source: Louisiana HAP Portfolio - Underwriting &amp; Hold Models.xlsx (DD Master Documents), agent-verified against the audited financials. Adjust as needed.</t>
        </r>
      </text>
    </comment>
    <comment ref="F89" authorId="0">
      <text>
        <r>
          <rPr>
            <sz val="10"/>
            <rFont val="Arial"/>
            <family val="2"/>
          </rPr>
          <t xml:space="preserve">LAHAP Model Build:
Model assumption = OM/broker market-expense basis (2026 Budget). Source: Louisiana HAP Portfolio - Underwriting &amp; Hold Models.xlsx (DD Master Documents), agent-verified against the audited financials. Adjust as needed.</t>
        </r>
      </text>
    </comment>
    <comment ref="F90" authorId="0">
      <text>
        <r>
          <rPr>
            <sz val="10"/>
            <rFont val="Arial"/>
            <family val="2"/>
          </rPr>
          <t xml:space="preserve">LAHAP Model Build:
Green link: management fee = MgmtFeePct x EGI, computed on Rev+Expenses. Comparison columns show the broker/audit fee for reference.</t>
        </r>
      </text>
    </comment>
    <comment ref="F91" authorId="0">
      <text>
        <r>
          <rPr>
            <sz val="10"/>
            <rFont val="Arial"/>
            <family val="2"/>
          </rPr>
          <t xml:space="preserve">LAHAP Model Build:
Model assumption = OM/broker market-expense basis (In-Place FT Propety Manager at current rate). Source: Louisiana HAP Portfolio - Underwriting &amp; Hold Models.xlsx (DD Master Documents), agent-verified against the audited financials. Adjust as needed.</t>
        </r>
      </text>
    </comment>
    <comment ref="F92" authorId="0">
      <text>
        <r>
          <rPr>
            <sz val="10"/>
            <rFont val="Arial"/>
            <family val="2"/>
          </rPr>
          <t xml:space="preserve">LAHAP Model Build:
Model assumption = OM/broker market-expense basis (2026 Budget). Source: Louisiana HAP Portfolio - Underwriting &amp; Hold Models.xlsx (DD Master Documents), agent-verified against the audited financials. Adjust as needed.</t>
        </r>
      </text>
    </comment>
    <comment ref="F93" authorId="0">
      <text>
        <r>
          <rPr>
            <sz val="10"/>
            <rFont val="Arial"/>
            <family val="2"/>
          </rPr>
          <t xml:space="preserve">LAHAP Model Build:
Model assumption = OM/broker market-expense basis (Broker Estimate). Source: Louisiana HAP Portfolio - Underwriting &amp; Hold Models.xlsx (DD Master Documents), agent-verified against the audited financials. Adjust as needed.</t>
        </r>
      </text>
    </comment>
    <comment ref="F94" authorId="0">
      <text>
        <r>
          <rPr>
            <sz val="10"/>
            <rFont val="Arial"/>
            <family val="2"/>
          </rPr>
          <t xml:space="preserve">LAHAP Model Build:
Model assumption = OM/broker market-expense basis. Source: Louisiana HAP Portfolio - Underwriting &amp; Hold Models.xlsx (DD Master Documents), agent-verified against the audited financials. Adjust as needed.</t>
        </r>
      </text>
    </comment>
    <comment ref="F95" authorId="0">
      <text>
        <r>
          <rPr>
            <sz val="10"/>
            <rFont val="Arial"/>
            <family val="2"/>
          </rPr>
          <t xml:space="preserve">LAHAP Model Build:
Model assumption = OM/broker market-expense basis (Broker Estimate). Source: Louisiana HAP Portfolio - Underwriting &amp; Hold Models.xlsx (DD Master Documents), agent-verified against the audited financials. Adjust as needed.</t>
        </r>
      </text>
    </comment>
    <comment ref="F98" authorId="0">
      <text>
        <r>
          <rPr>
            <sz val="10"/>
            <rFont val="Arial"/>
            <family val="2"/>
          </rPr>
          <t xml:space="preserve">LAHAP Model Build:
Model assumption = OM/broker market-expense basis (2026 Budget). Source: Louisiana HAP Portfolio - Underwriting &amp; Hold Models.xlsx (DD Master Documents), agent-verified against the audited financials. Adjust as needed.</t>
        </r>
      </text>
    </comment>
    <comment ref="F99" authorId="0">
      <text>
        <r>
          <rPr>
            <sz val="10"/>
            <rFont val="Arial"/>
            <family val="2"/>
          </rPr>
          <t xml:space="preserve">LAHAP Model Build:
Model assumption = OM/broker market-expense basis (2026 Budget). Source: Louisiana HAP Portfolio - Underwriting &amp; Hold Models.xlsx (DD Master Documents), agent-verified against the audited financials. Adjust as needed.</t>
        </r>
      </text>
    </comment>
    <comment ref="F100" authorId="0">
      <text>
        <r>
          <rPr>
            <sz val="10"/>
            <rFont val="Arial"/>
            <family val="2"/>
          </rPr>
          <t xml:space="preserve">LAHAP Model Build:
Model assumption = OM/broker market-expense basis (2026 Budget). Source: Louisiana HAP Portfolio - Underwriting &amp; Hold Models.xlsx (DD Master Documents), agent-verified against the audited financials. Adjust as needed.</t>
        </r>
      </text>
    </comment>
    <comment ref="F101" authorId="0">
      <text>
        <r>
          <rPr>
            <sz val="10"/>
            <rFont val="Arial"/>
            <family val="2"/>
          </rPr>
          <t xml:space="preserve">LAHAP Model Build:
Model assumption = OM/broker market-expense basis. Source: Louisiana HAP Portfolio - Underwriting &amp; Hold Models.xlsx (DD Master Documents), agent-verified against the audited financials. Adjust as needed.</t>
        </r>
      </text>
    </comment>
    <comment ref="F104" authorId="0">
      <text>
        <r>
          <rPr>
            <sz val="10"/>
            <rFont val="Arial"/>
            <family val="2"/>
          </rPr>
          <t xml:space="preserve">LAHAP Model Build:
Model assumption = OM/broker market-expense basis (In-Place FT Maintenance Supervisor &amp; FT Maintenance Tech at current rates (removed PT Groundskeeper)). Source: Louisiana HAP Portfolio - Underwriting &amp; Hold Models.xlsx (DD Master Documents), agent-verified against the audited financials. Adjust as needed.</t>
        </r>
      </text>
    </comment>
    <comment ref="F105" authorId="0">
      <text>
        <r>
          <rPr>
            <sz val="10"/>
            <rFont val="Arial"/>
            <family val="2"/>
          </rPr>
          <t xml:space="preserve">LAHAP Model Build:
Model assumption = OM/broker market-expense basis ($500/unit - Broker Estimate). Source: Louisiana HAP Portfolio - Underwriting &amp; Hold Models.xlsx (DD Master Documents), agent-verified against the audited financials. Adjust as needed.</t>
        </r>
      </text>
    </comment>
    <comment ref="F106" authorId="0">
      <text>
        <r>
          <rPr>
            <sz val="10"/>
            <rFont val="Arial"/>
            <family val="2"/>
          </rPr>
          <t xml:space="preserve">LAHAP Model Build:
Model assumption = OM/broker market-expense basis ($500/unit - Broker Estimate). Source: Louisiana HAP Portfolio - Underwriting &amp; Hold Models.xlsx (DD Master Documents), agent-verified against the audited financials. Adjust as needed.</t>
        </r>
      </text>
    </comment>
    <comment ref="F107" authorId="0">
      <text>
        <r>
          <rPr>
            <sz val="10"/>
            <rFont val="Arial"/>
            <family val="2"/>
          </rPr>
          <t xml:space="preserve">LAHAP Model Build:
Model assumption = OM/broker market-expense basis (2026 Budget). Source: Louisiana HAP Portfolio - Underwriting &amp; Hold Models.xlsx (DD Master Documents), agent-verified against the audited financials. Adjust as needed.</t>
        </r>
      </text>
    </comment>
    <comment ref="F108" authorId="0">
      <text>
        <r>
          <rPr>
            <sz val="10"/>
            <rFont val="Arial"/>
            <family val="2"/>
          </rPr>
          <t xml:space="preserve">LAHAP Model Build:
Model assumption = OM/broker market-expense basis (2026 Budget - Armed Security Officers patrolling 8 hrs/day - Property has comprehensive camera system with License plate recognition (LPR) cameras). Source: Louisiana HAP Portfolio - Underwriting &amp; Hold Models.xlsx (DD Master Documents), agent-verified against the audited financials. Adjust as needed.</t>
        </r>
      </text>
    </comment>
    <comment ref="F109" authorId="0">
      <text>
        <r>
          <rPr>
            <sz val="10"/>
            <rFont val="Arial"/>
            <family val="2"/>
          </rPr>
          <t xml:space="preserve">LAHAP Model Build:
Model assumption = OM/broker market-expense basis (Broker Estimate). Source: Louisiana HAP Portfolio - Underwriting &amp; Hold Models.xlsx (DD Master Documents), agent-verified against the audited financials. Adjust as needed.</t>
        </r>
      </text>
    </comment>
    <comment ref="F110" authorId="0">
      <text>
        <r>
          <rPr>
            <sz val="10"/>
            <rFont val="Arial"/>
            <family val="2"/>
          </rPr>
          <t xml:space="preserve">LAHAP Model Build:
Model assumption = OM/broker market-expense basis. Source: Louisiana HAP Portfolio - Underwriting &amp; Hold Models.xlsx (DD Master Documents), agent-verified against the audited financials. Adjust as needed.</t>
        </r>
      </text>
    </comment>
    <comment ref="F113" authorId="0">
      <text>
        <r>
          <rPr>
            <sz val="10"/>
            <rFont val="Arial"/>
            <family val="2"/>
          </rPr>
          <t xml:space="preserve">LAHAP Model Build:
Source: LOM - 2025 Audit.pdf RE-tax line $24,984, corroborated by Vermilion Parish assessor report (assessed $285,368 x 87.55 mills). No separate 2025 tax-bill PDF exists in the DD folder.</t>
        </r>
      </text>
    </comment>
    <comment ref="F114" authorId="0">
      <text>
        <r>
          <rPr>
            <sz val="10"/>
            <rFont val="Arial"/>
            <family val="2"/>
          </rPr>
          <t xml:space="preserve">LAHAP Model Build:
Model assumption = OM/broker market-expense basis (7.65% of Payroll). Source: Louisiana HAP Portfolio - Underwriting &amp; Hold Models.xlsx (DD Master Documents), agent-verified against the audited financials. Adjust as needed.</t>
        </r>
      </text>
    </comment>
    <comment ref="F115" authorId="0">
      <text>
        <r>
          <rPr>
            <sz val="10"/>
            <rFont val="Arial"/>
            <family val="2"/>
          </rPr>
          <t xml:space="preserve">LAHAP Model Build:
Source: LOM - 2026 Budget.xlsx — property $108,840 + GL $63,543 (T12 $171,747; 2025 audit $179,405). Broker 'in-place premium' $156,423 unsupported — variance recorded.</t>
        </r>
      </text>
    </comment>
    <comment ref="F116" authorId="0">
      <text>
        <r>
          <rPr>
            <sz val="10"/>
            <rFont val="Arial"/>
            <family val="2"/>
          </rPr>
          <t xml:space="preserve">LAHAP Model Build:
Model assumption = OM/broker market-expense basis (3% of Payroll). Source: Louisiana HAP Portfolio - Underwriting &amp; Hold Models.xlsx (DD Master Documents), agent-verified against the audited financials. Adjust as needed.</t>
        </r>
      </text>
    </comment>
    <comment ref="F117" authorId="0">
      <text>
        <r>
          <rPr>
            <sz val="10"/>
            <rFont val="Arial"/>
            <family val="2"/>
          </rPr>
          <t xml:space="preserve">LAHAP Model Build:
Model assumption = OM/broker market-expense basis (10% of Payroll). Source: Louisiana HAP Portfolio - Underwriting &amp; Hold Models.xlsx (DD Master Documents), agent-verified against the audited financials. Adjust as needed.</t>
        </r>
      </text>
    </comment>
    <comment ref="F118" authorId="0">
      <text>
        <r>
          <rPr>
            <sz val="10"/>
            <rFont val="Arial"/>
            <family val="2"/>
          </rPr>
          <t xml:space="preserve">LAHAP Model Build:
Model assumption = OM/broker market-expense basis. Source: Louisiana HAP Portfolio - Underwriting &amp; Hold Models.xlsx (DD Master Documents), agent-verified against the audited financials. Adjust as needed.</t>
        </r>
      </text>
    </comment>
    <comment ref="F121" authorId="0">
      <text>
        <r>
          <rPr>
            <sz val="10"/>
            <rFont val="Arial"/>
            <family val="2"/>
          </rPr>
          <t xml:space="preserve">LAHAP Model Build:
Greater of the QAP family reserve floor ($/unit, QAP_Rule_Register) and the OM/broker $300/unit estimate. Reserves sit below NOI, matching audit treatment (broker expensed them inside NOI — basis variance recorded).</t>
        </r>
      </text>
    </comment>
    <comment ref="F126" authorId="0">
      <text>
        <r>
          <rPr>
            <sz val="10"/>
            <rFont val="Arial"/>
            <family val="2"/>
          </rPr>
          <t xml:space="preserve">LAHAP Model Build:
Model assumption = OM/broker market-expense basis (Broker Estimate). Source: Louisiana HAP Portfolio - Underwriting &amp; Hold Models.xlsx (DD Master Documents), agent-verified against the audited financials. Adjust as needed.</t>
        </r>
      </text>
    </comment>
    <comment ref="F127" authorId="0">
      <text>
        <r>
          <rPr>
            <sz val="10"/>
            <rFont val="Arial"/>
            <family val="2"/>
          </rPr>
          <t xml:space="preserve">LAHAP Model Build:
Model assumption = OM/broker market-expense basis (Broker Estimate). Source: Louisiana HAP Portfolio - Underwriting &amp; Hold Models.xlsx (DD Master Documents), agent-verified against the audited financials. Adjust as needed.</t>
        </r>
      </text>
    </comment>
    <comment ref="F128" authorId="0">
      <text>
        <r>
          <rPr>
            <sz val="10"/>
            <rFont val="Arial"/>
            <family val="2"/>
          </rPr>
          <t xml:space="preserve">LAHAP Model Build:
Model assumption = OM/broker market-expense basis (In-Place FT Assistant Manager &amp; FT Leasing Consultant at current rates). Source: Louisiana HAP Portfolio - Underwriting &amp; Hold Models.xlsx (DD Master Documents), agent-verified against the audited financials. Adjust as needed.</t>
        </r>
      </text>
    </comment>
    <comment ref="F129" authorId="0">
      <text>
        <r>
          <rPr>
            <sz val="10"/>
            <rFont val="Arial"/>
            <family val="2"/>
          </rPr>
          <t xml:space="preserve">LAHAP Model Build:
Model assumption = OM/broker market-expense basis (Average 2024 and 2025). Source: Louisiana HAP Portfolio - Underwriting &amp; Hold Models.xlsx (DD Master Documents), agent-verified against the audited financials. Adjust as needed.</t>
        </r>
      </text>
    </comment>
    <comment ref="F130" authorId="0">
      <text>
        <r>
          <rPr>
            <sz val="10"/>
            <rFont val="Arial"/>
            <family val="2"/>
          </rPr>
          <t xml:space="preserve">LAHAP Model Build:
Green link: management fee = MgmtFeePct x EGI, computed on Rev+Expenses. Comparison columns show the broker/audit fee for reference.</t>
        </r>
      </text>
    </comment>
    <comment ref="F131" authorId="0">
      <text>
        <r>
          <rPr>
            <sz val="10"/>
            <rFont val="Arial"/>
            <family val="2"/>
          </rPr>
          <t xml:space="preserve">LAHAP Model Build:
Model assumption = OM/broker market-expense basis (In-Place FT Property Manager at current rate). Source: Louisiana HAP Portfolio - Underwriting &amp; Hold Models.xlsx (DD Master Documents), agent-verified against the audited financials. Adjust as needed.</t>
        </r>
      </text>
    </comment>
    <comment ref="F132" authorId="0">
      <text>
        <r>
          <rPr>
            <sz val="10"/>
            <rFont val="Arial"/>
            <family val="2"/>
          </rPr>
          <t xml:space="preserve">LAHAP Model Build:
Model assumption = OM/broker market-expense basis (Average 2024 and 2025). Source: Louisiana HAP Portfolio - Underwriting &amp; Hold Models.xlsx (DD Master Documents), agent-verified against the audited financials. Adjust as needed.</t>
        </r>
      </text>
    </comment>
    <comment ref="F133" authorId="0">
      <text>
        <r>
          <rPr>
            <sz val="10"/>
            <rFont val="Arial"/>
            <family val="2"/>
          </rPr>
          <t xml:space="preserve">LAHAP Model Build:
Model assumption = OM/broker market-expense basis (Broker Estimate). Source: Louisiana HAP Portfolio - Underwriting &amp; Hold Models.xlsx (DD Master Documents), agent-verified against the audited financials. Adjust as needed.</t>
        </r>
      </text>
    </comment>
    <comment ref="F134" authorId="0">
      <text>
        <r>
          <rPr>
            <sz val="10"/>
            <rFont val="Arial"/>
            <family val="2"/>
          </rPr>
          <t xml:space="preserve">LAHAP Model Build:
Model assumption = OM/broker market-expense basis. Source: Louisiana HAP Portfolio - Underwriting &amp; Hold Models.xlsx (DD Master Documents), agent-verified against the audited financials. Adjust as needed.</t>
        </r>
      </text>
    </comment>
    <comment ref="F135" authorId="0">
      <text>
        <r>
          <rPr>
            <sz val="10"/>
            <rFont val="Arial"/>
            <family val="2"/>
          </rPr>
          <t xml:space="preserve">LAHAP Model Build:
Model assumption = OM/broker market-expense basis (Broker Estimate). Source: Louisiana HAP Portfolio - Underwriting &amp; Hold Models.xlsx (DD Master Documents), agent-verified against the audited financials. Adjust as needed.</t>
        </r>
      </text>
    </comment>
    <comment ref="F138" authorId="0">
      <text>
        <r>
          <rPr>
            <sz val="10"/>
            <rFont val="Arial"/>
            <family val="2"/>
          </rPr>
          <t xml:space="preserve">LAHAP Model Build:
Model assumption = OM/broker market-expense basis (2026 Budget). Source: Louisiana HAP Portfolio - Underwriting &amp; Hold Models.xlsx (DD Master Documents), agent-verified against the audited financials. Adjust as needed.</t>
        </r>
      </text>
    </comment>
    <comment ref="F139" authorId="0">
      <text>
        <r>
          <rPr>
            <sz val="10"/>
            <rFont val="Arial"/>
            <family val="2"/>
          </rPr>
          <t xml:space="preserve">LAHAP Model Build:
Model assumption = OM/broker market-expense basis (2026 Budget). Source: Louisiana HAP Portfolio - Underwriting &amp; Hold Models.xlsx (DD Master Documents), agent-verified against the audited financials. Adjust as needed.</t>
        </r>
      </text>
    </comment>
    <comment ref="F140" authorId="0">
      <text>
        <r>
          <rPr>
            <sz val="10"/>
            <rFont val="Arial"/>
            <family val="2"/>
          </rPr>
          <t xml:space="preserve">LAHAP Model Build:
Model assumption = OM/broker market-expense basis (2026 Budget). Source: Louisiana HAP Portfolio - Underwriting &amp; Hold Models.xlsx (DD Master Documents), agent-verified against the audited financials. Adjust as needed.</t>
        </r>
      </text>
    </comment>
    <comment ref="F141" authorId="0">
      <text>
        <r>
          <rPr>
            <sz val="10"/>
            <rFont val="Arial"/>
            <family val="2"/>
          </rPr>
          <t xml:space="preserve">LAHAP Model Build:
Model assumption = OM/broker market-expense basis. Source: Louisiana HAP Portfolio - Underwriting &amp; Hold Models.xlsx (DD Master Documents), agent-verified against the audited financials. Adjust as needed.</t>
        </r>
      </text>
    </comment>
    <comment ref="F144" authorId="0">
      <text>
        <r>
          <rPr>
            <sz val="10"/>
            <rFont val="Arial"/>
            <family val="2"/>
          </rPr>
          <t xml:space="preserve">LAHAP Model Build:
Model assumption = OM/broker market-expense basis (In-Place FT Maintenance Supervisor &amp; 2 FT Maintenance Techs at current rates). Source: Louisiana HAP Portfolio - Underwriting &amp; Hold Models.xlsx (DD Master Documents), agent-verified against the audited financials. Adjust as needed.</t>
        </r>
      </text>
    </comment>
    <comment ref="F145" authorId="0">
      <text>
        <r>
          <rPr>
            <sz val="10"/>
            <rFont val="Arial"/>
            <family val="2"/>
          </rPr>
          <t xml:space="preserve">LAHAP Model Build:
Model assumption = OM/broker market-expense basis ($270/unit - 2026 Budget). Source: Louisiana HAP Portfolio - Underwriting &amp; Hold Models.xlsx (DD Master Documents), agent-verified against the audited financials. Adjust as needed.</t>
        </r>
      </text>
    </comment>
    <comment ref="F146" authorId="0">
      <text>
        <r>
          <rPr>
            <sz val="10"/>
            <rFont val="Arial"/>
            <family val="2"/>
          </rPr>
          <t xml:space="preserve">LAHAP Model Build:
Model assumption = OM/broker market-expense basis ($680/unit - 2026 Budget). Source: Louisiana HAP Portfolio - Underwriting &amp; Hold Models.xlsx (DD Master Documents), agent-verified against the audited financials. Adjust as needed.</t>
        </r>
      </text>
    </comment>
    <comment ref="F147" authorId="0">
      <text>
        <r>
          <rPr>
            <sz val="10"/>
            <rFont val="Arial"/>
            <family val="2"/>
          </rPr>
          <t xml:space="preserve">LAHAP Model Build:
Model assumption = OM/broker market-expense basis (2026 Budget). Source: Louisiana HAP Portfolio - Underwriting &amp; Hold Models.xlsx (DD Master Documents), agent-verified against the audited financials. Adjust as needed.</t>
        </r>
      </text>
    </comment>
    <comment ref="F148" authorId="0">
      <text>
        <r>
          <rPr>
            <sz val="10"/>
            <rFont val="Arial"/>
            <family val="2"/>
          </rPr>
          <t xml:space="preserve">LAHAP Model Build:
Model assumption = OM/broker market-expense basis (In-Place Security  - Baton Rouge PD patrols (typical hours 10pm-2am)). Source: Louisiana HAP Portfolio - Underwriting &amp; Hold Models.xlsx (DD Master Documents), agent-verified against the audited financials. Adjust as needed.</t>
        </r>
      </text>
    </comment>
    <comment ref="F149" authorId="0">
      <text>
        <r>
          <rPr>
            <sz val="10"/>
            <rFont val="Arial"/>
            <family val="2"/>
          </rPr>
          <t xml:space="preserve">LAHAP Model Build:
Model assumption = OM/broker market-expense basis (Broker Estimate). Source: Louisiana HAP Portfolio - Underwriting &amp; Hold Models.xlsx (DD Master Documents), agent-verified against the audited financials. Adjust as needed.</t>
        </r>
      </text>
    </comment>
    <comment ref="F150" authorId="0">
      <text>
        <r>
          <rPr>
            <sz val="10"/>
            <rFont val="Arial"/>
            <family val="2"/>
          </rPr>
          <t xml:space="preserve">LAHAP Model Build:
Model assumption = OM/broker market-expense basis. Source: Louisiana HAP Portfolio - Underwriting &amp; Hold Models.xlsx (DD Master Documents), agent-verified against the audited financials. Adjust as needed.</t>
        </r>
      </text>
    </comment>
    <comment ref="F153" authorId="0">
      <text>
        <r>
          <rPr>
            <sz val="10"/>
            <rFont val="Arial"/>
            <family val="2"/>
          </rPr>
          <t xml:space="preserve">LAHAP Model Build:
Source: SA - 2025 Property Tax Bill.pdf — $46,421.25 (matches broker).</t>
        </r>
      </text>
    </comment>
    <comment ref="F154" authorId="0">
      <text>
        <r>
          <rPr>
            <sz val="10"/>
            <rFont val="Arial"/>
            <family val="2"/>
          </rPr>
          <t xml:space="preserve">LAHAP Model Build:
Model assumption = OM/broker market-expense basis (7.65% of Payroll). Source: Louisiana HAP Portfolio - Underwriting &amp; Hold Models.xlsx (DD Master Documents), agent-verified against the audited financials. Adjust as needed.</t>
        </r>
      </text>
    </comment>
    <comment ref="F155" authorId="0">
      <text>
        <r>
          <rPr>
            <sz val="10"/>
            <rFont val="Arial"/>
            <family val="2"/>
          </rPr>
          <t xml:space="preserve">LAHAP Model Build:
Source: SA - 2026 Budget.xlsx — $1,333/unit (T12 $262,851; 2025 audit $271,131). Broker 'owner in-place premium' $231,221 unsupported — variance recorded.</t>
        </r>
      </text>
    </comment>
    <comment ref="F156" authorId="0">
      <text>
        <r>
          <rPr>
            <sz val="10"/>
            <rFont val="Arial"/>
            <family val="2"/>
          </rPr>
          <t xml:space="preserve">LAHAP Model Build:
Model assumption = OM/broker market-expense basis (3% of Payroll). Source: Louisiana HAP Portfolio - Underwriting &amp; Hold Models.xlsx (DD Master Documents), agent-verified against the audited financials. Adjust as needed.</t>
        </r>
      </text>
    </comment>
    <comment ref="F157" authorId="0">
      <text>
        <r>
          <rPr>
            <sz val="10"/>
            <rFont val="Arial"/>
            <family val="2"/>
          </rPr>
          <t xml:space="preserve">LAHAP Model Build:
Model assumption = OM/broker market-expense basis (10% of Payroll). Source: Louisiana HAP Portfolio - Underwriting &amp; Hold Models.xlsx (DD Master Documents), agent-verified against the audited financials. Adjust as needed.</t>
        </r>
      </text>
    </comment>
    <comment ref="F158" authorId="0">
      <text>
        <r>
          <rPr>
            <sz val="10"/>
            <rFont val="Arial"/>
            <family val="2"/>
          </rPr>
          <t xml:space="preserve">LAHAP Model Build:
Model assumption = OM/broker market-expense basis. Source: Louisiana HAP Portfolio - Underwriting &amp; Hold Models.xlsx (DD Master Documents), agent-verified against the audited financials. Adjust as needed.</t>
        </r>
      </text>
    </comment>
    <comment ref="F161" authorId="0">
      <text>
        <r>
          <rPr>
            <sz val="10"/>
            <rFont val="Arial"/>
            <family val="2"/>
          </rPr>
          <t xml:space="preserve">LAHAP Model Build:
Greater of the QAP family reserve floor ($/unit, QAP_Rule_Register) and the OM/broker $300/unit estimate. Reserves sit below NOI, matching audit treatment (broker expensed them inside NOI — basis variance recorded).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1" authorId="0">
      <text>
        <r>
          <rPr>
            <sz val="10"/>
            <rFont val="Arial"/>
            <family val="2"/>
          </rPr>
          <t xml:space="preserve">LAHAP Model Build:
Rate = ContingencyPct from QAP_Rule_Register (LA 2025 QAP; occupied rehab often carries a higher contingency — adjust as needed).</t>
        </r>
      </text>
    </comment>
    <comment ref="B12" authorId="0">
      <text>
        <r>
          <rPr>
            <sz val="10"/>
            <rFont val="Arial"/>
            <family val="2"/>
          </rPr>
          <t xml:space="preserve">LAHAP Model Build:
GenReqPct + BuilderOHPct + BuilderProfitPct from QAP_Rule_Register.</t>
        </r>
      </text>
    </comment>
    <comment ref="B18" authorId="0">
      <text>
        <r>
          <rPr>
            <sz val="10"/>
            <rFont val="Arial"/>
            <family val="2"/>
          </rPr>
          <t xml:space="preserve">LAHAP Model Build:
MinRehabIRC on QAP_Rule_Register — PLACEHOLDER indexed minimum $8,500; confirm current amount.</t>
        </r>
      </text>
    </comment>
    <comment ref="B19" authorId="0">
      <text>
        <r>
          <rPr>
            <sz val="10"/>
            <rFont val="Arial"/>
            <family val="2"/>
          </rPr>
          <t xml:space="preserve">LAHAP Model Build:
MinRehabQAP is blank (no confirmed 2026 QAP value) — returns PENDING rather than a fabricated pass.</t>
        </r>
      </text>
    </comment>
    <comment ref="B24" authorId="0">
      <text>
        <r>
          <rPr>
            <sz val="10"/>
            <rFont val="Arial"/>
            <family val="2"/>
          </rPr>
          <t xml:space="preserve">LAHAP Model Build:
Ties to the rehab burn-curve pace: Units / RehabMonths (spec Sec. 5.5). Override in blue if the relocation plan differs.</t>
        </r>
      </text>
    </comment>
    <comment ref="B34" authorId="0">
      <text>
        <r>
          <rPr>
            <sz val="10"/>
            <rFont val="Arial"/>
            <family val="2"/>
          </rPr>
          <t xml:space="preserve">LAHAP Model Build:
Feeds Uses on Sources &amp; Uses and the monthly draw schedule on S&amp;U Timing (spec Sec. 5.5). Temporary relocation costs are generally includible in LIHTC eligible basis — modeled in rehab basis; confirm with tax counsel.</t>
        </r>
      </text>
    </comment>
    <comment ref="B39" authorId="0">
      <text>
        <r>
          <rPr>
            <sz val="10"/>
            <rFont val="Arial"/>
            <family val="2"/>
          </rPr>
          <t xml:space="preserve">LAHAP Model Build:
Units offline x downtime / total units — applied to each property's rehab-period months on the Pro Forma (spec Sec. 5.5).</t>
        </r>
      </text>
    </comment>
    <comment ref="C4" authorId="0">
      <text>
        <r>
          <rPr>
            <sz val="10"/>
            <rFont val="Arial"/>
            <family val="2"/>
          </rPr>
          <t xml:space="preserve">LAHAP Model Build:
PLACEHOLDER — replace with diligence data (CNA). Allocation of the $40,000/unit hard-cost placeholder; buyer assumption 8/6/26.</t>
        </r>
      </text>
    </comment>
    <comment ref="C5" authorId="0">
      <text>
        <r>
          <rPr>
            <sz val="10"/>
            <rFont val="Arial"/>
            <family val="2"/>
          </rPr>
          <t xml:space="preserve">LAHAP Model Build:
PLACEHOLDER — replace with diligence data (CNA). Allocation of the $40,000/unit hard-cost placeholder; buyer assumption 8/6/26.</t>
        </r>
      </text>
    </comment>
    <comment ref="C6" authorId="0">
      <text>
        <r>
          <rPr>
            <sz val="10"/>
            <rFont val="Arial"/>
            <family val="2"/>
          </rPr>
          <t xml:space="preserve">LAHAP Model Build:
PLACEHOLDER — replace with diligence data (CNA). Allocation of the $40,000/unit hard-cost placeholder; buyer assumption 8/6/26.</t>
        </r>
      </text>
    </comment>
    <comment ref="C7" authorId="0">
      <text>
        <r>
          <rPr>
            <sz val="10"/>
            <rFont val="Arial"/>
            <family val="2"/>
          </rPr>
          <t xml:space="preserve">LAHAP Model Build:
PLACEHOLDER — replace with diligence data (CNA). Allocation of the $40,000/unit hard-cost placeholder; buyer assumption 8/6/26.</t>
        </r>
      </text>
    </comment>
    <comment ref="C8" authorId="0">
      <text>
        <r>
          <rPr>
            <sz val="10"/>
            <rFont val="Arial"/>
            <family val="2"/>
          </rPr>
          <t xml:space="preserve">LAHAP Model Build:
PLACEHOLDER — replace with diligence data (CNA). Allocation of the $40,000/unit hard-cost placeholder; buyer assumption 8/6/26.</t>
        </r>
      </text>
    </comment>
    <comment ref="C23" authorId="0">
      <text>
        <r>
          <rPr>
            <sz val="10"/>
            <rFont val="Arial"/>
            <family val="2"/>
          </rPr>
          <t xml:space="preserve">LAHAP Model Build:
PLACEHOLDER — spec Sec. 8 #10: in-place phased method pending a relocation plan. Options: in-place phased / hotel-temporary / on-site hospitality units.</t>
        </r>
      </text>
    </comment>
    <comment ref="C25" authorId="0">
      <text>
        <r>
          <rPr>
            <sz val="10"/>
            <rFont val="Arial"/>
            <family val="2"/>
          </rPr>
          <t xml:space="preserve">LAHAP Model Build:
PLACEHOLDER buyer assumption — in-place phased rehab, ~2 weeks per unit offline.</t>
        </r>
      </text>
    </comment>
    <comment ref="C26" authorId="0">
      <text>
        <r>
          <rPr>
            <sz val="10"/>
            <rFont val="Arial"/>
            <family val="2"/>
          </rPr>
          <t xml:space="preserve">LAHAP Model Build:
PLACEHOLDER — allocation of the $2,500/unit relocation allowance (spec Sec. 8 #10). Replace when a relocation plan exists.</t>
        </r>
      </text>
    </comment>
    <comment ref="C27" authorId="0">
      <text>
        <r>
          <rPr>
            <sz val="10"/>
            <rFont val="Arial"/>
            <family val="2"/>
          </rPr>
          <t xml:space="preserve">LAHAP Model Build:
PLACEHOLDER — allocation of the $2,500/unit relocation allowance (spec Sec. 8 #10). Replace when a relocation plan exists.</t>
        </r>
      </text>
    </comment>
    <comment ref="C28" authorId="0">
      <text>
        <r>
          <rPr>
            <sz val="10"/>
            <rFont val="Arial"/>
            <family val="2"/>
          </rPr>
          <t xml:space="preserve">LAHAP Model Build:
PLACEHOLDER — allocation of the $2,500/unit relocation allowance (spec Sec. 8 #10). Replace when a relocation plan exists.</t>
        </r>
      </text>
    </comment>
    <comment ref="C29" authorId="0">
      <text>
        <r>
          <rPr>
            <sz val="10"/>
            <rFont val="Arial"/>
            <family val="2"/>
          </rPr>
          <t xml:space="preserve">LAHAP Model Build:
PLACEHOLDER — allocation of the $2,500/unit relocation allowance (spec Sec. 8 #10). Replace when a relocation plan exists.</t>
        </r>
      </text>
    </comment>
    <comment ref="C30" authorId="0">
      <text>
        <r>
          <rPr>
            <sz val="10"/>
            <rFont val="Arial"/>
            <family val="2"/>
          </rPr>
          <t xml:space="preserve">LAHAP Model Build:
PLACEHOLDER — allocation of the $2,500/unit relocation allowance (spec Sec. 8 #10). Replace when a relocation plan exists.</t>
        </r>
      </text>
    </comment>
    <comment ref="C31" authorId="0">
      <text>
        <r>
          <rPr>
            <sz val="10"/>
            <rFont val="Arial"/>
            <family val="2"/>
          </rPr>
          <t xml:space="preserve">LAHAP Model Build:
PLACEHOLDER — allocation of the $2,500/unit relocation allowance (spec Sec. 8 #10). Replace when a relocation plan exists.</t>
        </r>
      </text>
    </comment>
    <comment ref="C43" authorId="0">
      <text>
        <r>
          <rPr>
            <sz val="10"/>
            <rFont val="Arial"/>
            <family val="2"/>
          </rPr>
          <t xml:space="preserve">LAHAP Model Build:
Buyer assumption — sine-shaped occupied-rehab draw curve over the property's RehabMonths (Dashboard). Adjust to the GC schedule when one exists.</t>
        </r>
      </text>
    </comment>
    <comment ref="C44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C45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C46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C47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C48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C49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C50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C51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C52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C53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C54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C55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C56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C57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C58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C59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C60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D4" authorId="0">
      <text>
        <r>
          <rPr>
            <sz val="10"/>
            <rFont val="Arial"/>
            <family val="2"/>
          </rPr>
          <t xml:space="preserve">LAHAP Model Build:
PLACEHOLDER — replace with diligence data (CNA). Allocation of the $40,000/unit hard-cost placeholder; buyer assumption 8/6/26.
(Same source as the first commented cell in this row.)</t>
        </r>
      </text>
    </comment>
    <comment ref="D5" authorId="0">
      <text>
        <r>
          <rPr>
            <sz val="10"/>
            <rFont val="Arial"/>
            <family val="2"/>
          </rPr>
          <t xml:space="preserve">LAHAP Model Build:
PLACEHOLDER — replace with diligence data (CNA). Allocation of the $40,000/unit hard-cost placeholder; buyer assumption 8/6/26.
(Same source as the first commented cell in this row.)</t>
        </r>
      </text>
    </comment>
    <comment ref="D6" authorId="0">
      <text>
        <r>
          <rPr>
            <sz val="10"/>
            <rFont val="Arial"/>
            <family val="2"/>
          </rPr>
          <t xml:space="preserve">LAHAP Model Build:
PLACEHOLDER — replace with diligence data (CNA). Allocation of the $40,000/unit hard-cost placeholder; buyer assumption 8/6/26.
(Same source as the first commented cell in this row.)</t>
        </r>
      </text>
    </comment>
    <comment ref="D7" authorId="0">
      <text>
        <r>
          <rPr>
            <sz val="10"/>
            <rFont val="Arial"/>
            <family val="2"/>
          </rPr>
          <t xml:space="preserve">LAHAP Model Build:
PLACEHOLDER — replace with diligence data (CNA). Allocation of the $40,000/unit hard-cost placeholder; buyer assumption 8/6/26.
(Same source as the first commented cell in this row.)</t>
        </r>
      </text>
    </comment>
    <comment ref="D8" authorId="0">
      <text>
        <r>
          <rPr>
            <sz val="10"/>
            <rFont val="Arial"/>
            <family val="2"/>
          </rPr>
          <t xml:space="preserve">LAHAP Model Build:
PLACEHOLDER — replace with diligence data (CNA). Allocation of the $40,000/unit hard-cost placeholder; buyer assumption 8/6/26.
(Same source as the first commented cell in this row.)</t>
        </r>
      </text>
    </comment>
    <comment ref="D23" authorId="0">
      <text>
        <r>
          <rPr>
            <sz val="10"/>
            <rFont val="Arial"/>
            <family val="2"/>
          </rPr>
          <t xml:space="preserve">LAHAP Model Build:
PLACEHOLDER — spec Sec. 8 #10: in-place phased method pending a relocation plan. Options: in-place phased / hotel-temporary / on-site hospitality units.
(Same source as the first commented cell in this row.)</t>
        </r>
      </text>
    </comment>
    <comment ref="D25" authorId="0">
      <text>
        <r>
          <rPr>
            <sz val="10"/>
            <rFont val="Arial"/>
            <family val="2"/>
          </rPr>
          <t xml:space="preserve">LAHAP Model Build:
PLACEHOLDER buyer assumption — in-place phased rehab, ~2 weeks per unit offline.
(Same source as the first commented cell in this row.)</t>
        </r>
      </text>
    </comment>
    <comment ref="D26" authorId="0">
      <text>
        <r>
          <rPr>
            <sz val="10"/>
            <rFont val="Arial"/>
            <family val="2"/>
          </rPr>
          <t xml:space="preserve">LAHAP Model Build:
PLACEHOLDER — allocation of the $2,500/unit relocation allowance (spec Sec. 8 #10). Replace when a relocation plan exists.
(Same source as the first commented cell in this row.)</t>
        </r>
      </text>
    </comment>
    <comment ref="D27" authorId="0">
      <text>
        <r>
          <rPr>
            <sz val="10"/>
            <rFont val="Arial"/>
            <family val="2"/>
          </rPr>
          <t xml:space="preserve">LAHAP Model Build:
PLACEHOLDER — allocation of the $2,500/unit relocation allowance (spec Sec. 8 #10). Replace when a relocation plan exists.
(Same source as the first commented cell in this row.)</t>
        </r>
      </text>
    </comment>
    <comment ref="D28" authorId="0">
      <text>
        <r>
          <rPr>
            <sz val="10"/>
            <rFont val="Arial"/>
            <family val="2"/>
          </rPr>
          <t xml:space="preserve">LAHAP Model Build:
PLACEHOLDER — allocation of the $2,500/unit relocation allowance (spec Sec. 8 #10). Replace when a relocation plan exists.
(Same source as the first commented cell in this row.)</t>
        </r>
      </text>
    </comment>
    <comment ref="D29" authorId="0">
      <text>
        <r>
          <rPr>
            <sz val="10"/>
            <rFont val="Arial"/>
            <family val="2"/>
          </rPr>
          <t xml:space="preserve">LAHAP Model Build:
PLACEHOLDER — allocation of the $2,500/unit relocation allowance (spec Sec. 8 #10). Replace when a relocation plan exists.
(Same source as the first commented cell in this row.)</t>
        </r>
      </text>
    </comment>
    <comment ref="D30" authorId="0">
      <text>
        <r>
          <rPr>
            <sz val="10"/>
            <rFont val="Arial"/>
            <family val="2"/>
          </rPr>
          <t xml:space="preserve">LAHAP Model Build:
PLACEHOLDER — allocation of the $2,500/unit relocation allowance (spec Sec. 8 #10). Replace when a relocation plan exists.
(Same source as the first commented cell in this row.)</t>
        </r>
      </text>
    </comment>
    <comment ref="D31" authorId="0">
      <text>
        <r>
          <rPr>
            <sz val="10"/>
            <rFont val="Arial"/>
            <family val="2"/>
          </rPr>
          <t xml:space="preserve">LAHAP Model Build:
PLACEHOLDER — allocation of the $2,500/unit relocation allowance (spec Sec. 8 #10). Replace when a relocation plan exists.
(Same source as the first commented cell in this row.)</t>
        </r>
      </text>
    </comment>
    <comment ref="D43" authorId="0">
      <text>
        <r>
          <rPr>
            <sz val="10"/>
            <rFont val="Arial"/>
            <family val="2"/>
          </rPr>
          <t xml:space="preserve">LAHAP Model Build:
Buyer assumption — sine-shaped occupied-rehab draw curve over the property's RehabMonths (Dashboard). Adjust to the GC schedule when one exists.
(Same source as the first commented cell in this row.)</t>
        </r>
      </text>
    </comment>
    <comment ref="D44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D45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D46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D47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D48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D49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D50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D51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D52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D53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D54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D55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D56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D57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D58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D59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D60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E4" authorId="0">
      <text>
        <r>
          <rPr>
            <sz val="10"/>
            <rFont val="Arial"/>
            <family val="2"/>
          </rPr>
          <t xml:space="preserve">LAHAP Model Build:
PLACEHOLDER — replace with diligence data (CNA). Allocation of the $40,000/unit hard-cost placeholder; buyer assumption 8/6/26.
(Same source as the first commented cell in this row.)</t>
        </r>
      </text>
    </comment>
    <comment ref="E5" authorId="0">
      <text>
        <r>
          <rPr>
            <sz val="10"/>
            <rFont val="Arial"/>
            <family val="2"/>
          </rPr>
          <t xml:space="preserve">LAHAP Model Build:
PLACEHOLDER — replace with diligence data (CNA). Allocation of the $40,000/unit hard-cost placeholder; buyer assumption 8/6/26.
(Same source as the first commented cell in this row.)</t>
        </r>
      </text>
    </comment>
    <comment ref="E6" authorId="0">
      <text>
        <r>
          <rPr>
            <sz val="10"/>
            <rFont val="Arial"/>
            <family val="2"/>
          </rPr>
          <t xml:space="preserve">LAHAP Model Build:
PLACEHOLDER — replace with diligence data (CNA). Allocation of the $40,000/unit hard-cost placeholder; buyer assumption 8/6/26.
(Same source as the first commented cell in this row.)</t>
        </r>
      </text>
    </comment>
    <comment ref="E7" authorId="0">
      <text>
        <r>
          <rPr>
            <sz val="10"/>
            <rFont val="Arial"/>
            <family val="2"/>
          </rPr>
          <t xml:space="preserve">LAHAP Model Build:
PLACEHOLDER — replace with diligence data (CNA). Allocation of the $40,000/unit hard-cost placeholder; buyer assumption 8/6/26.
(Same source as the first commented cell in this row.)</t>
        </r>
      </text>
    </comment>
    <comment ref="E8" authorId="0">
      <text>
        <r>
          <rPr>
            <sz val="10"/>
            <rFont val="Arial"/>
            <family val="2"/>
          </rPr>
          <t xml:space="preserve">LAHAP Model Build:
PLACEHOLDER — replace with diligence data (CNA). Allocation of the $40,000/unit hard-cost placeholder; buyer assumption 8/6/26.
(Same source as the first commented cell in this row.)</t>
        </r>
      </text>
    </comment>
    <comment ref="E23" authorId="0">
      <text>
        <r>
          <rPr>
            <sz val="10"/>
            <rFont val="Arial"/>
            <family val="2"/>
          </rPr>
          <t xml:space="preserve">LAHAP Model Build:
PLACEHOLDER — spec Sec. 8 #10: in-place phased method pending a relocation plan. Options: in-place phased / hotel-temporary / on-site hospitality units.
(Same source as the first commented cell in this row.)</t>
        </r>
      </text>
    </comment>
    <comment ref="E25" authorId="0">
      <text>
        <r>
          <rPr>
            <sz val="10"/>
            <rFont val="Arial"/>
            <family val="2"/>
          </rPr>
          <t xml:space="preserve">LAHAP Model Build:
PLACEHOLDER buyer assumption — in-place phased rehab, ~2 weeks per unit offline.
(Same source as the first commented cell in this row.)</t>
        </r>
      </text>
    </comment>
    <comment ref="E26" authorId="0">
      <text>
        <r>
          <rPr>
            <sz val="10"/>
            <rFont val="Arial"/>
            <family val="2"/>
          </rPr>
          <t xml:space="preserve">LAHAP Model Build:
PLACEHOLDER — allocation of the $2,500/unit relocation allowance (spec Sec. 8 #10). Replace when a relocation plan exists.
(Same source as the first commented cell in this row.)</t>
        </r>
      </text>
    </comment>
    <comment ref="E27" authorId="0">
      <text>
        <r>
          <rPr>
            <sz val="10"/>
            <rFont val="Arial"/>
            <family val="2"/>
          </rPr>
          <t xml:space="preserve">LAHAP Model Build:
PLACEHOLDER — allocation of the $2,500/unit relocation allowance (spec Sec. 8 #10). Replace when a relocation plan exists.
(Same source as the first commented cell in this row.)</t>
        </r>
      </text>
    </comment>
    <comment ref="E28" authorId="0">
      <text>
        <r>
          <rPr>
            <sz val="10"/>
            <rFont val="Arial"/>
            <family val="2"/>
          </rPr>
          <t xml:space="preserve">LAHAP Model Build:
PLACEHOLDER — allocation of the $2,500/unit relocation allowance (spec Sec. 8 #10). Replace when a relocation plan exists.
(Same source as the first commented cell in this row.)</t>
        </r>
      </text>
    </comment>
    <comment ref="E29" authorId="0">
      <text>
        <r>
          <rPr>
            <sz val="10"/>
            <rFont val="Arial"/>
            <family val="2"/>
          </rPr>
          <t xml:space="preserve">LAHAP Model Build:
PLACEHOLDER — allocation of the $2,500/unit relocation allowance (spec Sec. 8 #10). Replace when a relocation plan exists.
(Same source as the first commented cell in this row.)</t>
        </r>
      </text>
    </comment>
    <comment ref="E30" authorId="0">
      <text>
        <r>
          <rPr>
            <sz val="10"/>
            <rFont val="Arial"/>
            <family val="2"/>
          </rPr>
          <t xml:space="preserve">LAHAP Model Build:
PLACEHOLDER — allocation of the $2,500/unit relocation allowance (spec Sec. 8 #10). Replace when a relocation plan exists.
(Same source as the first commented cell in this row.)</t>
        </r>
      </text>
    </comment>
    <comment ref="E31" authorId="0">
      <text>
        <r>
          <rPr>
            <sz val="10"/>
            <rFont val="Arial"/>
            <family val="2"/>
          </rPr>
          <t xml:space="preserve">LAHAP Model Build:
PLACEHOLDER — allocation of the $2,500/unit relocation allowance (spec Sec. 8 #10). Replace when a relocation plan exists.
(Same source as the first commented cell in this row.)</t>
        </r>
      </text>
    </comment>
    <comment ref="E43" authorId="0">
      <text>
        <r>
          <rPr>
            <sz val="10"/>
            <rFont val="Arial"/>
            <family val="2"/>
          </rPr>
          <t xml:space="preserve">LAHAP Model Build:
Buyer assumption — sine-shaped occupied-rehab draw curve over the property's RehabMonths (Dashboard). Adjust to the GC schedule when one exists.
(Same source as the first commented cell in this row.)</t>
        </r>
      </text>
    </comment>
    <comment ref="E44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E45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E46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E47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E48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E49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E50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E51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E52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E53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E54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E55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E56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E57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E58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E59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E60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F4" authorId="0">
      <text>
        <r>
          <rPr>
            <sz val="10"/>
            <rFont val="Arial"/>
            <family val="2"/>
          </rPr>
          <t xml:space="preserve">LAHAP Model Build:
PLACEHOLDER — replace with diligence data (CNA). Allocation of the $40,000/unit hard-cost placeholder; buyer assumption 8/6/26.
(Same source as the first commented cell in this row.)</t>
        </r>
      </text>
    </comment>
    <comment ref="F5" authorId="0">
      <text>
        <r>
          <rPr>
            <sz val="10"/>
            <rFont val="Arial"/>
            <family val="2"/>
          </rPr>
          <t xml:space="preserve">LAHAP Model Build:
PLACEHOLDER — replace with diligence data (CNA). Allocation of the $40,000/unit hard-cost placeholder; buyer assumption 8/6/26.
(Same source as the first commented cell in this row.)</t>
        </r>
      </text>
    </comment>
    <comment ref="F6" authorId="0">
      <text>
        <r>
          <rPr>
            <sz val="10"/>
            <rFont val="Arial"/>
            <family val="2"/>
          </rPr>
          <t xml:space="preserve">LAHAP Model Build:
PLACEHOLDER — replace with diligence data (CNA). Allocation of the $40,000/unit hard-cost placeholder; buyer assumption 8/6/26.
(Same source as the first commented cell in this row.)</t>
        </r>
      </text>
    </comment>
    <comment ref="F7" authorId="0">
      <text>
        <r>
          <rPr>
            <sz val="10"/>
            <rFont val="Arial"/>
            <family val="2"/>
          </rPr>
          <t xml:space="preserve">LAHAP Model Build:
PLACEHOLDER — replace with diligence data (CNA). Allocation of the $40,000/unit hard-cost placeholder; buyer assumption 8/6/26.
(Same source as the first commented cell in this row.)</t>
        </r>
      </text>
    </comment>
    <comment ref="F8" authorId="0">
      <text>
        <r>
          <rPr>
            <sz val="10"/>
            <rFont val="Arial"/>
            <family val="2"/>
          </rPr>
          <t xml:space="preserve">LAHAP Model Build:
PLACEHOLDER — replace with diligence data (CNA). Allocation of the $40,000/unit hard-cost placeholder; buyer assumption 8/6/26.
(Same source as the first commented cell in this row.)</t>
        </r>
      </text>
    </comment>
    <comment ref="F23" authorId="0">
      <text>
        <r>
          <rPr>
            <sz val="10"/>
            <rFont val="Arial"/>
            <family val="2"/>
          </rPr>
          <t xml:space="preserve">LAHAP Model Build:
PLACEHOLDER — spec Sec. 8 #10: in-place phased method pending a relocation plan. Options: in-place phased / hotel-temporary / on-site hospitality units.
(Same source as the first commented cell in this row.)</t>
        </r>
      </text>
    </comment>
    <comment ref="F25" authorId="0">
      <text>
        <r>
          <rPr>
            <sz val="10"/>
            <rFont val="Arial"/>
            <family val="2"/>
          </rPr>
          <t xml:space="preserve">LAHAP Model Build:
PLACEHOLDER buyer assumption — in-place phased rehab, ~2 weeks per unit offline.
(Same source as the first commented cell in this row.)</t>
        </r>
      </text>
    </comment>
    <comment ref="F26" authorId="0">
      <text>
        <r>
          <rPr>
            <sz val="10"/>
            <rFont val="Arial"/>
            <family val="2"/>
          </rPr>
          <t xml:space="preserve">LAHAP Model Build:
PLACEHOLDER — allocation of the $2,500/unit relocation allowance (spec Sec. 8 #10). Replace when a relocation plan exists.
(Same source as the first commented cell in this row.)</t>
        </r>
      </text>
    </comment>
    <comment ref="F27" authorId="0">
      <text>
        <r>
          <rPr>
            <sz val="10"/>
            <rFont val="Arial"/>
            <family val="2"/>
          </rPr>
          <t xml:space="preserve">LAHAP Model Build:
PLACEHOLDER — allocation of the $2,500/unit relocation allowance (spec Sec. 8 #10). Replace when a relocation plan exists.
(Same source as the first commented cell in this row.)</t>
        </r>
      </text>
    </comment>
    <comment ref="F28" authorId="0">
      <text>
        <r>
          <rPr>
            <sz val="10"/>
            <rFont val="Arial"/>
            <family val="2"/>
          </rPr>
          <t xml:space="preserve">LAHAP Model Build:
PLACEHOLDER — allocation of the $2,500/unit relocation allowance (spec Sec. 8 #10). Replace when a relocation plan exists.
(Same source as the first commented cell in this row.)</t>
        </r>
      </text>
    </comment>
    <comment ref="F29" authorId="0">
      <text>
        <r>
          <rPr>
            <sz val="10"/>
            <rFont val="Arial"/>
            <family val="2"/>
          </rPr>
          <t xml:space="preserve">LAHAP Model Build:
PLACEHOLDER — allocation of the $2,500/unit relocation allowance (spec Sec. 8 #10). Replace when a relocation plan exists.
(Same source as the first commented cell in this row.)</t>
        </r>
      </text>
    </comment>
    <comment ref="F30" authorId="0">
      <text>
        <r>
          <rPr>
            <sz val="10"/>
            <rFont val="Arial"/>
            <family val="2"/>
          </rPr>
          <t xml:space="preserve">LAHAP Model Build:
PLACEHOLDER — allocation of the $2,500/unit relocation allowance (spec Sec. 8 #10). Replace when a relocation plan exists.
(Same source as the first commented cell in this row.)</t>
        </r>
      </text>
    </comment>
    <comment ref="F31" authorId="0">
      <text>
        <r>
          <rPr>
            <sz val="10"/>
            <rFont val="Arial"/>
            <family val="2"/>
          </rPr>
          <t xml:space="preserve">LAHAP Model Build:
PLACEHOLDER — allocation of the $2,500/unit relocation allowance (spec Sec. 8 #10). Replace when a relocation plan exists.
(Same source as the first commented cell in this row.)</t>
        </r>
      </text>
    </comment>
    <comment ref="F43" authorId="0">
      <text>
        <r>
          <rPr>
            <sz val="10"/>
            <rFont val="Arial"/>
            <family val="2"/>
          </rPr>
          <t xml:space="preserve">LAHAP Model Build:
Buyer assumption — sine-shaped occupied-rehab draw curve over the property's RehabMonths (Dashboard). Adjust to the GC schedule when one exists.
(Same source as the first commented cell in this row.)</t>
        </r>
      </text>
    </comment>
    <comment ref="F44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F45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F46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F47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F48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F49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F50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F51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F52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F53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F54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F55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F56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F57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F58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F59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F60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0" authorId="0">
      <text>
        <r>
          <rPr>
            <sz val="10"/>
            <rFont val="Arial"/>
            <family val="2"/>
          </rPr>
          <t xml:space="preserve">LAHAP Model Build:
Plug: MIN(developer fee, funding gap). Waterfall must repay within 15 years (Scorecard test).</t>
        </r>
      </text>
    </comment>
    <comment ref="B16" authorId="0">
      <text>
        <r>
          <rPr>
            <sz val="10"/>
            <rFont val="Arial"/>
            <family val="2"/>
          </rPr>
          <t xml:space="preserve">LAHAP Model Build:
Backsolved output (Max Price Solver). Land/building split per Dashboard LandPct — PLACEHOLDER 15% land; needs appraisal support (drives acquisition credit basis).</t>
        </r>
      </text>
    </comment>
    <comment ref="B22" authorId="0">
      <text>
        <r>
          <rPr>
            <sz val="10"/>
            <rFont val="Arial"/>
            <family val="2"/>
          </rPr>
          <t xml:space="preserve">LAHAP Model Build:
Green link: capitalized construction-period interest from S&amp;U Timing (deliberate circular loop — iterative calc is ON).</t>
        </r>
      </text>
    </comment>
    <comment ref="B24" authorId="0">
      <text>
        <r>
          <rPr>
            <sz val="10"/>
            <rFont val="Arial"/>
            <family val="2"/>
          </rPr>
          <t xml:space="preserve">LAHAP Model Build:
Fee % (blue) x fee base (acquisition building basis + rehab eligible basis). Scorecard tests vs QAP caps (DevFeeCapPct / DevFeeCapAbs — LA 2025 QAP, PENDING 2026 confirm).</t>
        </r>
      </text>
    </comment>
    <comment ref="C11" authorId="0">
      <text>
        <r>
          <rPr>
            <sz val="10"/>
            <rFont val="Arial"/>
            <family val="2"/>
          </rPr>
          <t xml:space="preserve">LAHAP Model Build:
Positive cumulative bridge-period cash flow (Bridge Period sheet) collected by the buyer between acquisition and this close, applied as a closing source. Negative bridge carry is NOT shown here — it is a pre-close cost carried by the buyer and reduces the solver's max price. A seller note (spec option) is not assumed — no seller guidance exists (Gap #8); add a row if one emerges.</t>
        </r>
      </text>
    </comment>
    <comment ref="C12" authorId="0">
      <text>
        <r>
          <rPr>
            <sz val="10"/>
            <rFont val="Arial"/>
            <family val="2"/>
          </rPr>
          <t xml:space="preserve">LAHAP Model Build:
PLACEHOLDER — no soft-money award exists. This row plugs any funding gap beyond a fully-deferred developer fee so Sources = Uses arithmetically; a nonzero value means the deal requires soft funds (HOME/CDBG/LHC) that are NOT identified — Scorecard flags it. NOTE: introducing HOME/CDBG triggers URA relocation requirements.</t>
        </r>
      </text>
    </comment>
    <comment ref="C20" authorId="0">
      <text>
        <r>
          <rPr>
            <sz val="10"/>
            <rFont val="Arial"/>
            <family val="2"/>
          </rPr>
          <t xml:space="preserve">LAHAP Model Build:
PLACEHOLDER — 2.0% of bond proceeds for COI; replace with bond counsel/underwriter estimate.</t>
        </r>
      </text>
    </comment>
    <comment ref="C22" authorId="0">
      <text>
        <r>
          <rPr>
            <sz val="10"/>
            <rFont val="Arial"/>
            <family val="2"/>
          </rPr>
          <t xml:space="preserve">LAHAP Model Build:
Seeded 0 — replaced with the S&amp;U Timing construction-interest output when that sheet is built (spec Sec. 5.12).</t>
        </r>
      </text>
    </comment>
    <comment ref="C23" authorId="0">
      <text>
        <r>
          <rPr>
            <sz val="10"/>
            <rFont val="Arial"/>
            <family val="2"/>
          </rPr>
          <t xml:space="preserve">LAHAP Model Build:
OpReserveFrac (QAP register) x stabilized opex.</t>
        </r>
      </text>
    </comment>
    <comment ref="C25" authorId="0">
      <text>
        <r>
          <rPr>
            <sz val="10"/>
            <rFont val="Arial"/>
            <family val="2"/>
          </rPr>
          <t xml:space="preserve">LAHAP Model Build:
Buyer assumption at the QAP cap percentage (DevFeeCapPct). Adjust as needed.</t>
        </r>
      </text>
    </comment>
    <comment ref="D11" authorId="0">
      <text>
        <r>
          <rPr>
            <sz val="10"/>
            <rFont val="Arial"/>
            <family val="2"/>
          </rPr>
          <t xml:space="preserve">LAHAP Model Build:
Optional seller note — none assumed (no seller guidance exists, Gap #8).
(Same source as the first commented cell in this row.)</t>
        </r>
      </text>
    </comment>
    <comment ref="D17" authorId="0">
      <text>
        <r>
          <rPr>
            <sz val="10"/>
            <rFont val="Arial"/>
            <family val="2"/>
          </rPr>
          <t xml:space="preserve">LAHAP Model Build:
PLACEHOLDER treatment — repay LHC HOME principal $1,476,485 + accrued ~$551k at the NZ close absent LHC consent to assumption (NZ - HOME Loan Agreement Sec. 1.8).</t>
        </r>
      </text>
    </comment>
    <comment ref="D20" authorId="0">
      <text>
        <r>
          <rPr>
            <sz val="10"/>
            <rFont val="Arial"/>
            <family val="2"/>
          </rPr>
          <t xml:space="preserve">LAHAP Model Build:
PLACEHOLDER — 2.0% of bond proceeds for COI; replace with bond counsel/underwriter estimate.
(Same source as the first commented cell in this row.)</t>
        </r>
      </text>
    </comment>
    <comment ref="D25" authorId="0">
      <text>
        <r>
          <rPr>
            <sz val="10"/>
            <rFont val="Arial"/>
            <family val="2"/>
          </rPr>
          <t xml:space="preserve">LAHAP Model Build:
Buyer assumption at the QAP cap percentage (DevFeeCapPct). Adjust as needed.
(Same source as the first commented cell in this row.)</t>
        </r>
      </text>
    </comment>
    <comment ref="E11" authorId="0">
      <text>
        <r>
          <rPr>
            <sz val="10"/>
            <rFont val="Arial"/>
            <family val="2"/>
          </rPr>
          <t xml:space="preserve">LAHAP Model Build:
Optional seller note — none assumed (no seller guidance exists, Gap #8).
(Same source as the first commented cell in this row.)</t>
        </r>
      </text>
    </comment>
    <comment ref="E20" authorId="0">
      <text>
        <r>
          <rPr>
            <sz val="10"/>
            <rFont val="Arial"/>
            <family val="2"/>
          </rPr>
          <t xml:space="preserve">LAHAP Model Build:
PLACEHOLDER — 2.0% of bond proceeds for COI; replace with bond counsel/underwriter estimate.
(Same source as the first commented cell in this row.)</t>
        </r>
      </text>
    </comment>
    <comment ref="E25" authorId="0">
      <text>
        <r>
          <rPr>
            <sz val="10"/>
            <rFont val="Arial"/>
            <family val="2"/>
          </rPr>
          <t xml:space="preserve">LAHAP Model Build:
Buyer assumption at the QAP cap percentage (DevFeeCapPct). Adjust as needed.
(Same source as the first commented cell in this row.)</t>
        </r>
      </text>
    </comment>
    <comment ref="F11" authorId="0">
      <text>
        <r>
          <rPr>
            <sz val="10"/>
            <rFont val="Arial"/>
            <family val="2"/>
          </rPr>
          <t xml:space="preserve">LAHAP Model Build:
Optional seller note — none assumed (no seller guidance exists, Gap #8).
(Same source as the first commented cell in this row.)</t>
        </r>
      </text>
    </comment>
    <comment ref="F20" authorId="0">
      <text>
        <r>
          <rPr>
            <sz val="10"/>
            <rFont val="Arial"/>
            <family val="2"/>
          </rPr>
          <t xml:space="preserve">LAHAP Model Build:
PLACEHOLDER — 2.0% of bond proceeds for COI; replace with bond counsel/underwriter estimate.
(Same source as the first commented cell in this row.)</t>
        </r>
      </text>
    </comment>
    <comment ref="F25" authorId="0">
      <text>
        <r>
          <rPr>
            <sz val="10"/>
            <rFont val="Arial"/>
            <family val="2"/>
          </rPr>
          <t xml:space="preserve">LAHAP Model Build:
Buyer assumption at the QAP cap percentage (DevFeeCapPct). Adjust as needed.
(Same source as the first commented cell in this row.)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1" authorId="0">
      <text>
        <r>
          <rPr>
            <sz val="10"/>
            <rFont val="Arial"/>
            <family val="2"/>
          </rPr>
          <t xml:space="preserve">LAHAP Model Build:
Non-deferred fee (fee less DDF) paid at the stabilization tranche month; the deferred portion is not a cash draw.</t>
        </r>
      </text>
    </comment>
    <comment ref="B15" authorId="0">
      <text>
        <r>
          <rPr>
            <sz val="10"/>
            <rFont val="Arial"/>
            <family val="2"/>
          </rPr>
          <t xml:space="preserve">LAHAP Model Build:
Capitalized interest accrues only on perm/bond draws made AFTER the M1 close package (rehab-funding draws), and only during the rehab period — the M1 close-package balance services from operations, whose debt service the Pro Forma charges from close (conservative: full-loan DS from Yr-1). Avoids double-counting interest.</t>
        </r>
      </text>
    </comment>
    <comment ref="B18" authorId="0">
      <text>
        <r>
          <rPr>
            <sz val="10"/>
            <rFont val="Arial"/>
            <family val="2"/>
          </rPr>
          <t xml:space="preserve">LAHAP Model Build:
Feeds bridge/bond sizing sanity (Financing). Compare to the perm commitment.</t>
        </r>
      </text>
    </comment>
    <comment ref="B28" authorId="0">
      <text>
        <r>
          <rPr>
            <sz val="10"/>
            <rFont val="Arial"/>
            <family val="2"/>
          </rPr>
          <t xml:space="preserve">LAHAP Model Build:
Non-deferred fee (fee less DDF) paid at the stabilization tranche month; the deferred portion is not a cash draw.</t>
        </r>
      </text>
    </comment>
    <comment ref="B32" authorId="0">
      <text>
        <r>
          <rPr>
            <sz val="10"/>
            <rFont val="Arial"/>
            <family val="2"/>
          </rPr>
          <t xml:space="preserve">LAHAP Model Build:
Capitalized interest accrues only on perm/bond draws made AFTER the M1 close package (rehab-funding draws), and only during the rehab period — the M1 close-package balance services from operations, whose debt service the Pro Forma charges from close (conservative: full-loan DS from Yr-1). Avoids double-counting interest.</t>
        </r>
      </text>
    </comment>
    <comment ref="B35" authorId="0">
      <text>
        <r>
          <rPr>
            <sz val="10"/>
            <rFont val="Arial"/>
            <family val="2"/>
          </rPr>
          <t xml:space="preserve">LAHAP Model Build:
Feeds bridge/bond sizing sanity (Financing). Compare to the perm commitment.</t>
        </r>
      </text>
    </comment>
    <comment ref="B45" authorId="0">
      <text>
        <r>
          <rPr>
            <sz val="10"/>
            <rFont val="Arial"/>
            <family val="2"/>
          </rPr>
          <t xml:space="preserve">LAHAP Model Build:
Non-deferred fee (fee less DDF) paid at the stabilization tranche month; the deferred portion is not a cash draw.</t>
        </r>
      </text>
    </comment>
    <comment ref="B49" authorId="0">
      <text>
        <r>
          <rPr>
            <sz val="10"/>
            <rFont val="Arial"/>
            <family val="2"/>
          </rPr>
          <t xml:space="preserve">LAHAP Model Build:
Capitalized interest accrues only on perm/bond draws made AFTER the M1 close package (rehab-funding draws), and only during the rehab period — the M1 close-package balance services from operations, whose debt service the Pro Forma charges from close (conservative: full-loan DS from Yr-1). Avoids double-counting interest.</t>
        </r>
      </text>
    </comment>
    <comment ref="B52" authorId="0">
      <text>
        <r>
          <rPr>
            <sz val="10"/>
            <rFont val="Arial"/>
            <family val="2"/>
          </rPr>
          <t xml:space="preserve">LAHAP Model Build:
Feeds bridge/bond sizing sanity (Financing). Compare to the perm commitment.</t>
        </r>
      </text>
    </comment>
    <comment ref="B62" authorId="0">
      <text>
        <r>
          <rPr>
            <sz val="10"/>
            <rFont val="Arial"/>
            <family val="2"/>
          </rPr>
          <t xml:space="preserve">LAHAP Model Build:
Non-deferred fee (fee less DDF) paid at the stabilization tranche month; the deferred portion is not a cash draw.</t>
        </r>
      </text>
    </comment>
    <comment ref="B66" authorId="0">
      <text>
        <r>
          <rPr>
            <sz val="10"/>
            <rFont val="Arial"/>
            <family val="2"/>
          </rPr>
          <t xml:space="preserve">LAHAP Model Build:
Capitalized interest accrues only on perm/bond draws made AFTER the M1 close package (rehab-funding draws), and only during the rehab period — the M1 close-package balance services from operations, whose debt service the Pro Forma charges from close (conservative: full-loan DS from Yr-1). Avoids double-counting interest.</t>
        </r>
      </text>
    </comment>
    <comment ref="B69" authorId="0">
      <text>
        <r>
          <rPr>
            <sz val="10"/>
            <rFont val="Arial"/>
            <family val="2"/>
          </rPr>
          <t xml:space="preserve">LAHAP Model Build:
Feeds bridge/bond sizing sanity (Financing). Compare to the perm commitment.</t>
        </r>
      </text>
    </comment>
    <comment ref="B78" authorId="0">
      <text>
        <r>
          <rPr>
            <sz val="10"/>
            <rFont val="Arial"/>
            <family val="2"/>
          </rPr>
          <t xml:space="preserve">LAHAP Model Build:
Sum across properties of the perm/bond balance at each property's last month falling in the quarter (0 before close / after M18). Peak concurrent exposure = max across quarters.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9" authorId="0">
      <text>
        <r>
          <rPr>
            <sz val="10"/>
            <rFont val="Arial"/>
            <family val="2"/>
          </rPr>
          <t xml:space="preserve">LAHAP Model Build:
Land % of price from Dashboard (PLACEHOLDER 15% — needs appraisal support, Gap #7). Drives acquisition credit basis.</t>
        </r>
      </text>
    </comment>
    <comment ref="B11" authorId="0">
      <text>
        <r>
          <rPr>
            <sz val="10"/>
            <rFont val="Arial"/>
            <family val="2"/>
          </rPr>
          <t xml:space="preserve">LAHAP Model Build:
IRC Sec.42(d)(2)(B)(ii): acquisition credits require &gt;=10 years since the building was last placed in service (or since the prior owner's acquisition). PIS per 8609s: CH 2012-13, NZ 2013-14, LOM 2013-14, SA 2008 — all &gt;10 yrs before their 2026-29 closes. CONFIRM no intervening ownership transfers with tax counsel. Informational flag (QAP register ELG-10YR).</t>
        </r>
      </text>
    </comment>
    <comment ref="B17" authorId="0">
      <text>
        <r>
          <rPr>
            <sz val="10"/>
            <rFont val="Arial"/>
            <family val="2"/>
          </rPr>
          <t xml:space="preserve">LAHAP Model Build:
Rehab Scope total x cost-inflation factor to the property's close year (spec Sec. 2).</t>
        </r>
      </text>
    </comment>
    <comment ref="B18" authorId="0">
      <text>
        <r>
          <rPr>
            <sz val="10"/>
            <rFont val="Arial"/>
            <family val="2"/>
          </rPr>
          <t xml:space="preserve">LAHAP Model Build:
Temporary relocation costs of an occupied rehab are generally includible in LIHTC eligible basis — CONFIRM WITH TAX COUNSEL (spec Sec. 5.5).</t>
        </r>
      </text>
    </comment>
    <comment ref="B31" authorId="0">
      <text>
        <r>
          <rPr>
            <sz val="10"/>
            <rFont val="Arial"/>
            <family val="2"/>
          </rPr>
          <t xml:space="preserve">LAHAP Model Build:
Refinance base case: the resyndication perm loan is assumed to be funded with tax-exempt bond proceeds. Under 'Assume &amp; Hold', supplemental short-term bonds would be required to meet the test — structure with bond counsel (assumed balance shown as proxy; test result then indicative only).</t>
        </r>
      </text>
    </comment>
    <comment ref="C5" authorId="0">
      <text>
        <r>
          <rPr>
            <sz val="10"/>
            <rFont val="Arial"/>
            <family val="2"/>
          </rPr>
          <t xml:space="preserve">LAHAP Model Build:
Buyer assumption — 1% GP credit share, standard syndication structure. Adjust as needed.</t>
        </r>
      </text>
    </comment>
    <comment ref="C12" authorId="0">
      <text>
        <r>
          <rPr>
            <sz val="10"/>
            <rFont val="Arial"/>
            <family val="2"/>
          </rPr>
          <t xml:space="preserve">LAHAP Model Build:
Source: CH - 8609s.pdf / LHC Reg Agreement — 100% low-income (84/84).</t>
        </r>
      </text>
    </comment>
    <comment ref="C19" authorId="0">
      <text>
        <r>
          <rPr>
            <sz val="10"/>
            <rFont val="Arial"/>
            <family val="2"/>
          </rPr>
          <t xml:space="preserve">LAHAP Model Build:
PLACEHOLDER — no soft-cost budget exists; 15% of rehab hard cost for basis-eligible soft costs (arch/eng, permits, basis-eligible construction interest, cost cert). Replace with a real development budget.</t>
        </r>
      </text>
    </comment>
    <comment ref="C21" authorId="0">
      <text>
        <r>
          <rPr>
            <sz val="10"/>
            <rFont val="Arial"/>
            <family val="2"/>
          </rPr>
          <t xml:space="preserve">LAHAP Model Build:
All four properties are in QCTs (OM); BoostCapPct from QAP register.</t>
        </r>
      </text>
    </comment>
    <comment ref="C41" authorId="0">
      <text>
        <r>
          <rPr>
            <sz val="10"/>
            <rFont val="Arial"/>
            <family val="2"/>
          </rPr>
          <t xml:space="preserve">LAHAP Model Build:
Buyer assumption — closing 20% at M1, 50% at construction completion (RehabMonths), 30% at stabilization/8609s (+6 months). Adjust to the syndicator's LOI when one exists.</t>
        </r>
      </text>
    </comment>
    <comment ref="C42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C43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C51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C52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C53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C61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C62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C63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C71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C72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C73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D12" authorId="0">
      <text>
        <r>
          <rPr>
            <sz val="10"/>
            <rFont val="Arial"/>
            <family val="2"/>
          </rPr>
          <t xml:space="preserve">LAHAP Model Build:
Source: NZ - 8609s.pdf — 100% low-income (100/100).</t>
        </r>
      </text>
    </comment>
    <comment ref="D19" authorId="0">
      <text>
        <r>
          <rPr>
            <sz val="10"/>
            <rFont val="Arial"/>
            <family val="2"/>
          </rPr>
          <t xml:space="preserve">LAHAP Model Build:
PLACEHOLDER — no soft-cost budget exists; 15% of rehab hard cost for basis-eligible soft costs (arch/eng, permits, basis-eligible construction interest, cost cert). Replace with a real development budget.
(Same source as the first commented cell in this row.)</t>
        </r>
      </text>
    </comment>
    <comment ref="D41" authorId="0">
      <text>
        <r>
          <rPr>
            <sz val="10"/>
            <rFont val="Arial"/>
            <family val="2"/>
          </rPr>
          <t xml:space="preserve">LAHAP Model Build:
Buyer assumption — closing 20% at M1, 50% at construction completion (RehabMonths), 30% at stabilization/8609s (+6 months). Adjust to the syndicator's LOI when one exists.
(Same source as the first commented cell in this row.)</t>
        </r>
      </text>
    </comment>
    <comment ref="D42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D43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D44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D45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D46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D51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D52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D53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D54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D55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D56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D61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D62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D63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D64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D65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D66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D71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D72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D73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D74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D75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D76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E12" authorId="0">
      <text>
        <r>
          <rPr>
            <sz val="10"/>
            <rFont val="Arial"/>
            <family val="2"/>
          </rPr>
          <t xml:space="preserve">LAHAP Model Build:
Source: LOM - 8609s.pdf — 100% low-income (119/119).</t>
        </r>
      </text>
    </comment>
    <comment ref="E19" authorId="0">
      <text>
        <r>
          <rPr>
            <sz val="10"/>
            <rFont val="Arial"/>
            <family val="2"/>
          </rPr>
          <t xml:space="preserve">LAHAP Model Build:
PLACEHOLDER — no soft-cost budget exists; 15% of rehab hard cost for basis-eligible soft costs (arch/eng, permits, basis-eligible construction interest, cost cert). Replace with a real development budget.
(Same source as the first commented cell in this row.)</t>
        </r>
      </text>
    </comment>
    <comment ref="F12" authorId="0">
      <text>
        <r>
          <rPr>
            <sz val="10"/>
            <rFont val="Arial"/>
            <family val="2"/>
          </rPr>
          <t xml:space="preserve">LAHAP Model Build:
Source: SA - LHFA Tax Credit Regulatory Agreement (2.14.10).pdf — applicable fraction 202/204 (two market units; two buildings at 0.9444/0.50 historically). 202/204 = 99.02%.</t>
        </r>
      </text>
    </comment>
    <comment ref="F19" authorId="0">
      <text>
        <r>
          <rPr>
            <sz val="10"/>
            <rFont val="Arial"/>
            <family val="2"/>
          </rPr>
          <t xml:space="preserve">LAHAP Model Build:
PLACEHOLDER — no soft-cost budget exists; 15% of rehab hard cost for basis-eligible soft costs (arch/eng, permits, basis-eligible construction interest, cost cert). Replace with a real development budget.
(Same source as the first commented cell in this row.)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9" authorId="0">
      <text>
        <r>
          <rPr>
            <sz val="10"/>
            <rFont val="Arial"/>
            <family val="2"/>
          </rPr>
          <t xml:space="preserve">LAHAP Model Build:
HUD-schedule monthly potential rent with whole OCAF anniversary bumps; first bump at the published Year-1 OCAF x achievement haircut (Unit Mix+Rents header).</t>
        </r>
      </text>
    </comment>
    <comment ref="B11" authorId="0">
      <text>
        <r>
          <rPr>
            <sz val="10"/>
            <rFont val="Arial"/>
            <family val="2"/>
          </rPr>
          <t xml:space="preserve">LAHAP Model Build:
2026-budget total opex (Expense Detail col D) trended at ExpGrowth from acquisition; per spec Sec. 5.7 the bridge runs on actual-basis expenses, not the UW market basis.</t>
        </r>
      </text>
    </comment>
    <comment ref="B25" authorId="0">
      <text>
        <r>
          <rPr>
            <sz val="10"/>
            <rFont val="Arial"/>
            <family val="2"/>
          </rPr>
          <t xml:space="preserve">LAHAP Model Build:
HUD-schedule monthly potential rent with whole OCAF anniversary bumps; first bump at the published Year-1 OCAF x achievement haircut (Unit Mix+Rents header).</t>
        </r>
      </text>
    </comment>
    <comment ref="B27" authorId="0">
      <text>
        <r>
          <rPr>
            <sz val="10"/>
            <rFont val="Arial"/>
            <family val="2"/>
          </rPr>
          <t xml:space="preserve">LAHAP Model Build:
2026-budget total opex (Expense Detail col D) trended at ExpGrowth from acquisition; per spec Sec. 5.7 the bridge runs on actual-basis expenses, not the UW market basis.</t>
        </r>
      </text>
    </comment>
    <comment ref="B41" authorId="0">
      <text>
        <r>
          <rPr>
            <sz val="10"/>
            <rFont val="Arial"/>
            <family val="2"/>
          </rPr>
          <t xml:space="preserve">LAHAP Model Build:
HUD-schedule monthly potential rent with whole OCAF anniversary bumps; first bump at the published Year-1 OCAF x achievement haircut (Unit Mix+Rents header).</t>
        </r>
      </text>
    </comment>
    <comment ref="B43" authorId="0">
      <text>
        <r>
          <rPr>
            <sz val="10"/>
            <rFont val="Arial"/>
            <family val="2"/>
          </rPr>
          <t xml:space="preserve">LAHAP Model Build:
2026-budget total opex (Expense Detail col D) trended at ExpGrowth from acquisition; per spec Sec. 5.7 the bridge runs on actual-basis expenses, not the UW market basis.</t>
        </r>
      </text>
    </comment>
    <comment ref="B57" authorId="0">
      <text>
        <r>
          <rPr>
            <sz val="10"/>
            <rFont val="Arial"/>
            <family val="2"/>
          </rPr>
          <t xml:space="preserve">LAHAP Model Build:
HUD-schedule monthly potential rent with whole OCAF anniversary bumps; first bump at the published Year-1 OCAF x achievement haircut (Unit Mix+Rents header).</t>
        </r>
      </text>
    </comment>
    <comment ref="B59" authorId="0">
      <text>
        <r>
          <rPr>
            <sz val="10"/>
            <rFont val="Arial"/>
            <family val="2"/>
          </rPr>
          <t xml:space="preserve">LAHAP Model Build:
2026-budget total opex (Expense Detail col D) trended at ExpGrowth from acquisition; per spec Sec. 5.7 the bridge runs on actual-basis expenses, not the UW market basis.</t>
        </r>
      </text>
    </comment>
    <comment ref="K4" authorId="0">
      <text>
        <r>
          <rPr>
            <sz val="10"/>
            <rFont val="Arial"/>
            <family val="2"/>
          </rPr>
          <t xml:space="preserve">LAHAP Model Build:
Source: CH - Rider 3 to Note (2.1.22).PDF — P&amp;I $8,496.64/mo at 2.70% (rate cut from 3.33% effective 3/1/22); maturity 11/1/2053.</t>
        </r>
      </text>
    </comment>
    <comment ref="K20" authorId="0">
      <text>
        <r>
          <rPr>
            <sz val="10"/>
            <rFont val="Arial"/>
            <family val="2"/>
          </rPr>
          <t xml:space="preserve">LAHAP Model Build:
Source: NZ - Second Allonge and Modification of Note (2.1.22).pdf — P&amp;I $15,212.08/mo at 2.89% from 2/1/22; maturity 1/1/2055. NZ HOME loan ($1.5M, 3% simple) pays only from 50% of surplus cash — no scheduled DS during bridge; balance due on sale absent LHC consent.</t>
        </r>
      </text>
    </comment>
    <comment ref="K36" authorId="0">
      <text>
        <r>
          <rPr>
            <sz val="10"/>
            <rFont val="Arial"/>
            <family val="2"/>
          </rPr>
          <t xml:space="preserve">LAHAP Model Build:
Source: LOM - Mortgage Note (3.1.13).PDF — P&amp;I $23,834.39/mo at 3.15%; maturity 4/1/2054.</t>
        </r>
      </text>
    </comment>
    <comment ref="K52" authorId="0">
      <text>
        <r>
          <rPr>
            <sz val="10"/>
            <rFont val="Arial"/>
            <family val="2"/>
          </rPr>
          <t xml:space="preserve">LAHAP Model Build:
Source: SA - Note (12.20.07).pdf — P&amp;I $44,732.88/mo at 5.64% NOTE RATE. OM's 4.01% is unsupported by any DD document (variance recorded). SA bridge is ~0 months (immediate resyndication).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0" authorId="0">
      <text>
        <r>
          <rPr>
            <sz val="10"/>
            <rFont val="Arial"/>
            <family val="2"/>
          </rPr>
          <t xml:space="preserve">LAHAP Model Build:
Balance-sheet balance rolled 6 monthly payments at the note rate: FV(rate/12, 6, -P&amp;I, -balance).</t>
        </r>
      </text>
    </comment>
    <comment ref="B14" authorId="0">
      <text>
        <r>
          <rPr>
            <sz val="10"/>
            <rFont val="Arial"/>
            <family val="2"/>
          </rPr>
          <t xml:space="preserve">LAHAP Model Build:
All four loans are FHA-insured and assumable subject to HUD Transfer of Physical Assets (TPA) approval (HUD-94000M Sec. 21 for CH/NZ/LOM; old-form FHA mortgage paras 3/14 for SA); lender fee per HUD Program Obligations. NZ has two recorded key-principal-change amendments — precedent that consent is obtainable. Sources: security instruments in each property's DD folder 6.</t>
        </r>
      </text>
    </comment>
    <comment ref="B16" authorId="0">
      <text>
        <r>
          <rPr>
            <sz val="10"/>
            <rFont val="Arial"/>
            <family val="2"/>
          </rPr>
          <t xml:space="preserve">LAHAP Model Build:
Source: NZ - HOME Loan Agreement (12.1.13).PDF — LHC $1.5M at 3% simple, repaid from 50% of surplus cash only; maturity 1/1/2055; Sec. 1.8: 100% of principal + accrued interest due on sale absent LHC waiver/consent to assumption. HOME funds in the stack trigger URA analysis (Scorecard PENDING).</t>
        </r>
      </text>
    </comment>
    <comment ref="B25" authorId="0">
      <text>
        <r>
          <rPr>
            <sz val="10"/>
            <rFont val="Arial"/>
            <family val="2"/>
          </rPr>
          <t xml:space="preserve">LAHAP Model Build:
LTVCap (Dashboard, 90% placeholder) x Total Uses as an appraisal proxy — needs appraisal support. Creates a deliberate circular reference with perm sizing (iterative calc is ON).</t>
        </r>
      </text>
    </comment>
    <comment ref="C4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C5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C6" authorId="0">
      <text>
        <r>
          <rPr>
            <sz val="10"/>
            <rFont val="Arial"/>
            <family val="2"/>
          </rPr>
          <t xml:space="preserve">LAHAP Model Build:
Source: CH - Rider 3 to Note (2.1.22).PDF — 2.70% effective 3/1/2022 (orig 3.33%, CH - Note (6.1.12).PDF). Matches OM.</t>
        </r>
      </text>
    </comment>
    <comment ref="C8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C9" authorId="0">
      <text>
        <r>
          <rPr>
            <sz val="10"/>
            <rFont val="Arial"/>
            <family val="2"/>
          </rPr>
          <t xml:space="preserve">LAHAP Model Build:
Source: CH - Balance Sheet (5.2026).pdf mortgage payable $1,977,565.45; debt agent's independent amortization matches to $0.01.</t>
        </r>
      </text>
    </comment>
    <comment ref="C13" authorId="0">
      <text>
        <r>
          <rPr>
            <sz val="10"/>
            <rFont val="Arial"/>
            <family val="2"/>
          </rPr>
          <t xml:space="preserve">LAHAP Model Build:
Source: CH - Rider 3 to Note (2.1.22).PDF prepayment schedule.</t>
        </r>
      </text>
    </comment>
    <comment ref="C29" authorId="0">
      <text>
        <r>
          <rPr>
            <sz val="10"/>
            <rFont val="Arial"/>
            <family val="2"/>
          </rPr>
          <t xml:space="preserve">LAHAP Model Build:
PLACEHOLDER buyer assumption — 1.5% of perm loan for origination/placement/legal; replace with lender term sheet.</t>
        </r>
      </text>
    </comment>
    <comment ref="D4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D5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D6" authorId="0">
      <text>
        <r>
          <rPr>
            <sz val="10"/>
            <rFont val="Arial"/>
            <family val="2"/>
          </rPr>
          <t xml:space="preserve">LAHAP Model Build:
Source: NZ - Second Allonge (2.1.22).pdf — 2.89% from 2/1/2022 (history: 4.95% 2013-17, 4.00% 2017-22 per First Allonge NOT in data room — open item). OM's '2.89% &amp; 3.00%' second rate is the HOME loan below.</t>
        </r>
      </text>
    </comment>
    <comment ref="D8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D9" authorId="0">
      <text>
        <r>
          <rPr>
            <sz val="10"/>
            <rFont val="Arial"/>
            <family val="2"/>
          </rPr>
          <t xml:space="preserve">LAHAP Model Build:
Source: NZ - Balance Sheet (5.2026).pdf senior mortgage $3,555,182.79.</t>
        </r>
      </text>
    </comment>
    <comment ref="D13" authorId="0">
      <text>
        <r>
          <rPr>
            <sz val="10"/>
            <rFont val="Arial"/>
            <family val="2"/>
          </rPr>
          <t xml:space="preserve">LAHAP Model Build:
Source: NZ - Second Allonge and Modification of Note (2.1.22).pdf.</t>
        </r>
      </text>
    </comment>
    <comment ref="D16" authorId="0">
      <text>
        <r>
          <rPr>
            <sz val="10"/>
            <rFont val="Arial"/>
            <family val="2"/>
          </rPr>
          <t xml:space="preserve">LAHAP Model Build:
Principal per NZ - Balance Sheet (5.2026).pdf 'HOME Loan Payable'.</t>
        </r>
      </text>
    </comment>
    <comment ref="D17" authorId="0">
      <text>
        <r>
          <rPr>
            <sz val="10"/>
            <rFont val="Arial"/>
            <family val="2"/>
          </rPr>
          <t xml:space="preserve">LAHAP Model Build:
PLACEHOLDER — $525,268.21 accrued at 5/2026 (balance sheet) growing ~$3,691/mo (3% simple on $1.48M) to ~$551k by 12/2026; exact payoff needs an LHC statement.</t>
        </r>
      </text>
    </comment>
    <comment ref="D18" authorId="0">
      <text>
        <r>
          <rPr>
            <sz val="10"/>
            <rFont val="Arial"/>
            <family val="2"/>
          </rPr>
          <t xml:space="preserve">LAHAP Model Build:
PLACEHOLDER assumption — base case repays HOME principal + accrued at the NZ resyndication close (a Use on S&amp;U). Alternative: LHC consent to assumption/resubordination would remove this use — pursue with LHC.</t>
        </r>
      </text>
    </comment>
    <comment ref="D29" authorId="0">
      <text>
        <r>
          <rPr>
            <sz val="10"/>
            <rFont val="Arial"/>
            <family val="2"/>
          </rPr>
          <t xml:space="preserve">LAHAP Model Build:
PLACEHOLDER buyer assumption — 1.5% of perm loan for origination/placement/legal; replace with lender term sheet.
(Same source as the first commented cell in this row.)</t>
        </r>
      </text>
    </comment>
    <comment ref="E4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E5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E6" authorId="0">
      <text>
        <r>
          <rPr>
            <sz val="10"/>
            <rFont val="Arial"/>
            <family val="2"/>
          </rPr>
          <t xml:space="preserve">LAHAP Model Build:
Source: LOM - Mortgage Note (3.1.13).PDF — 3.15%, no modification in data room. Matches OM.</t>
        </r>
      </text>
    </comment>
    <comment ref="E8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E9" authorId="0">
      <text>
        <r>
          <rPr>
            <sz val="10"/>
            <rFont val="Arial"/>
            <family val="2"/>
          </rPr>
          <t xml:space="preserve">LAHAP Model Build:
Source: LOM - Balance Sheet (5.2026).pdf Bonds Payable $4,755,915.10 — ~$551k BELOW the full-note amortization schedule, implying an endorsement curtailment not documented in the data room. Balance sheet treated as authoritative (variance recorded).</t>
        </r>
      </text>
    </comment>
    <comment ref="E13" authorId="0">
      <text>
        <r>
          <rPr>
            <sz val="10"/>
            <rFont val="Arial"/>
            <family val="2"/>
          </rPr>
          <t xml:space="preserve">LAHAP Model Build:
Source: LOM - Mortgage Note (3.1.13).PDF Rider 1.</t>
        </r>
      </text>
    </comment>
    <comment ref="E29" authorId="0">
      <text>
        <r>
          <rPr>
            <sz val="10"/>
            <rFont val="Arial"/>
            <family val="2"/>
          </rPr>
          <t xml:space="preserve">LAHAP Model Build:
PLACEHOLDER buyer assumption — 1.5% of perm loan for origination/placement/legal; replace with lender term sheet.
(Same source as the first commented cell in this row.)</t>
        </r>
      </text>
    </comment>
    <comment ref="F4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F5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F6" authorId="0">
      <text>
        <r>
          <rPr>
            <sz val="10"/>
            <rFont val="Arial"/>
            <family val="2"/>
          </rPr>
          <t xml:space="preserve">LAHAP Model Build:
MAJOR VARIANCE — Source: SA - Note (12.20.07).pdf states 5.64%; OM claims 4.01% with no supporting instrument in the data room (balance-sheet-implied ~5.21%). DD governs (Sec. 9.2): note rate used. Obtain servicer statement / any allonge before reliance — the OM's assumable-rate arbitrage claim for SA is unsupported.</t>
        </r>
      </text>
    </comment>
    <comment ref="F8" authorId="0">
      <text>
        <r>
          <rPr>
            <sz val="10"/>
            <rFont val="Arial"/>
            <family val="2"/>
          </rPr>
          <t xml:space="preserve">LAHAP Model Build:
Buyer assumption — blue input; see the row label and sheet header notes for context. Adjust as needed.</t>
        </r>
      </text>
    </comment>
    <comment ref="F9" authorId="0">
      <text>
        <r>
          <rPr>
            <sz val="10"/>
            <rFont val="Arial"/>
            <family val="2"/>
          </rPr>
          <t xml:space="preserve">LAHAP Model Build:
Source: SA - Balance Sheet (5.2026).pdf mortgage payable $6,554,391.74 — ~$999k below the 5.64% note schedule (undocumented curtailment or rate change; open DD item). Balance sheet treated as authoritative.</t>
        </r>
      </text>
    </comment>
    <comment ref="F13" authorId="0">
      <text>
        <r>
          <rPr>
            <sz val="10"/>
            <rFont val="Arial"/>
            <family val="2"/>
          </rPr>
          <t xml:space="preserve">LAHAP Model Build:
Source: SA - Note (12.20.07).pdf Allonge #1.</t>
        </r>
      </text>
    </comment>
    <comment ref="F29" authorId="0">
      <text>
        <r>
          <rPr>
            <sz val="10"/>
            <rFont val="Arial"/>
            <family val="2"/>
          </rPr>
          <t xml:space="preserve">LAHAP Model Build:
PLACEHOLDER buyer assumption — 1.5% of perm loan for origination/placement/legal; replace with lender term sheet.
(Same source as the first commented cell in this row.)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1" authorId="0">
      <text>
        <r>
          <rPr>
            <sz val="10"/>
            <rFont val="Arial"/>
            <family val="2"/>
          </rPr>
          <t xml:space="preserve">LAHAP Model Build:
Units-offline revenue loss during the rehab months falling in this year: OfflinePct (Rehab Scope) x share of the year within the rehab window.</t>
        </r>
      </text>
    </comment>
    <comment ref="B21" authorId="0">
      <text>
        <r>
          <rPr>
            <sz val="10"/>
            <rFont val="Arial"/>
            <family val="2"/>
          </rPr>
          <t xml:space="preserve">LAHAP Model Build:
Grows at InsGrowth — separate Louisiana insurance trend (spec Sec. 5.4).</t>
        </r>
      </text>
    </comment>
    <comment ref="B41" authorId="0">
      <text>
        <r>
          <rPr>
            <sz val="10"/>
            <rFont val="Arial"/>
            <family val="2"/>
          </rPr>
          <t xml:space="preserve">LAHAP Model Build:
References this property's pay-in block on Tax Credit Calc — single source of truth; no duplicated tranche tables (spec Sec. 5.8).</t>
        </r>
      </text>
    </comment>
    <comment ref="B59" authorId="0">
      <text>
        <r>
          <rPr>
            <sz val="10"/>
            <rFont val="Arial"/>
            <family val="2"/>
          </rPr>
          <t xml:space="preserve">LAHAP Model Build:
Annual approximation: balance x annual rate; principal = level annual payment less interest. Monthly-exact amortization differs immaterially over 20 years.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5" authorId="0">
      <text>
        <r>
          <rPr>
            <sz val="10"/>
            <rFont val="Arial"/>
            <family val="2"/>
          </rPr>
          <t xml:space="preserve">LAHAP Model Build:
Scorecard tests repayment within 15 years (QAP register UW rule).</t>
        </r>
      </text>
    </comment>
  </commentList>
</comments>
</file>

<file path=xl/comments1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1" authorId="0">
      <text>
        <r>
          <rPr>
            <sz val="10"/>
            <rFont val="Arial"/>
            <family val="2"/>
          </rPr>
          <t xml:space="preserve">LAHAP Model Build:
Units-offline revenue loss during the rehab months falling in this year: OfflinePct (Rehab Scope) x share of the year within the rehab window.</t>
        </r>
      </text>
    </comment>
    <comment ref="B21" authorId="0">
      <text>
        <r>
          <rPr>
            <sz val="10"/>
            <rFont val="Arial"/>
            <family val="2"/>
          </rPr>
          <t xml:space="preserve">LAHAP Model Build:
Grows at InsGrowth — separate Louisiana insurance trend (spec Sec. 5.4).</t>
        </r>
      </text>
    </comment>
    <comment ref="B41" authorId="0">
      <text>
        <r>
          <rPr>
            <sz val="10"/>
            <rFont val="Arial"/>
            <family val="2"/>
          </rPr>
          <t xml:space="preserve">LAHAP Model Build:
References this property's pay-in block on Tax Credit Calc — single source of truth; no duplicated tranche tables (spec Sec. 5.8).</t>
        </r>
      </text>
    </comment>
    <comment ref="B59" authorId="0">
      <text>
        <r>
          <rPr>
            <sz val="10"/>
            <rFont val="Arial"/>
            <family val="2"/>
          </rPr>
          <t xml:space="preserve">LAHAP Model Build:
Annual approximation: balance x annual rate; principal = level annual payment less interest. Monthly-exact amortization differs immaterially over 20 years.</t>
        </r>
      </text>
    </comment>
  </commentList>
</comments>
</file>

<file path=xl/comments1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5" authorId="0">
      <text>
        <r>
          <rPr>
            <sz val="10"/>
            <rFont val="Arial"/>
            <family val="2"/>
          </rPr>
          <t xml:space="preserve">LAHAP Model Build:
Scorecard tests repayment within 15 years (QAP register UW rule).</t>
        </r>
      </text>
    </comment>
  </commentList>
</comments>
</file>

<file path=xl/comments1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1" authorId="0">
      <text>
        <r>
          <rPr>
            <sz val="10"/>
            <rFont val="Arial"/>
            <family val="2"/>
          </rPr>
          <t xml:space="preserve">LAHAP Model Build:
Units-offline revenue loss during the rehab months falling in this year: OfflinePct (Rehab Scope) x share of the year within the rehab window.</t>
        </r>
      </text>
    </comment>
    <comment ref="B21" authorId="0">
      <text>
        <r>
          <rPr>
            <sz val="10"/>
            <rFont val="Arial"/>
            <family val="2"/>
          </rPr>
          <t xml:space="preserve">LAHAP Model Build:
Grows at InsGrowth — separate Louisiana insurance trend (spec Sec. 5.4).</t>
        </r>
      </text>
    </comment>
    <comment ref="B41" authorId="0">
      <text>
        <r>
          <rPr>
            <sz val="10"/>
            <rFont val="Arial"/>
            <family val="2"/>
          </rPr>
          <t xml:space="preserve">LAHAP Model Build:
References this property's pay-in block on Tax Credit Calc — single source of truth; no duplicated tranche tables (spec Sec. 5.8).</t>
        </r>
      </text>
    </comment>
    <comment ref="B59" authorId="0">
      <text>
        <r>
          <rPr>
            <sz val="10"/>
            <rFont val="Arial"/>
            <family val="2"/>
          </rPr>
          <t xml:space="preserve">LAHAP Model Build:
Annual approximation: balance x annual rate; principal = level annual payment less interest. Monthly-exact amortization differs immaterially over 20 years.</t>
        </r>
      </text>
    </comment>
  </commentList>
</comments>
</file>

<file path=xl/comments1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5" authorId="0">
      <text>
        <r>
          <rPr>
            <sz val="10"/>
            <rFont val="Arial"/>
            <family val="2"/>
          </rPr>
          <t xml:space="preserve">LAHAP Model Build:
Scorecard tests repayment within 15 years (QAP register UW rule).</t>
        </r>
      </text>
    </comment>
  </commentList>
</comments>
</file>

<file path=xl/comments1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1" authorId="0">
      <text>
        <r>
          <rPr>
            <sz val="10"/>
            <rFont val="Arial"/>
            <family val="2"/>
          </rPr>
          <t xml:space="preserve">LAHAP Model Build:
Units-offline revenue loss during the rehab months falling in this year: OfflinePct (Rehab Scope) x share of the year within the rehab window.</t>
        </r>
      </text>
    </comment>
    <comment ref="B21" authorId="0">
      <text>
        <r>
          <rPr>
            <sz val="10"/>
            <rFont val="Arial"/>
            <family val="2"/>
          </rPr>
          <t xml:space="preserve">LAHAP Model Build:
Grows at InsGrowth — separate Louisiana insurance trend (spec Sec. 5.4).</t>
        </r>
      </text>
    </comment>
    <comment ref="B41" authorId="0">
      <text>
        <r>
          <rPr>
            <sz val="10"/>
            <rFont val="Arial"/>
            <family val="2"/>
          </rPr>
          <t xml:space="preserve">LAHAP Model Build:
References this property's pay-in block on Tax Credit Calc — single source of truth; no duplicated tranche tables (spec Sec. 5.8).</t>
        </r>
      </text>
    </comment>
    <comment ref="B59" authorId="0">
      <text>
        <r>
          <rPr>
            <sz val="10"/>
            <rFont val="Arial"/>
            <family val="2"/>
          </rPr>
          <t xml:space="preserve">LAHAP Model Build:
Annual approximation: balance x annual rate; principal = level annual payment less interest. Monthly-exact amortization differs immaterially over 20 years.</t>
        </r>
      </text>
    </comment>
    <comment ref="D6" authorId="0">
      <text>
        <r>
          <rPr>
            <sz val="10"/>
            <rFont val="Arial"/>
            <family val="2"/>
          </rPr>
          <t xml:space="preserve">LAHAP Model Build:
SA HAP contract expires 4/30/30 (Yr 4): base case assumes 20-yr renewal at then-current rents continuing to trend at OCAF (user decision 8/6/26, Gap #9 — PLACEHOLDER pending renewal terms). Rents grow uninterrupted through expiration.</t>
        </r>
      </text>
    </comment>
  </commentList>
</comments>
</file>

<file path=xl/comments2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5" authorId="0">
      <text>
        <r>
          <rPr>
            <sz val="10"/>
            <rFont val="Arial"/>
            <family val="2"/>
          </rPr>
          <t xml:space="preserve">LAHAP Model Build:
Scorecard tests repayment within 15 years (QAP register UW rule).</t>
        </r>
      </text>
    </comment>
  </commentList>
</comments>
</file>

<file path=xl/comments2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LAHAP Model Build:
Grid resolution — result precision is one step; tighten to refine.</t>
        </r>
      </text>
    </comment>
    <comment ref="C43" authorId="0">
      <text>
        <r>
          <rPr>
            <sz val="10"/>
            <rFont val="Arial"/>
            <family val="2"/>
          </rPr>
          <t xml:space="preserve">LAHAP Model Build:
Shortfall is monotonic in price, so feasible rows form a prefix — the count of YES rows indexes the highest feasible price. Returns 0 when NO price is feasible (the stack cannot absorb the gap even at $0 — more soft funds or lower rehab scope required).</t>
        </r>
      </text>
    </comment>
    <comment ref="C44" authorId="0">
      <text>
        <r>
          <rPr>
            <sz val="10"/>
            <rFont val="Arial"/>
            <family val="2"/>
          </rPr>
          <t xml:space="preserve">LAHAP Model Build:
Only NEGATIVE cumulative bridge cash flow reduces the max price here — positive bridge cash already enters the price grid as a closing source (Sources column), so adding it again would double count.</t>
        </r>
      </text>
    </comment>
    <comment ref="C49" authorId="0">
      <text>
        <r>
          <rPr>
            <sz val="10"/>
            <rFont val="Arial"/>
            <family val="2"/>
          </rPr>
          <t xml:space="preserve">LAHAP Model Build:
Grid resolution — result precision is one step; tighten to refine.</t>
        </r>
      </text>
    </comment>
    <comment ref="C87" authorId="0">
      <text>
        <r>
          <rPr>
            <sz val="10"/>
            <rFont val="Arial"/>
            <family val="2"/>
          </rPr>
          <t xml:space="preserve">LAHAP Model Build:
Shortfall is monotonic in price, so feasible rows form a prefix — the count of YES rows indexes the highest feasible price. Returns 0 when NO price is feasible (the stack cannot absorb the gap even at $0 — more soft funds or lower rehab scope required).</t>
        </r>
      </text>
    </comment>
    <comment ref="C88" authorId="0">
      <text>
        <r>
          <rPr>
            <sz val="10"/>
            <rFont val="Arial"/>
            <family val="2"/>
          </rPr>
          <t xml:space="preserve">LAHAP Model Build:
Only NEGATIVE cumulative bridge cash flow reduces the max price here — positive bridge cash already enters the price grid as a closing source (Sources column), so adding it again would double count.</t>
        </r>
      </text>
    </comment>
    <comment ref="C93" authorId="0">
      <text>
        <r>
          <rPr>
            <sz val="10"/>
            <rFont val="Arial"/>
            <family val="2"/>
          </rPr>
          <t xml:space="preserve">LAHAP Model Build:
Grid resolution — result precision is one step; tighten to refine.</t>
        </r>
      </text>
    </comment>
    <comment ref="C131" authorId="0">
      <text>
        <r>
          <rPr>
            <sz val="10"/>
            <rFont val="Arial"/>
            <family val="2"/>
          </rPr>
          <t xml:space="preserve">LAHAP Model Build:
Shortfall is monotonic in price, so feasible rows form a prefix — the count of YES rows indexes the highest feasible price. Returns 0 when NO price is feasible (the stack cannot absorb the gap even at $0 — more soft funds or lower rehab scope required).</t>
        </r>
      </text>
    </comment>
    <comment ref="C132" authorId="0">
      <text>
        <r>
          <rPr>
            <sz val="10"/>
            <rFont val="Arial"/>
            <family val="2"/>
          </rPr>
          <t xml:space="preserve">LAHAP Model Build:
Only NEGATIVE cumulative bridge cash flow reduces the max price here — positive bridge cash already enters the price grid as a closing source (Sources column), so adding it again would double count.</t>
        </r>
      </text>
    </comment>
    <comment ref="C137" authorId="0">
      <text>
        <r>
          <rPr>
            <sz val="10"/>
            <rFont val="Arial"/>
            <family val="2"/>
          </rPr>
          <t xml:space="preserve">LAHAP Model Build:
Grid resolution — result precision is one step; tighten to refine.</t>
        </r>
      </text>
    </comment>
    <comment ref="C175" authorId="0">
      <text>
        <r>
          <rPr>
            <sz val="10"/>
            <rFont val="Arial"/>
            <family val="2"/>
          </rPr>
          <t xml:space="preserve">LAHAP Model Build:
Shortfall is monotonic in price, so feasible rows form a prefix — the count of YES rows indexes the highest feasible price. Returns 0 when NO price is feasible (the stack cannot absorb the gap even at $0 — more soft funds or lower rehab scope required).</t>
        </r>
      </text>
    </comment>
    <comment ref="C176" authorId="0">
      <text>
        <r>
          <rPr>
            <sz val="10"/>
            <rFont val="Arial"/>
            <family val="2"/>
          </rPr>
          <t xml:space="preserve">LAHAP Model Build:
Only NEGATIVE cumulative bridge cash flow reduces the max price here — positive bridge cash already enters the price grid as a closing source (Sources column), so adding it again would double count.</t>
        </r>
      </text>
    </comment>
    <comment ref="F44" authorId="0">
      <text>
        <r>
          <rPr>
            <sz val="10"/>
            <rFont val="Arial"/>
            <family val="2"/>
          </rPr>
          <t xml:space="preserve">LAHAP Model Build:
Source: OM p.11 / CH - Sale Comparables.xlsx — 4 Shreveport sales, wtd avg. Comps are market-rate sales — sanity range only (Gap #8: no seller guidance).</t>
        </r>
      </text>
    </comment>
    <comment ref="F45" authorId="0">
      <text>
        <r>
          <rPr>
            <sz val="10"/>
            <rFont val="Arial"/>
            <family val="2"/>
          </rPr>
          <t xml:space="preserve">LAHAP Model Build:
OM proforma NOI $265,305 (OM pp.9/16/23/30).</t>
        </r>
      </text>
    </comment>
    <comment ref="F88" authorId="0">
      <text>
        <r>
          <rPr>
            <sz val="10"/>
            <rFont val="Arial"/>
            <family val="2"/>
          </rPr>
          <t xml:space="preserve">LAHAP Model Build:
Source: OM p.18 / NZ - Sale Comparables.xlsx — same 4 Shreveport sales, wtd avg. Comps are market-rate sales — sanity range only (Gap #8: no seller guidance).</t>
        </r>
      </text>
    </comment>
    <comment ref="F89" authorId="0">
      <text>
        <r>
          <rPr>
            <sz val="10"/>
            <rFont val="Arial"/>
            <family val="2"/>
          </rPr>
          <t xml:space="preserve">LAHAP Model Build:
OM proforma NOI $472,948 (OM pp.9/16/23/30).</t>
        </r>
      </text>
    </comment>
    <comment ref="F132" authorId="0">
      <text>
        <r>
          <rPr>
            <sz val="10"/>
            <rFont val="Arial"/>
            <family val="2"/>
          </rPr>
          <t xml:space="preserve">LAHAP Model Build:
Source: OM p.25 / LOM - Sale Comparables.xlsx — 3 sales, wtd avg. Comps are market-rate sales — sanity range only (Gap #8: no seller guidance).</t>
        </r>
      </text>
    </comment>
    <comment ref="F133" authorId="0">
      <text>
        <r>
          <rPr>
            <sz val="10"/>
            <rFont val="Arial"/>
            <family val="2"/>
          </rPr>
          <t xml:space="preserve">LAHAP Model Build:
OM proforma NOI $677,240 (OM pp.9/16/23/30).</t>
        </r>
      </text>
    </comment>
    <comment ref="F176" authorId="0">
      <text>
        <r>
          <rPr>
            <sz val="10"/>
            <rFont val="Arial"/>
            <family val="2"/>
          </rPr>
          <t xml:space="preserve">LAHAP Model Build:
Source: OM p.32 / SA - Sale Comparables.xlsx — 4 Baton Rouge sales, wtd avg. Comps are market-rate sales — sanity range only (Gap #8: no seller guidance).</t>
        </r>
      </text>
    </comment>
    <comment ref="F177" authorId="0">
      <text>
        <r>
          <rPr>
            <sz val="10"/>
            <rFont val="Arial"/>
            <family val="2"/>
          </rPr>
          <t xml:space="preserve">LAHAP Model Build:
OM proforma NOI $738,675 (OM pp.9/16/23/30).</t>
        </r>
      </text>
    </comment>
  </commentList>
</comments>
</file>

<file path=xl/comments2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8" authorId="0">
      <text>
        <r>
          <rPr>
            <sz val="10"/>
            <rFont val="Arial"/>
            <family val="2"/>
          </rPr>
          <t xml:space="preserve">LAHAP Model Build:
Static sensitivity table computed by the build solver loop (one full recalc per scenario; solver grid uses live construction interest at base prices). Values are max supportable prices. Re-run the solver after changing assumptions — these cells do not recalculate on their own.</t>
        </r>
      </text>
    </comment>
  </commentList>
</comments>
</file>

<file path=xl/comments2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LAHAP Model Build:
Source: TCCP end 2027, HAP Opt 2 exp 6/30/32 — OM p.7</t>
        </r>
      </text>
    </comment>
    <comment ref="B8" authorId="0">
      <text>
        <r>
          <rPr>
            <sz val="10"/>
            <rFont val="Arial"/>
            <family val="2"/>
          </rPr>
          <t xml:space="preserve">LAHAP Model Build:
Source: TCCP end 2028, HAP Opt 1b exp 12/31/33 — OM p.14</t>
        </r>
      </text>
    </comment>
    <comment ref="B13" authorId="0">
      <text>
        <r>
          <rPr>
            <sz val="10"/>
            <rFont val="Arial"/>
            <family val="2"/>
          </rPr>
          <t xml:space="preserve">LAHAP Model Build:
Source: TCCP end 2028, HAP Opt 1b exp 3/31/33 — OM p.21</t>
        </r>
      </text>
    </comment>
    <comment ref="B18" authorId="0">
      <text>
        <r>
          <rPr>
            <sz val="10"/>
            <rFont val="Arial"/>
            <family val="2"/>
          </rPr>
          <t xml:space="preserve">LAHAP Model Build:
Source: TCCP ended 2023 (immediately eligible), HAP Opt 2 exp 4/30/30 — OM p.28</t>
        </r>
      </text>
    </comment>
    <comment ref="M3" authorId="0">
      <text>
        <r>
          <rPr>
            <sz val="10"/>
            <rFont val="Arial"/>
            <family val="2"/>
          </rPr>
          <t xml:space="preserve">LAHAP Model Build:
Source: TCCP end 2027, HAP Opt 2 exp 6/30/32 — OM p.7</t>
        </r>
      </text>
    </comment>
    <comment ref="M4" authorId="0">
      <text>
        <r>
          <rPr>
            <sz val="10"/>
            <rFont val="Arial"/>
            <family val="2"/>
          </rPr>
          <t xml:space="preserve">LAHAP Model Build:
Source: TCCP end 2027, HAP Opt 2 exp 6/30/32 — OM p.7</t>
        </r>
      </text>
    </comment>
    <comment ref="M5" authorId="0">
      <text>
        <r>
          <rPr>
            <sz val="10"/>
            <rFont val="Arial"/>
            <family val="2"/>
          </rPr>
          <t xml:space="preserve">LAHAP Model Build:
Resyndication eligibility year — OM; window shown through 2033.</t>
        </r>
      </text>
    </comment>
    <comment ref="M8" authorId="0">
      <text>
        <r>
          <rPr>
            <sz val="10"/>
            <rFont val="Arial"/>
            <family val="2"/>
          </rPr>
          <t xml:space="preserve">LAHAP Model Build:
Source: TCCP end 2028, HAP Opt 1b exp 12/31/33 — OM p.14</t>
        </r>
      </text>
    </comment>
    <comment ref="M9" authorId="0">
      <text>
        <r>
          <rPr>
            <sz val="10"/>
            <rFont val="Arial"/>
            <family val="2"/>
          </rPr>
          <t xml:space="preserve">LAHAP Model Build:
Source: TCCP end 2028, HAP Opt 1b exp 12/31/33 — OM p.14</t>
        </r>
      </text>
    </comment>
    <comment ref="M10" authorId="0">
      <text>
        <r>
          <rPr>
            <sz val="10"/>
            <rFont val="Arial"/>
            <family val="2"/>
          </rPr>
          <t xml:space="preserve">LAHAP Model Build:
Resyndication eligibility year — OM; window shown through 2033.</t>
        </r>
      </text>
    </comment>
    <comment ref="M13" authorId="0">
      <text>
        <r>
          <rPr>
            <sz val="10"/>
            <rFont val="Arial"/>
            <family val="2"/>
          </rPr>
          <t xml:space="preserve">LAHAP Model Build:
Source: TCCP end 2028, HAP Opt 1b exp 3/31/33 — OM p.21</t>
        </r>
      </text>
    </comment>
    <comment ref="M14" authorId="0">
      <text>
        <r>
          <rPr>
            <sz val="10"/>
            <rFont val="Arial"/>
            <family val="2"/>
          </rPr>
          <t xml:space="preserve">LAHAP Model Build:
Source: TCCP end 2028, HAP Opt 1b exp 3/31/33 — OM p.21</t>
        </r>
      </text>
    </comment>
    <comment ref="M15" authorId="0">
      <text>
        <r>
          <rPr>
            <sz val="10"/>
            <rFont val="Arial"/>
            <family val="2"/>
          </rPr>
          <t xml:space="preserve">LAHAP Model Build:
Resyndication eligibility year — OM; window shown through 2033.</t>
        </r>
      </text>
    </comment>
    <comment ref="M18" authorId="0">
      <text>
        <r>
          <rPr>
            <sz val="10"/>
            <rFont val="Arial"/>
            <family val="2"/>
          </rPr>
          <t xml:space="preserve">LAHAP Model Build:
Source: TCCP ended 2023 (immediately eligible), HAP Opt 2 exp 4/30/30 — OM p.28</t>
        </r>
      </text>
    </comment>
    <comment ref="M19" authorId="0">
      <text>
        <r>
          <rPr>
            <sz val="10"/>
            <rFont val="Arial"/>
            <family val="2"/>
          </rPr>
          <t xml:space="preserve">LAHAP Model Build:
Source: TCCP ended 2023 (immediately eligible), HAP Opt 2 exp 4/30/30 — OM p.28</t>
        </r>
      </text>
    </comment>
    <comment ref="M20" authorId="0">
      <text>
        <r>
          <rPr>
            <sz val="10"/>
            <rFont val="Arial"/>
            <family val="2"/>
          </rPr>
          <t xml:space="preserve">LAHAP Model Build:
Resyndication eligibility year — OM; window shown through 2033.</t>
        </r>
      </text>
    </comment>
  </commentList>
</comments>
</file>

<file path=xl/comments2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LAHAP Model Build:
PLACEHOLDER — rule register carries LA 2025 QAP values. Spec Sec. 8 Gap #6: confirm the 2026 QAP before decision-grade use. Scorecard carries a PENDING row.</t>
        </r>
      </text>
    </comment>
    <comment ref="B67" authorId="0">
      <text>
        <r>
          <rPr>
            <sz val="10"/>
            <rFont val="Arial"/>
            <family val="2"/>
          </rPr>
          <t xml:space="preserve">LAHAP Model Build:
PLACEHOLDER — indexed statutory minimum; confirm current-year amount before reliance.</t>
        </r>
      </text>
    </comment>
    <comment ref="B68" authorId="0">
      <text>
        <r>
          <rPr>
            <sz val="10"/>
            <rFont val="Arial"/>
            <family val="2"/>
          </rPr>
          <t xml:space="preserve">LAHAP Model Build:
PENDING — no confirmed LA 2026 QAP rehab minimum on hand; blank drives a PENDING scorecard result rather than a fabricated threshold.</t>
        </r>
      </text>
    </comment>
  </commentList>
</comments>
</file>

<file path=xl/comments2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8" authorId="0">
      <text>
        <r>
          <rPr>
            <sz val="10"/>
            <rFont val="Arial"/>
            <family val="2"/>
          </rPr>
          <t xml:space="preserve">LAHAP Model Build:
Source: Property Data Points.xlsx (DD folder), unit counts by bedroom.</t>
        </r>
      </text>
    </comment>
    <comment ref="B39" authorId="0">
      <text>
        <r>
          <rPr>
            <sz val="10"/>
            <rFont val="Arial"/>
            <family val="2"/>
          </rPr>
          <t xml:space="preserve">LAHAP Model Build:
Source: Property Data Points.xlsx (DD folder), unit counts by bedroom.</t>
        </r>
      </text>
    </comment>
    <comment ref="B40" authorId="0">
      <text>
        <r>
          <rPr>
            <sz val="10"/>
            <rFont val="Arial"/>
            <family val="2"/>
          </rPr>
          <t xml:space="preserve">LAHAP Model Build:
Source: Property Data Points.xlsx (DD folder), unit counts by bedroom.</t>
        </r>
      </text>
    </comment>
    <comment ref="B41" authorId="0">
      <text>
        <r>
          <rPr>
            <sz val="10"/>
            <rFont val="Arial"/>
            <family val="2"/>
          </rPr>
          <t xml:space="preserve">LAHAP Model Build:
Source: Property Data Points.xlsx (DD folder), unit counts by bedroom.</t>
        </r>
      </text>
    </comment>
    <comment ref="B52" authorId="0">
      <text>
        <r>
          <rPr>
            <sz val="10"/>
            <rFont val="Arial"/>
            <family val="2"/>
          </rPr>
          <t xml:space="preserve">LAHAP Model Build:
Source: LHC fee schedule values carried in the ported rules-engine reference register (LA 2025 basis). PENDING — verify against the current LHC fee schedule / 2026 QAP.</t>
        </r>
      </text>
    </comment>
    <comment ref="B53" authorId="0">
      <text>
        <r>
          <rPr>
            <sz val="10"/>
            <rFont val="Arial"/>
            <family val="2"/>
          </rPr>
          <t xml:space="preserve">LAHAP Model Build:
Source: LHC fee schedule values carried in the ported rules-engine reference register (LA 2025 basis). PENDING — verify against the current LHC fee schedule / 2026 QAP.</t>
        </r>
      </text>
    </comment>
    <comment ref="B54" authorId="0">
      <text>
        <r>
          <rPr>
            <sz val="10"/>
            <rFont val="Arial"/>
            <family val="2"/>
          </rPr>
          <t xml:space="preserve">LAHAP Model Build:
Source: LHC fee schedule values carried in the ported rules-engine reference register (LA 2025 basis). PENDING — verify against the current LHC fee schedule / 2026 QAP.</t>
        </r>
      </text>
    </comment>
    <comment ref="B55" authorId="0">
      <text>
        <r>
          <rPr>
            <sz val="10"/>
            <rFont val="Arial"/>
            <family val="2"/>
          </rPr>
          <t xml:space="preserve">LAHAP Model Build:
Source: LHC fee schedule values carried in the ported rules-engine reference register (LA 2025 basis). PENDING — verify against the current LHC fee schedule / 2026 QAP.</t>
        </r>
      </text>
    </comment>
    <comment ref="B56" authorId="0">
      <text>
        <r>
          <rPr>
            <sz val="10"/>
            <rFont val="Arial"/>
            <family val="2"/>
          </rPr>
          <t xml:space="preserve">LAHAP Model Build:
Source: LHC fee schedule values carried in the ported rules-engine reference register (LA 2025 basis). PENDING — verify against the current LHC fee schedule / 2026 QAP.</t>
        </r>
      </text>
    </comment>
    <comment ref="B57" authorId="0">
      <text>
        <r>
          <rPr>
            <sz val="10"/>
            <rFont val="Arial"/>
            <family val="2"/>
          </rPr>
          <t xml:space="preserve">LAHAP Model Build:
Source: LHC fee schedule values carried in the ported rules-engine reference register (LA 2025 basis). PENDING — verify against the current LHC fee schedule / 2026 QAP.</t>
        </r>
      </text>
    </comment>
    <comment ref="B58" authorId="0">
      <text>
        <r>
          <rPr>
            <sz val="10"/>
            <rFont val="Arial"/>
            <family val="2"/>
          </rPr>
          <t xml:space="preserve">LAHAP Model Build:
Source: LHC fee schedule values carried in the ported rules-engine reference register (LA 2025 basis). PENDING — verify against the current LHC fee schedule / 2026 QAP.</t>
        </r>
      </text>
    </comment>
    <comment ref="B59" authorId="0">
      <text>
        <r>
          <rPr>
            <sz val="10"/>
            <rFont val="Arial"/>
            <family val="2"/>
          </rPr>
          <t xml:space="preserve">LAHAP Model Build:
Source: LHC fee schedule values carried in the ported rules-engine reference register (LA 2025 basis). PENDING — verify against the current LHC fee schedule / 2026 QAP.</t>
        </r>
      </text>
    </comment>
    <comment ref="B60" authorId="0">
      <text>
        <r>
          <rPr>
            <sz val="10"/>
            <rFont val="Arial"/>
            <family val="2"/>
          </rPr>
          <t xml:space="preserve">LAHAP Model Build:
Source: LHC fee schedule values carried in the ported rules-engine reference register (LA 2025 basis). PENDING — verify against the current LHC fee schedule / 2026 QAP.</t>
        </r>
      </text>
    </comment>
    <comment ref="B61" authorId="0">
      <text>
        <r>
          <rPr>
            <sz val="10"/>
            <rFont val="Arial"/>
            <family val="2"/>
          </rPr>
          <t xml:space="preserve">LAHAP Model Build:
Source: LHC fee schedule values carried in the ported rules-engine reference register (LA 2025 basis). PENDING — verify against the current LHC fee schedule / 2026 QAP.</t>
        </r>
      </text>
    </comment>
    <comment ref="B62" authorId="0">
      <text>
        <r>
          <rPr>
            <sz val="10"/>
            <rFont val="Arial"/>
            <family val="2"/>
          </rPr>
          <t xml:space="preserve">LAHAP Model Build:
Source: LHC fee schedule values carried in the ported rules-engine reference register (LA 2025 basis). PENDING — verify against the current LHC fee schedule / 2026 QAP.</t>
        </r>
      </text>
    </comment>
    <comment ref="C38" authorId="0">
      <text>
        <r>
          <rPr>
            <sz val="10"/>
            <rFont val="Arial"/>
            <family val="2"/>
          </rPr>
          <t xml:space="preserve">LAHAP Model Build:
Source: Property Data Points.xlsx (DD folder), unit counts by bedroom.
(Same source as the first commented cell in this row.)</t>
        </r>
      </text>
    </comment>
    <comment ref="C39" authorId="0">
      <text>
        <r>
          <rPr>
            <sz val="10"/>
            <rFont val="Arial"/>
            <family val="2"/>
          </rPr>
          <t xml:space="preserve">LAHAP Model Build:
Source: Property Data Points.xlsx (DD folder), unit counts by bedroom.
(Same source as the first commented cell in this row.)</t>
        </r>
      </text>
    </comment>
    <comment ref="C40" authorId="0">
      <text>
        <r>
          <rPr>
            <sz val="10"/>
            <rFont val="Arial"/>
            <family val="2"/>
          </rPr>
          <t xml:space="preserve">LAHAP Model Build:
Source: Property Data Points.xlsx (DD folder), unit counts by bedroom.
(Same source as the first commented cell in this row.)</t>
        </r>
      </text>
    </comment>
    <comment ref="C41" authorId="0">
      <text>
        <r>
          <rPr>
            <sz val="10"/>
            <rFont val="Arial"/>
            <family val="2"/>
          </rPr>
          <t xml:space="preserve">LAHAP Model Build:
Source: Property Data Points.xlsx (DD folder), unit counts by bedroom.
(Same source as the first commented cell in this row.)</t>
        </r>
      </text>
    </comment>
    <comment ref="D38" authorId="0">
      <text>
        <r>
          <rPr>
            <sz val="10"/>
            <rFont val="Arial"/>
            <family val="2"/>
          </rPr>
          <t xml:space="preserve">LAHAP Model Build:
Source: Property Data Points.xlsx (DD folder), unit counts by bedroom.
(Same source as the first commented cell in this row.)</t>
        </r>
      </text>
    </comment>
    <comment ref="D39" authorId="0">
      <text>
        <r>
          <rPr>
            <sz val="10"/>
            <rFont val="Arial"/>
            <family val="2"/>
          </rPr>
          <t xml:space="preserve">LAHAP Model Build:
Source: Property Data Points.xlsx (DD folder), unit counts by bedroom.
(Same source as the first commented cell in this row.)</t>
        </r>
      </text>
    </comment>
    <comment ref="D40" authorId="0">
      <text>
        <r>
          <rPr>
            <sz val="10"/>
            <rFont val="Arial"/>
            <family val="2"/>
          </rPr>
          <t xml:space="preserve">LAHAP Model Build:
Source: Property Data Points.xlsx (DD folder), unit counts by bedroom.
(Same source as the first commented cell in this row.)</t>
        </r>
      </text>
    </comment>
    <comment ref="D41" authorId="0">
      <text>
        <r>
          <rPr>
            <sz val="10"/>
            <rFont val="Arial"/>
            <family val="2"/>
          </rPr>
          <t xml:space="preserve">LAHAP Model Build:
Source: Property Data Points.xlsx (DD folder), unit counts by bedroom.
(Same source as the first commented cell in this row.)</t>
        </r>
      </text>
    </comment>
    <comment ref="E38" authorId="0">
      <text>
        <r>
          <rPr>
            <sz val="10"/>
            <rFont val="Arial"/>
            <family val="2"/>
          </rPr>
          <t xml:space="preserve">LAHAP Model Build:
Source: Property Data Points.xlsx (DD folder), unit counts by bedroom.
(Same source as the first commented cell in this row.)</t>
        </r>
      </text>
    </comment>
    <comment ref="E39" authorId="0">
      <text>
        <r>
          <rPr>
            <sz val="10"/>
            <rFont val="Arial"/>
            <family val="2"/>
          </rPr>
          <t xml:space="preserve">LAHAP Model Build:
Source: Property Data Points.xlsx (DD folder), unit counts by bedroom.
(Same source as the first commented cell in this row.)</t>
        </r>
      </text>
    </comment>
    <comment ref="E40" authorId="0">
      <text>
        <r>
          <rPr>
            <sz val="10"/>
            <rFont val="Arial"/>
            <family val="2"/>
          </rPr>
          <t xml:space="preserve">LAHAP Model Build:
Source: Property Data Points.xlsx (DD folder), unit counts by bedroom.
(Same source as the first commented cell in this row.)</t>
        </r>
      </text>
    </comment>
    <comment ref="E41" authorId="0">
      <text>
        <r>
          <rPr>
            <sz val="10"/>
            <rFont val="Arial"/>
            <family val="2"/>
          </rPr>
          <t xml:space="preserve">LAHAP Model Build:
Source: Property Data Points.xlsx (DD folder), unit counts by bedroom.
(Same source as the first commented cell in this row.)</t>
        </r>
      </text>
    </comment>
  </commentList>
</comments>
</file>

<file path=xl/sharedStrings.xml><?xml version="1.0" encoding="utf-8"?>
<sst xmlns="http://schemas.openxmlformats.org/spreadsheetml/2006/main" count="2568" uniqueCount="1249">
  <si>
    <t xml:space="preserve">Metric</t>
  </si>
  <si>
    <t xml:space="preserve">Threshold</t>
  </si>
  <si>
    <t xml:space="preserve">CH</t>
  </si>
  <si>
    <t xml:space="preserve">NZ</t>
  </si>
  <si>
    <t xml:space="preserve">LOM</t>
  </si>
  <si>
    <t xml:space="preserve">SA</t>
  </si>
  <si>
    <t xml:space="preserve">Severity</t>
  </si>
  <si>
    <t xml:space="preserve">Citation</t>
  </si>
  <si>
    <t xml:space="preserve">DSCR</t>
  </si>
  <si>
    <t xml:space="preserve">CASH FLOW &amp; DEFERRED FEE</t>
  </si>
  <si>
    <t xml:space="preserve">COST, FEES &amp; TDC</t>
  </si>
  <si>
    <t xml:space="preserve">RENTS &amp; REHAB</t>
  </si>
  <si>
    <t xml:space="preserve">CREDIT STRUCTURE &amp; SIZING</t>
  </si>
  <si>
    <t xml:space="preserve">OPERATING &amp; PRICING</t>
  </si>
  <si>
    <t xml:space="preserve">PENDING ITEMS</t>
  </si>
  <si>
    <t xml:space="preserve">VERDICT (per property)</t>
  </si>
  <si>
    <t xml:space="preserve">PORTFOLIO VERDICT</t>
  </si>
  <si>
    <t xml:space="preserve">DASHBOARD CALC — DEAL INPUTS &amp; KPI ENGINE</t>
  </si>
  <si>
    <t xml:space="preserve">KPI RULE REGISTER (per-property status engine — Scorecard pulls from here)</t>
  </si>
  <si>
    <t xml:space="preserve">Deal Inputs</t>
  </si>
  <si>
    <t xml:space="preserve">Clear Horizons</t>
  </si>
  <si>
    <t xml:space="preserve">New Zion</t>
  </si>
  <si>
    <t xml:space="preserve">Live Oak Manor</t>
  </si>
  <si>
    <t xml:space="preserve">Spanish Arms</t>
  </si>
  <si>
    <t xml:space="preserve">Portfolio</t>
  </si>
  <si>
    <t xml:space="preserve">#</t>
  </si>
  <si>
    <t xml:space="preserve">kpi_id</t>
  </si>
  <si>
    <t xml:space="preserve">metric</t>
  </si>
  <si>
    <t xml:space="preserve">threshold</t>
  </si>
  <si>
    <t xml:space="preserve">severity</t>
  </si>
  <si>
    <t xml:space="preserve">citation</t>
  </si>
  <si>
    <t xml:space="preserve">Property Name</t>
  </si>
  <si>
    <t xml:space="preserve">UW-DSCR-BRIDGE</t>
  </si>
  <si>
    <t xml:space="preserve">Bridge-period DSCR</t>
  </si>
  <si>
    <t xml:space="preserve">&gt;= 1.00x</t>
  </si>
  <si>
    <t xml:space="preserve">warning</t>
  </si>
  <si>
    <t xml:space="preserve">house rule; spec Sec. 5.7</t>
  </si>
  <si>
    <t xml:space="preserve">Units</t>
  </si>
  <si>
    <t xml:space="preserve">UW-DSCR-BAND</t>
  </si>
  <si>
    <t xml:space="preserve">Post-resyn DSCR band (Yr2-17)</t>
  </si>
  <si>
    <t xml:space="preserve">&gt;= floor, &lt;= ceiling</t>
  </si>
  <si>
    <t xml:space="preserve">error</t>
  </si>
  <si>
    <t xml:space="preserve">QAP UW standards; register UW rules</t>
  </si>
  <si>
    <t xml:space="preserve">HAP Units</t>
  </si>
  <si>
    <t xml:space="preserve">UW-DDF-15YR</t>
  </si>
  <si>
    <t xml:space="preserve">Deferred fee repaid &lt;= 15 yrs</t>
  </si>
  <si>
    <t xml:space="preserve">payback year &lt;= 15</t>
  </si>
  <si>
    <t xml:space="preserve">IRC Sec.42 / QAP deferred-fee standard</t>
  </si>
  <si>
    <t xml:space="preserve">Net Rentable SF</t>
  </si>
  <si>
    <t xml:space="preserve">FEE-DEV-PCT</t>
  </si>
  <si>
    <t xml:space="preserve">Developer fee % &lt;= QAP cap</t>
  </si>
  <si>
    <t xml:space="preserve">&lt;= DevFeeCapPct</t>
  </si>
  <si>
    <t xml:space="preserve">QAP fee limits (LA 2025 — PENDING 2026)</t>
  </si>
  <si>
    <t xml:space="preserve">Parish</t>
  </si>
  <si>
    <t xml:space="preserve">Caddo</t>
  </si>
  <si>
    <t xml:space="preserve">Vermilion</t>
  </si>
  <si>
    <t xml:space="preserve">E. Baton Rouge</t>
  </si>
  <si>
    <t xml:space="preserve">UW-TDC</t>
  </si>
  <si>
    <t xml:space="preserve">TDC/unit vs HUD/LHC limit</t>
  </si>
  <si>
    <t xml:space="preserve">&lt;= regional limit</t>
  </si>
  <si>
    <t xml:space="preserve">HUD/LHC Unit TDC Limits (2024 vintage)</t>
  </si>
  <si>
    <t xml:space="preserve">TDC Region</t>
  </si>
  <si>
    <t xml:space="preserve">Shreveport</t>
  </si>
  <si>
    <t xml:space="preserve">Lafayette</t>
  </si>
  <si>
    <t xml:space="preserve">Baton Rouge</t>
  </si>
  <si>
    <t xml:space="preserve">UW-RENT-CAP</t>
  </si>
  <si>
    <t xml:space="preserve">Post-rehab rents &lt;= caps</t>
  </si>
  <si>
    <t xml:space="preserve">&lt;= MIN(High HAP, 150% SAFMR) / LIHTC max</t>
  </si>
  <si>
    <t xml:space="preserve">Sec. 8 renewal policy / SAFMR; spec Sec. 5.2</t>
  </si>
  <si>
    <t xml:space="preserve">Building Type</t>
  </si>
  <si>
    <t xml:space="preserve">Walkup</t>
  </si>
  <si>
    <t xml:space="preserve">UW-MINREHAB-IRC</t>
  </si>
  <si>
    <t xml:space="preserve">Min rehab $/unit (IRC)</t>
  </si>
  <si>
    <t xml:space="preserve">&gt;= MinRehabIRC</t>
  </si>
  <si>
    <t xml:space="preserve">IRC Sec.42(e)(3)(A)(ii) — indexed min PLACEHOLDER</t>
  </si>
  <si>
    <t xml:space="preserve">Credit Type</t>
  </si>
  <si>
    <t xml:space="preserve">4% bond</t>
  </si>
  <si>
    <t xml:space="preserve">UW-MINREHAB-QAP</t>
  </si>
  <si>
    <t xml:space="preserve">Min rehab $/unit (LA QAP)</t>
  </si>
  <si>
    <t xml:space="preserve">2026 QAP value unconfirmed</t>
  </si>
  <si>
    <t xml:space="preserve">LA QAP rehab standard — PENDING</t>
  </si>
  <si>
    <t xml:space="preserve">Basis Boost Eligible</t>
  </si>
  <si>
    <t xml:space="preserve">Yes</t>
  </si>
  <si>
    <t xml:space="preserve">ELG-BOND-25</t>
  </si>
  <si>
    <t xml:space="preserve">Tax-exempt bond test</t>
  </si>
  <si>
    <t xml:space="preserve">&gt;= 25% of aggregate basis (OBBBA)</t>
  </si>
  <si>
    <t xml:space="preserve">IRC Sec.42(h)(4) as amended (OBBBA P.L. 119-21)</t>
  </si>
  <si>
    <t xml:space="preserve">Acquisition Price</t>
  </si>
  <si>
    <t xml:space="preserve">UW-VAC-MIN</t>
  </si>
  <si>
    <t xml:space="preserve">Underwritten vacancy floor</t>
  </si>
  <si>
    <t xml:space="preserve">&gt;= VacancyMin</t>
  </si>
  <si>
    <t xml:space="preserve">QAP UW standards</t>
  </si>
  <si>
    <t xml:space="preserve">Land % of Acq Price</t>
  </si>
  <si>
    <t xml:space="preserve">UW-OPEX-MIN</t>
  </si>
  <si>
    <t xml:space="preserve">Expense PUPA floor</t>
  </si>
  <si>
    <t xml:space="preserve">&gt;= OpexMinPU</t>
  </si>
  <si>
    <t xml:space="preserve">Acquisition Date</t>
  </si>
  <si>
    <t xml:space="preserve">UW-PRICE-COMP</t>
  </si>
  <si>
    <t xml:space="preserve">Solved price/unit vs OM comps</t>
  </si>
  <si>
    <t xml:space="preserve">sanity: &lt;= comp wtd avg</t>
  </si>
  <si>
    <t xml:space="preserve">info</t>
  </si>
  <si>
    <t xml:space="preserve">OM sale comps pp.11/18/25/32 (market-rate sales)</t>
  </si>
  <si>
    <t xml:space="preserve">Resyndication Close Date</t>
  </si>
  <si>
    <t xml:space="preserve">UW-SU-BAL</t>
  </si>
  <si>
    <t xml:space="preserve">Sources = Uses w/o unfunded soft gap</t>
  </si>
  <si>
    <t xml:space="preserve">required soft funds = 0</t>
  </si>
  <si>
    <t xml:space="preserve">arithmetic check; spec Sec. 9.5</t>
  </si>
  <si>
    <t xml:space="preserve">Bridge Period (months)</t>
  </si>
  <si>
    <t xml:space="preserve">UW-URA</t>
  </si>
  <si>
    <t xml:space="preserve">URA applicability</t>
  </si>
  <si>
    <t xml:space="preserve">funding stack final?</t>
  </si>
  <si>
    <t xml:space="preserve">49 CFR Part 24; NZ HOME loan in existing stack</t>
  </si>
  <si>
    <t xml:space="preserve">Rehab Duration (months)</t>
  </si>
  <si>
    <t xml:space="preserve">UW-QAP-VINTAGE</t>
  </si>
  <si>
    <t xml:space="preserve">QAP vintage (2026 confirm)</t>
  </si>
  <si>
    <t xml:space="preserve">register = LA 2025 QAP</t>
  </si>
  <si>
    <t xml:space="preserve">spec Gap #6</t>
  </si>
  <si>
    <t xml:space="preserve">Hold Period End</t>
  </si>
  <si>
    <t xml:space="preserve">Vintage Inflation Years</t>
  </si>
  <si>
    <t xml:space="preserve">Hard fails</t>
  </si>
  <si>
    <t xml:space="preserve">Warnings failing</t>
  </si>
  <si>
    <t xml:space="preserve">Global Assumptions</t>
  </si>
  <si>
    <t xml:space="preserve">Value</t>
  </si>
  <si>
    <t xml:space="preserve">Pending</t>
  </si>
  <si>
    <t xml:space="preserve">Target Return Metric</t>
  </si>
  <si>
    <t xml:space="preserve">DSCR-constrained</t>
  </si>
  <si>
    <t xml:space="preserve">VERDICT</t>
  </si>
  <si>
    <t xml:space="preserve">Solver DSCR Floor</t>
  </si>
  <si>
    <t xml:space="preserve">OCAF / HAP Rent Growth</t>
  </si>
  <si>
    <t xml:space="preserve">OCAF Achievement Haircut</t>
  </si>
  <si>
    <t xml:space="preserve">First-Year LA OCAF (2027)</t>
  </si>
  <si>
    <t xml:space="preserve">Expense Growth</t>
  </si>
  <si>
    <t xml:space="preserve">Insurance Growth</t>
  </si>
  <si>
    <t xml:space="preserve">Post-Rehab Rent Uplift</t>
  </si>
  <si>
    <t xml:space="preserve">Cost Inflation (vintage $)</t>
  </si>
  <si>
    <t xml:space="preserve">4% LIHTC Equity Price</t>
  </si>
  <si>
    <t xml:space="preserve">Perm Debt Rate (refi)</t>
  </si>
  <si>
    <t xml:space="preserve">Perm Amortization (yrs)</t>
  </si>
  <si>
    <t xml:space="preserve">Perm LTV Cap</t>
  </si>
  <si>
    <t xml:space="preserve">Debt Strategy (base case)</t>
  </si>
  <si>
    <t xml:space="preserve">Refinance</t>
  </si>
  <si>
    <t xml:space="preserve">Rehab Hard Cost $/Unit</t>
  </si>
  <si>
    <t xml:space="preserve">Tenant Relocation $/Unit</t>
  </si>
  <si>
    <t xml:space="preserve">Management Fee %</t>
  </si>
  <si>
    <t xml:space="preserve">SA HAP Renewal (post-4/30/30)</t>
  </si>
  <si>
    <t xml:space="preserve">Renew + OCAF trend</t>
  </si>
  <si>
    <t xml:space="preserve">KPI register (columns J+) is built with the Model Scorecard step.</t>
  </si>
  <si>
    <t xml:space="preserve">OM ACTUALS — STATIC REFERENCE DUMP (SVN Offering Memorandum)</t>
  </si>
  <si>
    <t xml:space="preserve">Published OM figures only. Per Sec. 9.2 hierarchy, executed DD documents override the OM; variances found in diligence are recorded in the VARIANCE NOTES block at the bottom of this sheet.</t>
  </si>
  <si>
    <t xml:space="preserve">CLEAR HORIZONS — INCOME &amp; EXPENSES  (OM p.9)</t>
  </si>
  <si>
    <t xml:space="preserve">2024 Audit</t>
  </si>
  <si>
    <t xml:space="preserve">2025 Audit</t>
  </si>
  <si>
    <t xml:space="preserve">2026 Budget</t>
  </si>
  <si>
    <t xml:space="preserve">OM Current Rents*</t>
  </si>
  <si>
    <t xml:space="preserve">OM Post-Rehab*</t>
  </si>
  <si>
    <t xml:space="preserve">Rental Revenue</t>
  </si>
  <si>
    <t xml:space="preserve">Vacancies &amp; Rent Concessions</t>
  </si>
  <si>
    <t xml:space="preserve">Financial Revenue</t>
  </si>
  <si>
    <t xml:space="preserve">Other Revenue</t>
  </si>
  <si>
    <t xml:space="preserve">Total Income</t>
  </si>
  <si>
    <t xml:space="preserve">Administrative Expenses</t>
  </si>
  <si>
    <t xml:space="preserve">Utilities Expense</t>
  </si>
  <si>
    <t xml:space="preserve">Operating &amp; Maintenance Expenses</t>
  </si>
  <si>
    <t xml:space="preserve">Taxes &amp; Insurance Expenses</t>
  </si>
  <si>
    <t xml:space="preserve">Reserves</t>
  </si>
  <si>
    <t xml:space="preserve">Gross Expenses</t>
  </si>
  <si>
    <t xml:space="preserve">Net Operating Income</t>
  </si>
  <si>
    <t xml:space="preserve">NEW ZION — INCOME &amp; EXPENSES  (OM p.16)</t>
  </si>
  <si>
    <t xml:space="preserve">LIVE OAK MANOR — INCOME &amp; EXPENSES  (OM p.23)</t>
  </si>
  <si>
    <t xml:space="preserve">SPANISH ARMS — INCOME &amp; EXPENSES  (OM p.30)</t>
  </si>
  <si>
    <t xml:space="preserve">PORTFOLIO COMBINED — INCOME &amp; EXPENSES  (OM p.5)</t>
  </si>
  <si>
    <t xml:space="preserve">OM UNIT MIXES</t>
  </si>
  <si>
    <t xml:space="preserve">CLEAR HORIZONS  (OM p.10)</t>
  </si>
  <si>
    <t xml:space="preserve">Unit Type</t>
  </si>
  <si>
    <t xml:space="preserve">Count</t>
  </si>
  <si>
    <t xml:space="preserve">SF</t>
  </si>
  <si>
    <t xml:space="preserve">Current Rent</t>
  </si>
  <si>
    <t xml:space="preserve">Post-Rehab</t>
  </si>
  <si>
    <t xml:space="preserve">High HAP</t>
  </si>
  <si>
    <t xml:space="preserve">150% SAFMR</t>
  </si>
  <si>
    <t xml:space="preserve">1BR/1BA - HAP</t>
  </si>
  <si>
    <t xml:space="preserve">2BR/1BA - HAP</t>
  </si>
  <si>
    <t xml:space="preserve">3BR/1BA - HAP</t>
  </si>
  <si>
    <t xml:space="preserve">3BR/1.5BA - HAP</t>
  </si>
  <si>
    <t xml:space="preserve">TOTAL UNITS</t>
  </si>
  <si>
    <t xml:space="preserve">NEW ZION  (OM p.17)</t>
  </si>
  <si>
    <t xml:space="preserve">LIVE OAK MANOR  (OM p.24)</t>
  </si>
  <si>
    <t xml:space="preserve">4BR/1BA - HAP</t>
  </si>
  <si>
    <t xml:space="preserve">SPANISH ARMS  (OM p.31)</t>
  </si>
  <si>
    <t xml:space="preserve">2026 LIHTC Max</t>
  </si>
  <si>
    <t xml:space="preserve">2BR/1.5BA - HAP</t>
  </si>
  <si>
    <t xml:space="preserve">1BR/1BA - 50%</t>
  </si>
  <si>
    <t xml:space="preserve">1BR/1BA - 60%</t>
  </si>
  <si>
    <t xml:space="preserve">2BR/1BA - 50%</t>
  </si>
  <si>
    <t xml:space="preserve">2BR/1BA - 60%</t>
  </si>
  <si>
    <t xml:space="preserve">2BR/1.5BA - 50%</t>
  </si>
  <si>
    <t xml:space="preserve">2BR/1.5BA - 60%</t>
  </si>
  <si>
    <t xml:space="preserve">3BR/1.5BA - 50%</t>
  </si>
  <si>
    <t xml:space="preserve">3BR/1.5BA - 60%</t>
  </si>
  <si>
    <t xml:space="preserve">1BR/1BA - Market</t>
  </si>
  <si>
    <t xml:space="preserve">OM KEY DATA POINTS</t>
  </si>
  <si>
    <t xml:space="preserve">Parameter</t>
  </si>
  <si>
    <t xml:space="preserve">Units / HAP %</t>
  </si>
  <si>
    <t xml:space="preserve">84 / 100%</t>
  </si>
  <si>
    <t xml:space="preserve">100 / 100%</t>
  </si>
  <si>
    <t xml:space="preserve">119 / 100%</t>
  </si>
  <si>
    <t xml:space="preserve">204 / 60% (123 HAP)</t>
  </si>
  <si>
    <t xml:space="preserve">NRSF</t>
  </si>
  <si>
    <t xml:space="preserve">HAP Contract</t>
  </si>
  <si>
    <t xml:space="preserve">Opt 2, exp 6/30/32</t>
  </si>
  <si>
    <t xml:space="preserve">Opt 1b, exp 12/31/33</t>
  </si>
  <si>
    <t xml:space="preserve">Opt 1b, exp 3/31/33</t>
  </si>
  <si>
    <t xml:space="preserve">Opt 2, exp 4/30/30</t>
  </si>
  <si>
    <t xml:space="preserve">PIS / TCCP end</t>
  </si>
  <si>
    <t xml:space="preserve">2013 / 2027</t>
  </si>
  <si>
    <t xml:space="preserve">2014 / 2028</t>
  </si>
  <si>
    <t xml:space="preserve">2008 / 2023</t>
  </si>
  <si>
    <t xml:space="preserve">Resyndication eligible</t>
  </si>
  <si>
    <t xml:space="preserve">Immediate</t>
  </si>
  <si>
    <t xml:space="preserve">Assumable debt rate (OM)</t>
  </si>
  <si>
    <t xml:space="preserve">2.89% &amp; 3.00%</t>
  </si>
  <si>
    <t xml:space="preserve">OM Proforma NOI</t>
  </si>
  <si>
    <t xml:space="preserve">2026 Budget NOI</t>
  </si>
  <si>
    <t xml:space="preserve">Occupancy</t>
  </si>
  <si>
    <t xml:space="preserve">Utilities</t>
  </si>
  <si>
    <t xml:space="preserve">Tenant elec</t>
  </si>
  <si>
    <t xml:space="preserve">Owner gas heat/HW</t>
  </si>
  <si>
    <t xml:space="preserve">All owner-paid</t>
  </si>
  <si>
    <t xml:space="preserve">Current monthly rent roll</t>
  </si>
  <si>
    <t xml:space="preserve">High HAP comp (monthly)</t>
  </si>
  <si>
    <t xml:space="preserve">150% SAFMR (monthly)</t>
  </si>
  <si>
    <t xml:space="preserve">QCT (130% boost)</t>
  </si>
  <si>
    <t xml:space="preserve">Year Built</t>
  </si>
  <si>
    <t xml:space="preserve">Recent CapEx (2023-25)</t>
  </si>
  <si>
    <t xml:space="preserve">VARIANCE NOTES — OM vs DUE-DILIGENCE DOCUMENTS (Sec. 9.2)</t>
  </si>
  <si>
    <t xml:space="preserve">VARIANCE_ANCHOR</t>
  </si>
  <si>
    <t xml:space="preserve">(populated from DD extraction — DD documents govern)</t>
  </si>
  <si>
    <t xml:space="preserve">Property/Agent</t>
  </si>
  <si>
    <t xml:space="preserve">Item</t>
  </si>
  <si>
    <t xml:space="preserve">OM value</t>
  </si>
  <si>
    <t xml:space="preserve">DD value</t>
  </si>
  <si>
    <t xml:space="preserve">DD source</t>
  </si>
  <si>
    <t xml:space="preserve">fin:CH</t>
  </si>
  <si>
    <t xml:space="preserve">2026 Budget Gross Potential Rent</t>
  </si>
  <si>
    <t xml:space="preserve">$975,681</t>
  </si>
  <si>
    <t xml:space="preserve">$963,681 GPR + $12,000 rent adjustments shown separately (reclass; totals reconcile)</t>
  </si>
  <si>
    <t xml:space="preserve">CH - 2026 Budget.xlsx</t>
  </si>
  <si>
    <t xml:space="preserve">Proforma Real Estate Taxes labeled '2025 Actual Tax Bill'</t>
  </si>
  <si>
    <t xml:space="preserve">$33,198.37</t>
  </si>
  <si>
    <t xml:space="preserve">$23,440.62 RE-only (Caddo $19,199.08 + City $4,241.54); broker figure equals RE + $9,757.75 personal-property bills</t>
  </si>
  <si>
    <t xml:space="preserve">CH - 2025 Caddo Parish RE Tax Bill.pdf; CH - 2025 City of Shreveport RE Tax Bill.pdf; CH - 2025 Caddo Parish PPT.pdf; CH - 2025 City of Shreveport PPT.pdf</t>
  </si>
  <si>
    <t xml:space="preserve">Proforma in-place insurance premium</t>
  </si>
  <si>
    <t xml:space="preserve">$79,504 ($946/unit)</t>
  </si>
  <si>
    <t xml:space="preserve">$87,876 per 2026 budget (property $44,628 + GL $43,248); T12 $87,879; 2025 audit $92,566; no DD document supports $79,504 and loss-run letter shows no premium</t>
  </si>
  <si>
    <t xml:space="preserve">NOI basis - replacement reserves expensed by broker</t>
  </si>
  <si>
    <t xml:space="preserve">2025 audit NOI -$204,770; 2026 budget NOI -$26,306</t>
  </si>
  <si>
    <t xml:space="preserve">2025 audit NOI -$185,833; 2026 budget NOI -$7,369 (reserve deposits of $18,937 are a memo/escrow item, not a P&amp;L expense, in source docs)</t>
  </si>
  <si>
    <t xml:space="preserve">CH - 2025 Audit.pdf; CH - 2026 Budget.xlsx</t>
  </si>
  <si>
    <t xml:space="preserve">rents:CH</t>
  </si>
  <si>
    <t xml:space="preserve">Current rents timing</t>
  </si>
  <si>
    <t xml:space="preserve">OM 'Current Rents' = 7/1/2026 OCAF schedule, $86,752/mo potential</t>
  </si>
  <si>
    <t xml:space="preserve">Rent roll 4/15/26 in-place rents $814/$884/$1,012/$1,024 = $79,808/mo potential (OCAF bump not yet effective)</t>
  </si>
  <si>
    <t xml:space="preserve">CH - Rent Roll (4.15.26).xlsx vs CH - Rent Schedule (7.1.26).pdf</t>
  </si>
  <si>
    <t xml:space="preserve">End of initial tax-credit compliance period (TCCP)</t>
  </si>
  <si>
    <t xml:space="preserve">2027 (OM p.7 'PIS/End of TCCP 2013/2027')</t>
  </si>
  <si>
    <t xml:space="preserve">Compliance Period 1/1/2012-12/31/2026 per Exhibit B (PIS 10/18/2012); some rehab 8609s show 2013 first credit year implying per-building end 2027</t>
  </si>
  <si>
    <t xml:space="preserve">CH - LHC Tax Credit Regulatory Agreement (10.29.14).pdf; CH - 8609s.pdf</t>
  </si>
  <si>
    <t xml:space="preserve">Income restriction description</t>
  </si>
  <si>
    <t xml:space="preserve">LIHTC income restrictions at 30% &amp; 60% of AMI</t>
  </si>
  <si>
    <t xml:space="preserve">Regulatory election is 40% of units @ 60% AMI minimum set-aside; rent roll shows some units designated 30% AMI in practice</t>
  </si>
  <si>
    <t xml:space="preserve">CH - LHC Tax Credit Regulatory Agreement (10.29.14).pdf</t>
  </si>
  <si>
    <t xml:space="preserve">fin:NZ</t>
  </si>
  <si>
    <t xml:space="preserve">2026 budget Gross Potential Rent</t>
  </si>
  <si>
    <t xml:space="preserve">$1,125,828</t>
  </si>
  <si>
    <t xml:space="preserve">$1,113,828 GPR + $12,000 rent adjustments (totals tie at $1,074,740 revenue)</t>
  </si>
  <si>
    <t xml:space="preserve">NZ - 2026 Budget.xlsx</t>
  </si>
  <si>
    <t xml:space="preserve">2024 total operating income</t>
  </si>
  <si>
    <t xml:space="preserve">$916,758</t>
  </si>
  <si>
    <t xml:space="preserve">$908,308 (broker reclassed $8,450 misc vacancies/rent-free unit to admin expense; NOI unaffected)</t>
  </si>
  <si>
    <t xml:space="preserve">NZ - 2024 Audit.pdf</t>
  </si>
  <si>
    <t xml:space="preserve">Insurance premium used in broker proforma</t>
  </si>
  <si>
    <t xml:space="preserve">$79,892 'owner in-place premium'</t>
  </si>
  <si>
    <t xml:space="preserve">$88,332/yr current accrual (T12 &amp; 2026 budget); $95,099 2025 audit expense — no document supports $79,892</t>
  </si>
  <si>
    <t xml:space="preserve">NZ - T12 (3.2026).xlsx / NZ - 2025 Audit.pdf</t>
  </si>
  <si>
    <t xml:space="preserve">Real estate taxes composition</t>
  </si>
  <si>
    <t xml:space="preserve">$36,503 labeled '2025 Actual Tax Bill' (RE taxes)</t>
  </si>
  <si>
    <t xml:space="preserve">RE-only ~$26,501 (assessor estimate) + $9,898 personal-property tax bills = $36,399; broker/audit RE line includes PPT</t>
  </si>
  <si>
    <t xml:space="preserve">NZ - Asessor Property Report (2026).pdf / NZ - 2025 Caddo Parish PPT.pdf / NZ - 2025 City of Shreveport PPT.pdf</t>
  </si>
  <si>
    <t xml:space="preserve">NOI basis (2025 audit / 2026 budget)</t>
  </si>
  <si>
    <t xml:space="preserve">-$37,808 / $129,368 (after $30,480 reserves)</t>
  </si>
  <si>
    <t xml:space="preserve">-$7,328 / $159,848 before reserve deposits; difference is exactly the reserve line</t>
  </si>
  <si>
    <t xml:space="preserve">NZ - 2025 Audit.pdf / NZ - 2026 Budget.xlsx</t>
  </si>
  <si>
    <t xml:space="preserve">rents:NZ</t>
  </si>
  <si>
    <t xml:space="preserve">Unit mix / rents / SF (12x1BR $875, 64x2BR $924, 24x3BR $1,144; 71,212 SF; $97,092/mo)</t>
  </si>
  <si>
    <t xml:space="preserve">OM p.17: identical</t>
  </si>
  <si>
    <t xml:space="preserve">Matches exactly</t>
  </si>
  <si>
    <t xml:space="preserve">NZ - Rent Schedule (1.1.26).pdf; NZ - Rent Roll (4.15.26).xlsx</t>
  </si>
  <si>
    <t xml:space="preserve">98% occupied</t>
  </si>
  <si>
    <t xml:space="preserve">98/100 = 98.0%</t>
  </si>
  <si>
    <t xml:space="preserve">NZ - Rent Roll (4.15.26).xlsx</t>
  </si>
  <si>
    <t xml:space="preserve">HAP expiration</t>
  </si>
  <si>
    <t xml:space="preserve">Option 1b expiring December 2033</t>
  </si>
  <si>
    <t xml:space="preserve">MU2M renewal 1/1/2014 + 20 yrs; expires 12/31/2033</t>
  </si>
  <si>
    <t xml:space="preserve">NZ - Renewal HAP Contract (1.1.14).pdf; NZ - Rent Schedule (1.1.26).pdf</t>
  </si>
  <si>
    <t xml:space="preserve">Residential building count</t>
  </si>
  <si>
    <t xml:space="preserve">11 two-story walk-ups + 1 office/community bldg</t>
  </si>
  <si>
    <t xml:space="preserve">14 buildings (BINs LA-14-00558 through LA-14-00571)</t>
  </si>
  <si>
    <t xml:space="preserve">NZ - 8609s.pdf; NZ - LHC Tax Credit Regulatory Agreement (12.6.13).pdf</t>
  </si>
  <si>
    <t xml:space="preserve">Initial tax-credit compliance period end</t>
  </si>
  <si>
    <t xml:space="preserve">TCCP ends 2028 (resyndication 2029)</t>
  </si>
  <si>
    <t xml:space="preserve">LHC Special Conditions: compliance 1/1/2015-12/31/2029 (but 8609s elected 2014 first credit year, implying 2028)</t>
  </si>
  <si>
    <t xml:space="preserve">NZ - LHC Tax Credit Regulatory Agreement (12.6.13).pdf; NZ - 8609s.pdf</t>
  </si>
  <si>
    <t xml:space="preserve">fin:LOM</t>
  </si>
  <si>
    <t xml:space="preserve">2025 audit NOI methodology</t>
  </si>
  <si>
    <t xml:space="preserve">$257,759 (broker deducts $11,652 replacement reserve deposits)</t>
  </si>
  <si>
    <t xml:space="preserve">$269,411 before reserves (revenue 1,344,477 less opex 1,075,066)</t>
  </si>
  <si>
    <t xml:space="preserve">LOM - 2025 Audit.pdf</t>
  </si>
  <si>
    <t xml:space="preserve">2026 budget NOI</t>
  </si>
  <si>
    <t xml:space="preserve">$334,272 (broker adds $11,652 reserves line)</t>
  </si>
  <si>
    <t xml:space="preserve">$345,924 (budget file's own NOI line)</t>
  </si>
  <si>
    <t xml:space="preserve">LOM - 2026 Budget.xlsx</t>
  </si>
  <si>
    <t xml:space="preserve">Insurance premium (in-place)</t>
  </si>
  <si>
    <t xml:space="preserve">$156,423 broker 'owner in-place premium' ($1,314/unit)</t>
  </si>
  <si>
    <t xml:space="preserve">$172,383 budgeted 2026 (property 108,840 + GL 63,543); T12 $171,747; 2025 audit $179,405</t>
  </si>
  <si>
    <t xml:space="preserve">LOM - 2026 Budget.xlsx / LOM - T12 (3.2026).xlsx</t>
  </si>
  <si>
    <t xml:space="preserve">Real estate taxes source</t>
  </si>
  <si>
    <t xml:space="preserve">$24,983.99 labeled '2025 Actual Tax Bill'</t>
  </si>
  <si>
    <t xml:space="preserve">$24,983.99 but source is Vermilion Parish Tax Year 2026 UNCERTIFIED assessor estimate; no 2025 tax bill PDF exists in LOM folder (matches 2025 audit expense $24,984)</t>
  </si>
  <si>
    <t xml:space="preserve">LOM - Asessor Property Report (2026).pdf</t>
  </si>
  <si>
    <t xml:space="preserve">2024 misc revenue breakdown</t>
  </si>
  <si>
    <t xml:space="preserve">Broker breakdown sums to $310,438; uses $35,655 ex-casualty</t>
  </si>
  <si>
    <t xml:space="preserve">$310,488 per audit (=35,655 + 274,833 casualty gain); $50 internal inconsistency in broker breakdown</t>
  </si>
  <si>
    <t xml:space="preserve">LOM - 2024 Audit.pdf</t>
  </si>
  <si>
    <t xml:space="preserve">2024 vacancies presentation</t>
  </si>
  <si>
    <t xml:space="preserve">Broker moves $29,184 misc vacancies (5290) to Admin 'Rent Free Unit'</t>
  </si>
  <si>
    <t xml:space="preserve">Audit reports it as vacancies (total vacancies $126,608)</t>
  </si>
  <si>
    <t xml:space="preserve">CapEx vs audit fixed-asset additions</t>
  </si>
  <si>
    <t xml:space="preserve">n/a (broker doesn't show)</t>
  </si>
  <si>
    <t xml:space="preserve">CapEx file 2024 $634,419 vs audit additions $635,094; 2025 $140,568 vs audit $139,891 (&lt;0.2% diffs)</t>
  </si>
  <si>
    <t xml:space="preserve">LOM - CapEx Summary (2023-25).xlsx vs audits</t>
  </si>
  <si>
    <t xml:space="preserve">Groundskeeper position</t>
  </si>
  <si>
    <t xml:space="preserve">Broker proforma removes Groundskeeper, calls it PT</t>
  </si>
  <si>
    <t xml:space="preserve">Payroll file lists as Full Time, $14,560/yr @ $14/hr (rate implies ~20 hrs/wk)</t>
  </si>
  <si>
    <t xml:space="preserve">LOM - Payroll Schedule (2026).xlsx</t>
  </si>
  <si>
    <t xml:space="preserve">rents:LOM</t>
  </si>
  <si>
    <t xml:space="preserve">In-place rent roll rents vs OM current rents</t>
  </si>
  <si>
    <t xml:space="preserve">$931/$1,060/$1,202 by BR type; $130,789/mo total</t>
  </si>
  <si>
    <t xml:space="preserve">$864/$984/$1,116; $121,416/mo scheduled</t>
  </si>
  <si>
    <t xml:space="preserve">LOM - Rent Roll (4.15.26).xlsx</t>
  </si>
  <si>
    <t xml:space="preserve">Utility allowances in tenant certs</t>
  </si>
  <si>
    <t xml:space="preserve">$71/$96/$108 (per 4/1/26 rent schedule OM relies on)</t>
  </si>
  <si>
    <t xml:space="preserve">$66/$90/$101 on rent roll certs</t>
  </si>
  <si>
    <t xml:space="preserve">Occupancy (OM silent on vacancy in unit-mix table)</t>
  </si>
  <si>
    <t xml:space="preserve">not stated on p.24</t>
  </si>
  <si>
    <t xml:space="preserve">110/119 occupied (92.4%), 9 vacant</t>
  </si>
  <si>
    <t xml:space="preserve">Sale comp property type labels</t>
  </si>
  <si>
    <t xml:space="preserve">Parkside/Willowbrook shown 'Market-Rate'</t>
  </si>
  <si>
    <t xml:space="preserve">Affordable Type blank in comps xlsx</t>
  </si>
  <si>
    <t xml:space="preserve">LOM - Sale Comparables.xlsx</t>
  </si>
  <si>
    <t xml:space="preserve">fin:SA</t>
  </si>
  <si>
    <t xml:space="preserve">2025 audit total operating income</t>
  </si>
  <si>
    <t xml:space="preserve">$1,856,107</t>
  </si>
  <si>
    <t xml:space="preserve">$2,040,849</t>
  </si>
  <si>
    <t xml:space="preserve">SA - 2025 Audit.pdf (broker removed $184,742 casualty gain)</t>
  </si>
  <si>
    <t xml:space="preserve">$423,558</t>
  </si>
  <si>
    <t xml:space="preserve">$493,870</t>
  </si>
  <si>
    <t xml:space="preserve">SA - 2026 Budget.xlsx (broker imputes $70,312 reserves absent from budget)</t>
  </si>
  <si>
    <t xml:space="preserve">2025 audit NOI</t>
  </si>
  <si>
    <t xml:space="preserve">$252,720 (ex-casualty, after reserves)</t>
  </si>
  <si>
    <t xml:space="preserve">$507,774 as reported ($323,032 ex-casualty, before reserves)</t>
  </si>
  <si>
    <t xml:space="preserve">SA - 2025 Audit.pdf</t>
  </si>
  <si>
    <t xml:space="preserve">Insurance premium (proforma)</t>
  </si>
  <si>
    <t xml:space="preserve">$231,221 'owner in-place premium'</t>
  </si>
  <si>
    <t xml:space="preserve">$272,022 budget / $262,851 T12 / $271,131 2025 audit</t>
  </si>
  <si>
    <t xml:space="preserve">SA - 2026 Budget.xlsx; SA - T12 (3.2026).xlsx; SA - 2025 Audit.pdf</t>
  </si>
  <si>
    <t xml:space="preserve">HUD project number</t>
  </si>
  <si>
    <t xml:space="preserve">n/a</t>
  </si>
  <si>
    <t xml:space="preserve">082-35443 (2024 audit) vs 064-35463 (2025 audit)</t>
  </si>
  <si>
    <t xml:space="preserve">SA - 2024 Audit.pdf / SA - 2025 Audit.pdf</t>
  </si>
  <si>
    <t xml:space="preserve">Unit count</t>
  </si>
  <si>
    <t xml:space="preserve">204 units</t>
  </si>
  <si>
    <t xml:space="preserve">202 units per legal description</t>
  </si>
  <si>
    <t xml:space="preserve">SA - Asessor Property Report (2026).pdf; SA - 2025 Property Tax Bill.pdf</t>
  </si>
  <si>
    <t xml:space="preserve">Security payroll</t>
  </si>
  <si>
    <t xml:space="preserve">$30,628 proforma</t>
  </si>
  <si>
    <t xml:space="preserve">$30,628 annual but $31.00/hr FT listed (inconsistent)</t>
  </si>
  <si>
    <t xml:space="preserve">SA - Payroll Schedule (2026).xlsx</t>
  </si>
  <si>
    <t xml:space="preserve">rents:SA</t>
  </si>
  <si>
    <t xml:space="preserve">Unit SF / NRSF</t>
  </si>
  <si>
    <t xml:space="preserve">795/975/914/1075 SF; 191,932 NRSF (p.31)</t>
  </si>
  <si>
    <t xml:space="preserve">656-721/806/903/903 SF; 166,876 SF total</t>
  </si>
  <si>
    <t xml:space="preserve">SA - Rent Roll (4.15.26).xlsx</t>
  </si>
  <si>
    <t xml:space="preserve">Total current monthly rent</t>
  </si>
  <si>
    <t xml:space="preserve">$179,444 (p.31)</t>
  </si>
  <si>
    <t xml:space="preserve">$180,845 (HAP $125,555 per 5/1/26 HUD schedule + non-HAP $55,290 per rent roll); rent roll alone $171,960</t>
  </si>
  <si>
    <t xml:space="preserve">SA - Rent Schedule (5.1.26).pdf + SA - Rent Roll (4.15.26).xlsx</t>
  </si>
  <si>
    <t xml:space="preserve">91% (p.28)</t>
  </si>
  <si>
    <t xml:space="preserve">90.7% (185/204)</t>
  </si>
  <si>
    <t xml:space="preserve">End of initial LIHTC compliance period</t>
  </si>
  <si>
    <t xml:space="preserve">2023 (p.28 'PIS/End of TCCP 2008/2023')</t>
  </si>
  <si>
    <t xml:space="preserve">12/31/2021 (15-yr compliance period from 1/1/2008)</t>
  </si>
  <si>
    <t xml:space="preserve">SA - LHFA Tax Credit Regulatory Agreement (2.14.10).pdf Exhibit B</t>
  </si>
  <si>
    <t xml:space="preserve">Non-HAP 1BR current rents</t>
  </si>
  <si>
    <t xml:space="preserve">$560 for both 50% and 60% tiers (p.31)</t>
  </si>
  <si>
    <t xml:space="preserve">In-place $769 (50% unit) and $649 (60% unit); $560 is the rent roll's market-rent column</t>
  </si>
  <si>
    <t xml:space="preserve">Next-year HAP rent schedule</t>
  </si>
  <si>
    <t xml:space="preserve">n/a (OM uses May 2026 HUD schedule)</t>
  </si>
  <si>
    <t xml:space="preserve">File named 5.1.27 contains only rents effective 5/1/2026 (HUD-9627 Auto OCAF executed 6/3/2026); no FY2027 rents in DD</t>
  </si>
  <si>
    <t xml:space="preserve">SA - Rent Schedule (5.1.27).pdf</t>
  </si>
  <si>
    <t xml:space="preserve">RCS 2BR/1BA market rent</t>
  </si>
  <si>
    <t xml:space="preserve">RCS exec summary says $950 but grids/net-conclusions/narrative conclude $940 (internal RCS discrepancy)</t>
  </si>
  <si>
    <t xml:space="preserve">SA - RCS (2.4.25).pdf</t>
  </si>
  <si>
    <t xml:space="preserve">8609 credit total vs allocation</t>
  </si>
  <si>
    <t xml:space="preserve">Sum of 36 8609s $480,412.00 vs $480,420.00 allocation in reg agreement Special Conditions</t>
  </si>
  <si>
    <t xml:space="preserve">SA - 8609s.pdf; SA - LHFA Tax Credit Regulatory Agreement (2.14.10).pdf</t>
  </si>
  <si>
    <t xml:space="preserve">debt:all</t>
  </si>
  <si>
    <t xml:space="preserve">Spanish Arms senior interest rate</t>
  </si>
  <si>
    <t xml:space="preserve">4.01%</t>
  </si>
  <si>
    <t xml:space="preserve">5.64% note rate (no modification instrument in data room; balance-sheet-implied rate ~5.21%)</t>
  </si>
  <si>
    <t xml:space="preserve">SA - Note (12.20.07).pdf</t>
  </si>
  <si>
    <t xml:space="preserve">LOM outstanding balance vs full-note amortization</t>
  </si>
  <si>
    <t xml:space="preserve">n/a (OM silent on balances)</t>
  </si>
  <si>
    <t xml:space="preserve">Bonds Payable $4,755,915.10 at 5/2026, ~$551k below $6.5M-note schedule - implies endorsement curtailment to ~$6.123M</t>
  </si>
  <si>
    <t xml:space="preserve">LOM - Balance Sheet (5.2026).pdf vs LOM - Mortgage Note (3.1.13).PDF</t>
  </si>
  <si>
    <t xml:space="preserve">SA outstanding balance vs note-rate amortization</t>
  </si>
  <si>
    <t xml:space="preserve">Mortgage Payable $6,554,391.74 at 5/2026 vs $7,553,424 per 5.64% schedule - undocumented curtailment or rate change; open DD item</t>
  </si>
  <si>
    <t xml:space="preserve">SA - Balance Sheet (5.2026).pdf vs SA - Note (12.20.07).pdf</t>
  </si>
  <si>
    <t xml:space="preserve">NZ First Allonge (8/1/2017, 4.00%)</t>
  </si>
  <si>
    <t xml:space="preserve">not disclosed</t>
  </si>
  <si>
    <t xml:space="preserve">Referenced in Second Allonge but missing from data room</t>
  </si>
  <si>
    <t xml:space="preserve">NZ - Second Allonge and Modification of Note (2.1.22).pdf</t>
  </si>
  <si>
    <t xml:space="preserve">NZ HOME loan accrued interest</t>
  </si>
  <si>
    <t xml:space="preserve">$525,268.21 accrued at 5/2026 on top of $1,476,484.62 principal; 100% due on sale absent LHC waiver/assumption</t>
  </si>
  <si>
    <t xml:space="preserve">NZ - Balance Sheet (5.2026).pdf; NZ - HOME Loan Agreement (12.1.13).PDF Sec 1.8</t>
  </si>
  <si>
    <t xml:space="preserve">Files that could not be opened: NZ: NZ - 2025 Caddo Parrish RE Taxes.pdf (image scan, no text layer; page rendering unavailable); NZ: NZ - 2025 City of Shreveport RE Taxes.pdf (image scan, no text layer; page rendering unavailable)</t>
  </si>
  <si>
    <t xml:space="preserve">UNIT MIX + RENTS — HAP RENT ARCHITECTURE</t>
  </si>
  <si>
    <t xml:space="preserve">Five rent tiers per unit type (spec Sec. 5.2): current HAP rent (HUD schedule) -&gt; OCAF-trended to resyndication close -&gt; post-rehab (uplift) vs High HAP comp and 150% SAFMR ceilings. Spanish Arms adds the 2026 LIHTC Max column governing its non-HAP units. DD rent schedules govern over OM (Sec. 9.2).</t>
  </si>
  <si>
    <t xml:space="preserve">CLEAR HORIZONS — resyndication close:</t>
  </si>
  <si>
    <t xml:space="preserve">(OM p.10)</t>
  </si>
  <si>
    <t xml:space="preserve">HUD Rent Schedule effective</t>
  </si>
  <si>
    <t xml:space="preserve">Year-1 OCAF (published)</t>
  </si>
  <si>
    <t xml:space="preserve">OCAF bumps to close</t>
  </si>
  <si>
    <t xml:space="preserve">Trend factor</t>
  </si>
  <si>
    <t xml:space="preserve">UA</t>
  </si>
  <si>
    <t xml:space="preserve">OCAF-Trended</t>
  </si>
  <si>
    <t xml:space="preserve">LIHTC Max '26</t>
  </si>
  <si>
    <t xml:space="preserve">Cap Check</t>
  </si>
  <si>
    <t xml:space="preserve">In-Place 4/26</t>
  </si>
  <si>
    <t xml:space="preserve">Tier</t>
  </si>
  <si>
    <t xml:space="preserve">HAP</t>
  </si>
  <si>
    <t xml:space="preserve">TOTALS / MONTHLY</t>
  </si>
  <si>
    <t xml:space="preserve">Units check vs Dashboard</t>
  </si>
  <si>
    <t xml:space="preserve">NEW ZION — resyndication close:</t>
  </si>
  <si>
    <t xml:space="preserve">(OM p.17)</t>
  </si>
  <si>
    <t xml:space="preserve">LIVE OAK MANOR — resyndication close:</t>
  </si>
  <si>
    <t xml:space="preserve">(OM p.24)</t>
  </si>
  <si>
    <t xml:space="preserve">SPANISH ARMS — resyndication close:</t>
  </si>
  <si>
    <t xml:space="preserve">(OM p.31)</t>
  </si>
  <si>
    <t xml:space="preserve">2BR/1.5BA TH - HAP</t>
  </si>
  <si>
    <t xml:space="preserve">1BR/1BA - 50% AMI</t>
  </si>
  <si>
    <t xml:space="preserve">LIHTC</t>
  </si>
  <si>
    <t xml:space="preserve">1BR/1BA - 60% AMI</t>
  </si>
  <si>
    <t xml:space="preserve">2BR/1BA - 50% AMI</t>
  </si>
  <si>
    <t xml:space="preserve">2BR/1BA - 60% AMI</t>
  </si>
  <si>
    <t xml:space="preserve">2BR/1.5BA TH - 50% AMI</t>
  </si>
  <si>
    <t xml:space="preserve">2BR/1.5BA TH - 60% AMI</t>
  </si>
  <si>
    <t xml:space="preserve">3BR/1.5BA - 50% AMI</t>
  </si>
  <si>
    <t xml:space="preserve">3BR/1.5BA - 60% AMI</t>
  </si>
  <si>
    <t xml:space="preserve">N/A</t>
  </si>
  <si>
    <t xml:space="preserve">MKT</t>
  </si>
  <si>
    <t xml:space="preserve">REVENUE + EXPENSES — STABILIZED YEAR-1 SNAPSHOT (each property's close-year $)</t>
  </si>
  <si>
    <t xml:space="preserve">HAP contract-rent revenue engine per spec Sec. 5.3 — not market rents. Each column is stated in that property's resyndication-close-year dollars (rents OCAF-trended on Unit Mix+Rents; expenses trended below). Portfolio column mixes vintages — caveat.</t>
  </si>
  <si>
    <t xml:space="preserve">Portfolio (mixed-vintage)</t>
  </si>
  <si>
    <t xml:space="preserve">HAP rental income</t>
  </si>
  <si>
    <t xml:space="preserve">Non-HAP LIHTC income (SA)</t>
  </si>
  <si>
    <t xml:space="preserve">Market income (SA)</t>
  </si>
  <si>
    <t xml:space="preserve">Gross potential rent</t>
  </si>
  <si>
    <t xml:space="preserve">Other income</t>
  </si>
  <si>
    <t xml:space="preserve">HAP vacancy %</t>
  </si>
  <si>
    <t xml:space="preserve">Non-HAP vacancy %</t>
  </si>
  <si>
    <t xml:space="preserve">Vacancy adjustment</t>
  </si>
  <si>
    <t xml:space="preserve">Effective gross income (EGI)</t>
  </si>
  <si>
    <t xml:space="preserve">Operating Expenses (trended to close year; insurance on its own trend)</t>
  </si>
  <si>
    <t xml:space="preserve">Management fee</t>
  </si>
  <si>
    <t xml:space="preserve">Administrative (ex-mgmt fee)</t>
  </si>
  <si>
    <t xml:space="preserve">Operating &amp; maintenance</t>
  </si>
  <si>
    <t xml:space="preserve">Taxes (RE &amp; PP) + other T&amp;I (ex-insurance)</t>
  </si>
  <si>
    <t xml:space="preserve">Property &amp; liability insurance</t>
  </si>
  <si>
    <t xml:space="preserve">Total operating expenses</t>
  </si>
  <si>
    <t xml:space="preserve">NET OPERATING INCOME</t>
  </si>
  <si>
    <t xml:space="preserve">Replacement reserves (below NOI)</t>
  </si>
  <si>
    <t xml:space="preserve">Cash flow before debt service</t>
  </si>
  <si>
    <t xml:space="preserve">Ratios</t>
  </si>
  <si>
    <t xml:space="preserve">Opex % of EGI</t>
  </si>
  <si>
    <t xml:space="preserve">NOI % of EGI</t>
  </si>
  <si>
    <t xml:space="preserve">Opex PUPA (close-year $)</t>
  </si>
  <si>
    <t xml:space="preserve">EXPENSE DETAIL — AUDIT / BUDGET / OM / MODEL COMPARISON</t>
  </si>
  <si>
    <t xml:space="preserve">Per spec Sec. 5.4: every line compares 2025 audit | 2026 budget | OM 'market expenses' | model assumption (blue). Insurance carries its own growth rate (InsGrowth) and is never blended into the general trend. Model assumptions follow the OM market-expense basis EXCEPT insurance and taxes, which use DD-documented values (broker figures unsupported — see variance notes on OM Actuals).</t>
  </si>
  <si>
    <t xml:space="preserve">CLEAR HORIZONS</t>
  </si>
  <si>
    <t xml:space="preserve">OM Market</t>
  </si>
  <si>
    <t xml:space="preserve">Model (UW)</t>
  </si>
  <si>
    <t xml:space="preserve">PUPA</t>
  </si>
  <si>
    <t xml:space="preserve">ADMINISTRATIVE</t>
  </si>
  <si>
    <t xml:space="preserve">Advertising &amp; marketing</t>
  </si>
  <si>
    <t xml:space="preserve">Other renting expense</t>
  </si>
  <si>
    <t xml:space="preserve">Office salaries</t>
  </si>
  <si>
    <t xml:space="preserve">Office expenses</t>
  </si>
  <si>
    <t xml:space="preserve">Manager salaries</t>
  </si>
  <si>
    <t xml:space="preserve">Legal</t>
  </si>
  <si>
    <t xml:space="preserve">Audit</t>
  </si>
  <si>
    <t xml:space="preserve">Bad debts</t>
  </si>
  <si>
    <t xml:space="preserve">Misc administrative</t>
  </si>
  <si>
    <t xml:space="preserve">Total administrative</t>
  </si>
  <si>
    <t xml:space="preserve">UTILITIES</t>
  </si>
  <si>
    <t xml:space="preserve">Electricity</t>
  </si>
  <si>
    <t xml:space="preserve">Gas</t>
  </si>
  <si>
    <t xml:space="preserve">Water</t>
  </si>
  <si>
    <t xml:space="preserve">Sewer</t>
  </si>
  <si>
    <t xml:space="preserve">Total utilities</t>
  </si>
  <si>
    <t xml:space="preserve">OPERATING &amp; MAINTENANCE</t>
  </si>
  <si>
    <t xml:space="preserve">Maintenance payroll</t>
  </si>
  <si>
    <t xml:space="preserve">Supplies</t>
  </si>
  <si>
    <t xml:space="preserve">Contracts</t>
  </si>
  <si>
    <t xml:space="preserve">Garbage &amp; trash</t>
  </si>
  <si>
    <t xml:space="preserve">Security</t>
  </si>
  <si>
    <t xml:space="preserve">Heating/cooling repairs</t>
  </si>
  <si>
    <t xml:space="preserve">Misc operating &amp; maintenance</t>
  </si>
  <si>
    <t xml:space="preserve">Total operating &amp; maintenance</t>
  </si>
  <si>
    <t xml:space="preserve">TAXES &amp; INSURANCE</t>
  </si>
  <si>
    <t xml:space="preserve">Real estate &amp; personal property taxes</t>
  </si>
  <si>
    <t xml:space="preserve">Payroll taxes</t>
  </si>
  <si>
    <t xml:space="preserve">Workers compensation</t>
  </si>
  <si>
    <t xml:space="preserve">Health insurance &amp; benefits</t>
  </si>
  <si>
    <t xml:space="preserve">Misc taxes/licenses/insurance</t>
  </si>
  <si>
    <t xml:space="preserve">Total taxes &amp; insurance</t>
  </si>
  <si>
    <t xml:space="preserve">TOTAL OPERATING EXPENSES (before reserves)</t>
  </si>
  <si>
    <t xml:space="preserve">Expense PUPA check (vs OpexMinPU floor)</t>
  </si>
  <si>
    <t xml:space="preserve">NEW ZION</t>
  </si>
  <si>
    <t xml:space="preserve">LIVE OAK MANOR</t>
  </si>
  <si>
    <t xml:space="preserve">SPANISH ARMS</t>
  </si>
  <si>
    <t xml:space="preserve">REHAB SCOPE — $/UNIT BUILD-UP &amp; TENANT RELOCATION</t>
  </si>
  <si>
    <t xml:space="preserve">No CNA or rehab budget exists (spec Gap #2) — every hard-cost input on this sheet is a $40,000/unit PLACEHOLDER allocation per user decision 8/6/26. Replace with CNA data.</t>
  </si>
  <si>
    <t xml:space="preserve">Hard Costs ($/unit)</t>
  </si>
  <si>
    <t xml:space="preserve">Unit interiors</t>
  </si>
  <si>
    <t xml:space="preserve">Roofs</t>
  </si>
  <si>
    <t xml:space="preserve">HVAC</t>
  </si>
  <si>
    <t xml:space="preserve">Plumbing</t>
  </si>
  <si>
    <t xml:space="preserve">Site work</t>
  </si>
  <si>
    <t xml:space="preserve">Base hard cost / unit</t>
  </si>
  <si>
    <t xml:space="preserve">Check vs Dashboard RehabPerUnit</t>
  </si>
  <si>
    <t xml:space="preserve">Construction contingency</t>
  </si>
  <si>
    <t xml:space="preserve">GC fees (gen req + overhead + profit)</t>
  </si>
  <si>
    <t xml:space="preserve">Total rehab cost / unit (2026 $)</t>
  </si>
  <si>
    <t xml:space="preserve">Total rehab cost (2026 $)</t>
  </si>
  <si>
    <t xml:space="preserve">Hard cost / SF</t>
  </si>
  <si>
    <t xml:space="preserve">MINIMUM-REHAB TESTS (feed Scorecard)</t>
  </si>
  <si>
    <t xml:space="preserve">Base hard cost/unit vs IRC Sec.42(e)(3)(A)(ii) min</t>
  </si>
  <si>
    <t xml:space="preserve">Base hard cost/unit vs LA QAP rehab minimum</t>
  </si>
  <si>
    <t xml:space="preserve">TENANT RELOCATION (properties are 91-98% occupied — spec Sec. 5.5)</t>
  </si>
  <si>
    <t xml:space="preserve">Relocation Inputs</t>
  </si>
  <si>
    <t xml:space="preserve">Relocation method</t>
  </si>
  <si>
    <t xml:space="preserve">In-place phased</t>
  </si>
  <si>
    <t xml:space="preserve">Units relocated per month</t>
  </si>
  <si>
    <t xml:space="preserve">Downtime per unit (months)</t>
  </si>
  <si>
    <t xml:space="preserve">Temporary housing / hotel ($/unit)</t>
  </si>
  <si>
    <t xml:space="preserve">Moving costs — out ($/unit)</t>
  </si>
  <si>
    <t xml:space="preserve">Moving costs — back ($/unit)</t>
  </si>
  <si>
    <t xml:space="preserve">Meals / incidentals per-diem ($/unit)</t>
  </si>
  <si>
    <t xml:space="preserve">Storage ($/unit)</t>
  </si>
  <si>
    <t xml:space="preserve">Staff coordination ($/unit)</t>
  </si>
  <si>
    <t xml:space="preserve">Relocation $/unit</t>
  </si>
  <si>
    <t xml:space="preserve">Check vs Dashboard RelocPerUnit</t>
  </si>
  <si>
    <t xml:space="preserve">Total tenant relocation (2026 $)</t>
  </si>
  <si>
    <t xml:space="preserve">URA applicability: PENDING — if HOME/CDBG or other federal funds enter the stack, Uniform Relocation Act notices/payments apply and costs rise materially. New Zion's existing stack includes a HOME loan (DD folder). Scorecard carries a PENDING flag.</t>
  </si>
  <si>
    <t xml:space="preserve">REHAB-PERIOD REVENUE DISRUPTION</t>
  </si>
  <si>
    <t xml:space="preserve">Avg units offline during rehab</t>
  </si>
  <si>
    <t xml:space="preserve">Offline vacancy adj (% of GPR, rehab months)</t>
  </si>
  <si>
    <t xml:space="preserve">REHAB BURN CURVE — % of rehab cost drawn per month from resyndication close (M1-M18; occupied-rehab curve, spec Sec. 5.12)</t>
  </si>
  <si>
    <t xml:space="preserve">Month</t>
  </si>
  <si>
    <t xml:space="preserve">Total (must = 100%)</t>
  </si>
  <si>
    <t xml:space="preserve">Check</t>
  </si>
  <si>
    <t xml:space="preserve">SOURCES AND USES — RESYNDICATION CLOSINGS (each column in its vintage-year dollars)</t>
  </si>
  <si>
    <t xml:space="preserve">Resyndication close</t>
  </si>
  <si>
    <t xml:space="preserve">mixed vintages</t>
  </si>
  <si>
    <t xml:space="preserve">Dollars stated in each column are that close-year's dollars — rehab and fee lines cost-inflated at CostInflation (Dashboard). The Portfolio column sums MIXED-VINTAGE dollars (2026 + 2028 + 2029) — treat as indicative only (spec Sec. 2).</t>
  </si>
  <si>
    <t xml:space="preserve">SOURCES</t>
  </si>
  <si>
    <t xml:space="preserve">Perm / tax-exempt bond proceeds</t>
  </si>
  <si>
    <t xml:space="preserve">4% LIHTC equity</t>
  </si>
  <si>
    <t xml:space="preserve">Deferred developer fee</t>
  </si>
  <si>
    <t xml:space="preserve">Bridge-period cash contributed</t>
  </si>
  <si>
    <t xml:space="preserve">Soft funds REQUIRED (unfunded gap plug)</t>
  </si>
  <si>
    <t xml:space="preserve">TOTAL SOURCES</t>
  </si>
  <si>
    <t xml:space="preserve">USES</t>
  </si>
  <si>
    <t xml:space="preserve">Acquisition price</t>
  </si>
  <si>
    <t xml:space="preserve">NZ HOME loan payoff (principal + accrued)</t>
  </si>
  <si>
    <t xml:space="preserve">Rehab (hard + relocation + soft, vintage $)</t>
  </si>
  <si>
    <t xml:space="preserve">Financing fees (perm origination/placement/legal)</t>
  </si>
  <si>
    <t xml:space="preserve">Bond cost of issuance</t>
  </si>
  <si>
    <t xml:space="preserve">Bond COI $</t>
  </si>
  <si>
    <t xml:space="preserve">Construction-period interest (net)</t>
  </si>
  <si>
    <t xml:space="preserve">Operating reserve</t>
  </si>
  <si>
    <t xml:space="preserve">Developer fee</t>
  </si>
  <si>
    <t xml:space="preserve">Developer fee %</t>
  </si>
  <si>
    <t xml:space="preserve">TOTAL USES</t>
  </si>
  <si>
    <t xml:space="preserve">BALANCE &amp; MEMO</t>
  </si>
  <si>
    <t xml:space="preserve">Sources - Uses (surplus / (shortfall))</t>
  </si>
  <si>
    <t xml:space="preserve">Balanced?</t>
  </si>
  <si>
    <t xml:space="preserve">Deferred fee % of developer fee</t>
  </si>
  <si>
    <t xml:space="preserve">TDC / unit (vintage $)</t>
  </si>
  <si>
    <t xml:space="preserve">TDC limit / unit (HUD/LHC)</t>
  </si>
  <si>
    <t xml:space="preserve">S&amp;U TIMING — MONTHLY DRAWS FROM EACH RESYNDICATION CLOSE (M1-M18)</t>
  </si>
  <si>
    <t xml:space="preserve">Sizing engine (spec Sec. 5.12): equity tranches placed by pay-in month (Tax Credit Calc), uses drawn per the Rehab Scope burn curve, perm/bond draws plug the need, construction interest capitalizes on the drawn balance, and max outstanding feeds Financing. Deferred fee is excluded from cash uses.</t>
  </si>
  <si>
    <t xml:space="preserve">CLEAR HORIZONS — close:</t>
  </si>
  <si>
    <t xml:space="preserve">TOTAL</t>
  </si>
  <si>
    <t xml:space="preserve">Calendar month</t>
  </si>
  <si>
    <t xml:space="preserve">Acquisition price (M1)</t>
  </si>
  <si>
    <t xml:space="preserve">Other close payments (M1)</t>
  </si>
  <si>
    <t xml:space="preserve">Rehab draw (burn curve)</t>
  </si>
  <si>
    <t xml:space="preserve">Fees + COI + reserves (M1)</t>
  </si>
  <si>
    <t xml:space="preserve">Cash developer fee (at stabilization)</t>
  </si>
  <si>
    <t xml:space="preserve">TOTAL USES (cash)</t>
  </si>
  <si>
    <t xml:space="preserve">Equity tranches (from pay-in blocks)</t>
  </si>
  <si>
    <t xml:space="preserve">Perm/bond draw (plug to need)</t>
  </si>
  <si>
    <t xml:space="preserve">Construction interest (capitalized)</t>
  </si>
  <si>
    <t xml:space="preserve">Perm/bond outstanding balance</t>
  </si>
  <si>
    <t xml:space="preserve">Cumulative funded (equity + perm)</t>
  </si>
  <si>
    <t xml:space="preserve">Max outstanding perm/bond balance</t>
  </si>
  <si>
    <t xml:space="preserve">NEW ZION — close:</t>
  </si>
  <si>
    <t xml:space="preserve">NZ HOME payoff (M1)</t>
  </si>
  <si>
    <t xml:space="preserve">LIVE OAK MANOR — close:</t>
  </si>
  <si>
    <t xml:space="preserve">SPANISH ARMS — close:</t>
  </si>
  <si>
    <t xml:space="preserve">PORTFOLIO ROLL-UP — calendar quarters (flows summed by each property's actual close date; exposure = quarter-end total outstanding)</t>
  </si>
  <si>
    <t xml:space="preserve">Quarter beginning</t>
  </si>
  <si>
    <t xml:space="preserve">Total equity draws</t>
  </si>
  <si>
    <t xml:space="preserve">Total debt draws</t>
  </si>
  <si>
    <t xml:space="preserve">Total uses (cash)</t>
  </si>
  <si>
    <t xml:space="preserve">Cumulative capital deployed</t>
  </si>
  <si>
    <t xml:space="preserve">Total outstanding at quarter-end</t>
  </si>
  <si>
    <t xml:space="preserve">Peak concurrent exposure</t>
  </si>
  <si>
    <t xml:space="preserve">LIHTC CREDIT CALCULATIONS — ACQUISITION / REHAB RESYNDICATION</t>
  </si>
  <si>
    <t xml:space="preserve">Tax credit equity price</t>
  </si>
  <si>
    <t xml:space="preserve">GP credit share</t>
  </si>
  <si>
    <t xml:space="preserve">ACQUISITION CREDITS (no basis boost — IRC Sec.42(d)(5)(B) boost applies to new construction/rehab basis only)</t>
  </si>
  <si>
    <t xml:space="preserve">Less: land (allocation input)</t>
  </si>
  <si>
    <t xml:space="preserve">Building acquisition basis</t>
  </si>
  <si>
    <t xml:space="preserve">10-year rule / prior-credit flag</t>
  </si>
  <si>
    <t xml:space="preserve">OK — confirm transfers</t>
  </si>
  <si>
    <t xml:space="preserve">Applicable fraction</t>
  </si>
  <si>
    <t xml:space="preserve">Credit rate — 4% floor</t>
  </si>
  <si>
    <t xml:space="preserve">Annual acquisition credits</t>
  </si>
  <si>
    <t xml:space="preserve">REHAB CREDITS (130% QCT boost)</t>
  </si>
  <si>
    <t xml:space="preserve">Rehab cost incl. contingency/GC (vintage $)</t>
  </si>
  <si>
    <t xml:space="preserve">Tenant relocation in basis (vintage $)</t>
  </si>
  <si>
    <t xml:space="preserve">Soft costs in basis (% of rehab)</t>
  </si>
  <si>
    <t xml:space="preserve">Rehab eligible basis</t>
  </si>
  <si>
    <t xml:space="preserve">QCT basis boost</t>
  </si>
  <si>
    <t xml:space="preserve">Boosted rehab basis</t>
  </si>
  <si>
    <t xml:space="preserve">Annual rehab credits</t>
  </si>
  <si>
    <t xml:space="preserve">TOTAL ANNUAL CREDITS</t>
  </si>
  <si>
    <t xml:space="preserve">10-year credit total</t>
  </si>
  <si>
    <t xml:space="preserve">LP share of credits</t>
  </si>
  <si>
    <t xml:space="preserve">TAX CREDIT EQUITY (LP)</t>
  </si>
  <si>
    <t xml:space="preserve">TAX-EXEMPT BOND FINANCING TEST (25% aggregate-basis minimum — OBBBA; was 50% for pre-2026 PIS)</t>
  </si>
  <si>
    <t xml:space="preserve">Tax-exempt bond proceeds</t>
  </si>
  <si>
    <t xml:space="preserve">Aggregate basis (bldg acq + rehab, unboosted, + land)</t>
  </si>
  <si>
    <t xml:space="preserve">Bond % of aggregate basis</t>
  </si>
  <si>
    <t xml:space="preserve">Minimum required</t>
  </si>
  <si>
    <t xml:space="preserve">Bond test result</t>
  </si>
  <si>
    <t xml:space="preserve">EQUITY PAY-IN SCHEDULES — month # measured from THAT property's resyndication close; single source of truth for the Pro Formas and S&amp;U Timing (spec Sec. 5.8)</t>
  </si>
  <si>
    <t xml:space="preserve">CLEAR HORIZONS — equity pay-in (close:</t>
  </si>
  <si>
    <t xml:space="preserve">Total equity:</t>
  </si>
  <si>
    <t xml:space="preserve">Milestone</t>
  </si>
  <si>
    <t xml:space="preserve">Month #</t>
  </si>
  <si>
    <t xml:space="preserve">% of Equity</t>
  </si>
  <si>
    <t xml:space="preserve">$ Amount</t>
  </si>
  <si>
    <t xml:space="preserve">Closing</t>
  </si>
  <si>
    <t xml:space="preserve">Construction completion</t>
  </si>
  <si>
    <t xml:space="preserve">Stabilization / 8609s</t>
  </si>
  <si>
    <t xml:space="preserve">(spare)</t>
  </si>
  <si>
    <t xml:space="preserve">Total</t>
  </si>
  <si>
    <t xml:space="preserve">NEW ZION — equity pay-in (close:</t>
  </si>
  <si>
    <t xml:space="preserve">LIVE OAK MANOR — equity pay-in (close:</t>
  </si>
  <si>
    <t xml:space="preserve">SPANISH ARMS — equity pay-in (close:</t>
  </si>
  <si>
    <t xml:space="preserve">BRIDGE PERIOD — ACQUISITION TO RESYNDICATION CLOSE (assumed debt, current rents + OCAF)</t>
  </si>
  <si>
    <t xml:space="preserve">Cumulative bridge cash flow can be NEGATIVE (Clear Horizons runs negative at current NOI) — it feeds the Max Price Solver as carry cost (spec Sec. 5.7). Revenue at executed HUD schedule rents with OCAF anniversaries; expenses at actual 2026-budget basis trended; reserves deposited; debt service at note terms.</t>
  </si>
  <si>
    <t xml:space="preserve">Portfolio bridge CF:</t>
  </si>
  <si>
    <t xml:space="preserve">CLEAR HORIZONS — acquisition to close</t>
  </si>
  <si>
    <t xml:space="preserve">P&amp;I/mo:</t>
  </si>
  <si>
    <t xml:space="preserve">Quarter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</si>
  <si>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</si>
  <si>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</si>
  <si>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</si>
  <si>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</si>
  <si>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</si>
  <si>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</si>
  <si>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</si>
  <si>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</si>
  <si>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</si>
  <si>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Quarter start</t>
  </si>
  <si>
    <t xml:space="preserve">Months in quarter (to close)</t>
  </si>
  <si>
    <t xml:space="preserve">OCAF anniversaries since schedule</t>
  </si>
  <si>
    <t xml:space="preserve">GPR / month (schedule + OCAF)</t>
  </si>
  <si>
    <t xml:space="preserve">Revenue (net of vacancy + other inc)</t>
  </si>
  <si>
    <t xml:space="preserve">Operating expenses (actual basis)</t>
  </si>
  <si>
    <t xml:space="preserve">Replacement reserve deposits</t>
  </si>
  <si>
    <t xml:space="preserve">NOI (after reserves)</t>
  </si>
  <si>
    <t xml:space="preserve">Assumed debt service</t>
  </si>
  <si>
    <t xml:space="preserve">Net cash flow</t>
  </si>
  <si>
    <t xml:space="preserve">Cumulative cash flow</t>
  </si>
  <si>
    <t xml:space="preserve">Bridge DSCR (period total)</t>
  </si>
  <si>
    <t xml:space="preserve">NEW ZION — acquisition to close</t>
  </si>
  <si>
    <t xml:space="preserve">LIVE OAK MANOR — acquisition to close</t>
  </si>
  <si>
    <t xml:space="preserve">SPANISH ARMS — acquisition to close</t>
  </si>
  <si>
    <t xml:space="preserve">Spanish Arms resyndicates at acquisition — 0-month bridge by design.</t>
  </si>
  <si>
    <t xml:space="preserve">FINANCING ASSUMPTIONS — ASSUMED DEBT &amp; RESYNDICATION PERM</t>
  </si>
  <si>
    <t xml:space="preserve">Module A: actual note terms per DD loan documents (Gap #3 resolved). Module B: refi perm sizing at TargetReturn DSCR and LTV cap. Module C: strategy toggle — the assumable-rate arbitrage is shown side-by-side, not buried (spec Sec. 5.9).</t>
  </si>
  <si>
    <t xml:space="preserve">MODULE A — ASSUMED 221(d)(4) DEBT</t>
  </si>
  <si>
    <t xml:space="preserve">Lender / program</t>
  </si>
  <si>
    <t xml:space="preserve">Centerline / FHA 221(d)(4)</t>
  </si>
  <si>
    <t xml:space="preserve">Highland / FHA 221(d)(4)</t>
  </si>
  <si>
    <t xml:space="preserve">Highland / FHA 221(d)(4) (bond-funded)</t>
  </si>
  <si>
    <t xml:space="preserve">Prudential Huntoon Paige / FHA (2007 bonds)</t>
  </si>
  <si>
    <t xml:space="preserve">Original principal</t>
  </si>
  <si>
    <t xml:space="preserve">Note rate (current)</t>
  </si>
  <si>
    <t xml:space="preserve">Monthly P&amp;I</t>
  </si>
  <si>
    <t xml:space="preserve">Maturity</t>
  </si>
  <si>
    <t xml:space="preserve">Balance per 5/31/26 balance sheet</t>
  </si>
  <si>
    <t xml:space="preserve">Est. balance at acquisition (12/1/26)</t>
  </si>
  <si>
    <t xml:space="preserve">Est. balance at resyndication close</t>
  </si>
  <si>
    <t xml:space="preserve">Annual assumed debt service</t>
  </si>
  <si>
    <t xml:space="preserve">Prepayment terms</t>
  </si>
  <si>
    <t xml:space="preserve">6% premium through 3/31/27, declining 1%/yr; 0% from 4/1/2032</t>
  </si>
  <si>
    <t xml:space="preserve">6% premium through 2/28/27, declining 1%/yr; 0% from 3/1/2032</t>
  </si>
  <si>
    <t xml:space="preserve">Freely prepayable now (premiums ended 5/1/2024), 30 days notice</t>
  </si>
  <si>
    <t xml:space="preserve">Freely prepayable now (premiums ended 2/28/2017), 30 days notice</t>
  </si>
  <si>
    <t xml:space="preserve">Assumption</t>
  </si>
  <si>
    <t xml:space="preserve">HUD TPA approval required</t>
  </si>
  <si>
    <t xml:space="preserve">NZ HOME loan (subordinate soft debt)</t>
  </si>
  <si>
    <t xml:space="preserve">NZ HOME accrued interest (est. at close)</t>
  </si>
  <si>
    <t xml:space="preserve">NZ HOME treatment at resyndication</t>
  </si>
  <si>
    <t xml:space="preserve">Repay at close</t>
  </si>
  <si>
    <t xml:space="preserve">MODULE B — RESYNDICATION PERM DEBT (refi)</t>
  </si>
  <si>
    <t xml:space="preserve">Stabilized Yr-1 NOI (close-year $)</t>
  </si>
  <si>
    <t xml:space="preserve">Sizing DSCR</t>
  </si>
  <si>
    <t xml:space="preserve">Mortgage constant</t>
  </si>
  <si>
    <t xml:space="preserve">Max loan by DSCR</t>
  </si>
  <si>
    <t xml:space="preserve">LTV cap $ (LTVCap x TDC proxy)</t>
  </si>
  <si>
    <t xml:space="preserve">Perm loan (refi)</t>
  </si>
  <si>
    <t xml:space="preserve">Perm annual debt service</t>
  </si>
  <si>
    <t xml:space="preserve">Perm DSCR check</t>
  </si>
  <si>
    <t xml:space="preserve">Financing fees % (orig + placement + legal)</t>
  </si>
  <si>
    <t xml:space="preserve">Financing fees $</t>
  </si>
  <si>
    <t xml:space="preserve">MODULE C — STRATEGY TOGGLE &amp; SIDE-BY-SIDE</t>
  </si>
  <si>
    <t xml:space="preserve">Debt strategy (Dashboard toggle)</t>
  </si>
  <si>
    <t xml:space="preserve">Proceeds — refinance</t>
  </si>
  <si>
    <t xml:space="preserve">Proceeds — assume &amp; hold (balance at close)</t>
  </si>
  <si>
    <t xml:space="preserve">DSCR — refinance</t>
  </si>
  <si>
    <t xml:space="preserve">DSCR — assume &amp; hold</t>
  </si>
  <si>
    <t xml:space="preserve">SELECTED perm proceeds at close</t>
  </si>
  <si>
    <t xml:space="preserve">SELECTED annual debt service</t>
  </si>
  <si>
    <t xml:space="preserve">SELECTED DSCR</t>
  </si>
  <si>
    <t xml:space="preserve">Rate arbitrage note: CH/NZ/LOM notes carry 2.70%-3.15% vs ~6% market — assuming preserves cheap debt but yields lower proceeds; SA's documented 5.64% note rate offers NO arbitrage vs the OM's 4.01% claim.</t>
  </si>
  <si>
    <t xml:space="preserve">CASH FLOW FORECAST — CLEAR HORIZONS</t>
  </si>
  <si>
    <t xml:space="preserve">20 years from this property's resyndication close. Rehab-period offline disruption per Rehab Scope; debt service per the amortization block below (strategy toggle on Dashboard). Equity pay-ins reference the Tax Credit Calc block — single source of truth.</t>
  </si>
  <si>
    <t xml:space="preserve">Year</t>
  </si>
  <si>
    <t xml:space="preserve">Yr 1</t>
  </si>
  <si>
    <t xml:space="preserve">Yr 2</t>
  </si>
  <si>
    <t xml:space="preserve">Yr 3</t>
  </si>
  <si>
    <t xml:space="preserve">Yr 4</t>
  </si>
  <si>
    <t xml:space="preserve">Yr 5</t>
  </si>
  <si>
    <t xml:space="preserve">Yr 6</t>
  </si>
  <si>
    <t xml:space="preserve">Yr 7</t>
  </si>
  <si>
    <t xml:space="preserve">Yr 8</t>
  </si>
  <si>
    <t xml:space="preserve">Yr 9</t>
  </si>
  <si>
    <t xml:space="preserve">Yr 10</t>
  </si>
  <si>
    <t xml:space="preserve">Yr 11</t>
  </si>
  <si>
    <t xml:space="preserve">Yr 12</t>
  </si>
  <si>
    <t xml:space="preserve">Yr 13</t>
  </si>
  <si>
    <t xml:space="preserve">Yr 14</t>
  </si>
  <si>
    <t xml:space="preserve">Yr 15</t>
  </si>
  <si>
    <t xml:space="preserve">Yr 16</t>
  </si>
  <si>
    <t xml:space="preserve">Yr 17</t>
  </si>
  <si>
    <t xml:space="preserve">Yr 18</t>
  </si>
  <si>
    <t xml:space="preserve">Yr 19</t>
  </si>
  <si>
    <t xml:space="preserve">Yr 20</t>
  </si>
  <si>
    <t xml:space="preserve">Calendar year</t>
  </si>
  <si>
    <t xml:space="preserve">Gross rental income</t>
  </si>
  <si>
    <t xml:space="preserve">Gross revenue</t>
  </si>
  <si>
    <t xml:space="preserve">Vacancy</t>
  </si>
  <si>
    <t xml:space="preserve">Rehab offline adjustment</t>
  </si>
  <si>
    <t xml:space="preserve">Net revenue</t>
  </si>
  <si>
    <t xml:space="preserve">Operating Expenses</t>
  </si>
  <si>
    <t xml:space="preserve">Administrative (ex-mgmt)</t>
  </si>
  <si>
    <t xml:space="preserve">Taxes + other T&amp;I (ex-insurance)</t>
  </si>
  <si>
    <t xml:space="preserve">Property insurance</t>
  </si>
  <si>
    <t xml:space="preserve">Replacement reserves</t>
  </si>
  <si>
    <t xml:space="preserve">Debt service — interest</t>
  </si>
  <si>
    <t xml:space="preserve">Debt service — principal</t>
  </si>
  <si>
    <t xml:space="preserve">Cash flow after debt service</t>
  </si>
  <si>
    <t xml:space="preserve">Asset management fee</t>
  </si>
  <si>
    <t xml:space="preserve">CASH AVAILABLE AFTER FEES</t>
  </si>
  <si>
    <t xml:space="preserve">Surplus cash distribution — see the Waterfall tab</t>
  </si>
  <si>
    <t xml:space="preserve">Equity pay-ins received (memo)</t>
  </si>
  <si>
    <t xml:space="preserve">Ratios &amp; Assumptions</t>
  </si>
  <si>
    <t xml:space="preserve">Revenue growth (OCAF x haircut)</t>
  </si>
  <si>
    <t xml:space="preserve">Expense growth</t>
  </si>
  <si>
    <t xml:space="preserve">LOAN AMORTIZATION (selected strategy)</t>
  </si>
  <si>
    <t xml:space="preserve">Rate</t>
  </si>
  <si>
    <t xml:space="preserve">Beginning balance</t>
  </si>
  <si>
    <t xml:space="preserve">Interest</t>
  </si>
  <si>
    <t xml:space="preserve">Principal</t>
  </si>
  <si>
    <t xml:space="preserve">Ending balance</t>
  </si>
  <si>
    <t xml:space="preserve">Annual payment</t>
  </si>
  <si>
    <t xml:space="preserve">SURPLUS CASH-RESERVE WATERFALL — CLEAR HORIZONS</t>
  </si>
  <si>
    <t xml:space="preserve">SURPLUS CASH AVAILABLE</t>
  </si>
  <si>
    <t xml:space="preserve">Less: deferred developer fee payment</t>
  </si>
  <si>
    <t xml:space="preserve">Less: soft-loan payment</t>
  </si>
  <si>
    <t xml:space="preserve">Less: reserve top-up</t>
  </si>
  <si>
    <t xml:space="preserve">Total distributed</t>
  </si>
  <si>
    <t xml:space="preserve">Undistributed surplus / (deficit)</t>
  </si>
  <si>
    <t xml:space="preserve">DEFERRED DEVELOPER FEE PAYDOWN</t>
  </si>
  <si>
    <t xml:space="preserve">Less: payment</t>
  </si>
  <si>
    <t xml:space="preserve">SOFT LOAN PAYDOWN</t>
  </si>
  <si>
    <t xml:space="preserve">RESERVE ACCOUNT</t>
  </si>
  <si>
    <t xml:space="preserve">Plus: reserve funding</t>
  </si>
  <si>
    <t xml:space="preserve">Less: operating-deficit draw</t>
  </si>
  <si>
    <t xml:space="preserve">Target (operating reserve)</t>
  </si>
  <si>
    <t xml:space="preserve">DDF fully repaid in year</t>
  </si>
  <si>
    <t xml:space="preserve">CASH FLOW FORECAST — NEW ZION</t>
  </si>
  <si>
    <t xml:space="preserve">SURPLUS CASH-RESERVE WATERFALL — NEW ZION</t>
  </si>
  <si>
    <t xml:space="preserve">NZ HOME loan is repaid at the resyndication close (see Financing) — the soft-loan block above is for any future soft money.</t>
  </si>
  <si>
    <t xml:space="preserve">CASH FLOW FORECAST — LIVE OAK MANOR</t>
  </si>
  <si>
    <t xml:space="preserve">SURPLUS CASH-RESERVE WATERFALL — LIVE OAK MANOR</t>
  </si>
  <si>
    <t xml:space="preserve">CASH FLOW FORECAST — SPANISH ARMS</t>
  </si>
  <si>
    <t xml:space="preserve">SURPLUS CASH-RESERVE WATERFALL — SPANISH ARMS</t>
  </si>
  <si>
    <t xml:space="preserve">MAX PRICE SOLVER — DSCR-CONSTRAINED BACKSOLVE (price is an OUTPUT)</t>
  </si>
  <si>
    <t xml:space="preserve">For each candidate price: equity (acq credits vary with price), developer fee, uses and sources are recomputed; sources include the perm loan, LIHTC equity, and any positive bridge-period cash — NOT the S&amp;U unfunded-gap plug. Feasible while the gap is absorbed by a fully-deferred developer fee. Max stack price via INDEX/MATCH; negative bridge carry then reduces it (spec Secs. 5.7/5.10).</t>
  </si>
  <si>
    <t xml:space="preserve">CLEAR HORIZONS — price grid</t>
  </si>
  <si>
    <t xml:space="preserve">Price step</t>
  </si>
  <si>
    <t xml:space="preserve">Price</t>
  </si>
  <si>
    <t xml:space="preserve">Equity</t>
  </si>
  <si>
    <t xml:space="preserve">Dev fee</t>
  </si>
  <si>
    <t xml:space="preserve">Uses</t>
  </si>
  <si>
    <t xml:space="preserve">Sources w/o DDF</t>
  </si>
  <si>
    <t xml:space="preserve">Gap</t>
  </si>
  <si>
    <t xml:space="preserve">DDF</t>
  </si>
  <si>
    <t xml:space="preserve">Shortfall</t>
  </si>
  <si>
    <t xml:space="preserve">Feasible</t>
  </si>
  <si>
    <t xml:space="preserve">Max stack-feasible price</t>
  </si>
  <si>
    <t xml:space="preserve">Price / unit</t>
  </si>
  <si>
    <t xml:space="preserve">Negative bridge carry (cost)</t>
  </si>
  <si>
    <t xml:space="preserve">OM comp wtd avg $/unit</t>
  </si>
  <si>
    <t xml:space="preserve">MAX SUPPORTABLE PRICE</t>
  </si>
  <si>
    <t xml:space="preserve">Implied cap — OM proforma NOI</t>
  </si>
  <si>
    <t xml:space="preserve">Implied cap — 2026 budget NOI</t>
  </si>
  <si>
    <t xml:space="preserve">NEW ZION — price grid</t>
  </si>
  <si>
    <t xml:space="preserve">LIVE OAK MANOR — price grid</t>
  </si>
  <si>
    <t xml:space="preserve">SPANISH ARMS — price grid</t>
  </si>
  <si>
    <t xml:space="preserve">PORTFOLIO</t>
  </si>
  <si>
    <t xml:space="preserve">PORTFOLIO MAX PRICE (sum of four)</t>
  </si>
  <si>
    <t xml:space="preserve">Portfolio price / unit (507 units)</t>
  </si>
  <si>
    <t xml:space="preserve">Note: solver grid uses the live construction-interest and perm-sizing cells, which depend on the Dashboard acquisition prices; after the solver writes prices to the Dashboard the loop is converged (iterated during build).</t>
  </si>
  <si>
    <t xml:space="preserve">PORTFOLIO CONSOLIDATION — CALENDAR PRO FORMA 2026-2046</t>
  </si>
  <si>
    <t xml:space="preserve">Each property shows bridge-period figures before its resyndication year and post-resyn Pro Forma figures after (rehab disruption included). Bridge years are partial-year cash flows summed from the quarterly Bridge Period grid.</t>
  </si>
  <si>
    <t xml:space="preserve">Note: a property's Pro Forma year n maps to calendar year close-year + n - 1 (fiscal-to-calendar approximation for closes mid-year).</t>
  </si>
  <si>
    <t xml:space="preserve">REVENUE (net)</t>
  </si>
  <si>
    <t xml:space="preserve">OPERATING EXPENSES (incl. reserves; bridge: opex + reserve deposits)</t>
  </si>
  <si>
    <t xml:space="preserve">DEBT SERVICE</t>
  </si>
  <si>
    <t xml:space="preserve">DSCR (NOI / debt service; blended = portfolio NOI / portfolio DS)</t>
  </si>
  <si>
    <t xml:space="preserve">BLENDED</t>
  </si>
  <si>
    <t xml:space="preserve">CASH FLOW AFTER FEES</t>
  </si>
  <si>
    <t xml:space="preserve">DEFERRED DEVELOPER FEE — ENDING BALANCE</t>
  </si>
  <si>
    <t xml:space="preserve">CUMULATIVE DISTRIBUTIONS (waterfall total distributed)</t>
  </si>
  <si>
    <t xml:space="preserve">PORTFOLIO SUMMARY</t>
  </si>
  <si>
    <t xml:space="preserve">Portfolio max price (Solver)</t>
  </si>
  <si>
    <t xml:space="preserve">Blended stabilized DSCR (first full post-resyn year, 2030)</t>
  </si>
  <si>
    <t xml:space="preserve">Portfolio DDF payback year</t>
  </si>
  <si>
    <t xml:space="preserve">SENSITIVITIES — portfolio max price (computed by the solver; see Max Price Solver notes)</t>
  </si>
  <si>
    <t xml:space="preserve">Scenario</t>
  </si>
  <si>
    <t xml:space="preserve">BASE (OCAF 2.5%, ins 6%, equity $0.80, rehab $40k/u)</t>
  </si>
  <si>
    <t xml:space="preserve">OCAF 2.0%</t>
  </si>
  <si>
    <t xml:space="preserve">OCAF 3.0%</t>
  </si>
  <si>
    <t xml:space="preserve">Insurance growth 4.0%</t>
  </si>
  <si>
    <t xml:space="preserve">Insurance growth 8.0%</t>
  </si>
  <si>
    <t xml:space="preserve">Equity price $0.75</t>
  </si>
  <si>
    <t xml:space="preserve">Equity price $0.85</t>
  </si>
  <si>
    <t xml:space="preserve">Rehab $25,000/unit</t>
  </si>
  <si>
    <t xml:space="preserve">Rehab $55,000/unit</t>
  </si>
  <si>
    <t xml:space="preserve">PORTFOLIO TIMELINE — TCCP / HAP / RESYNDICATION WINDOWS</t>
  </si>
  <si>
    <t xml:space="preserve">Property</t>
  </si>
  <si>
    <t xml:space="preserve">TCCP ends (15-yr compliance)</t>
  </si>
  <si>
    <t xml:space="preserve">HAP contract expires</t>
  </si>
  <si>
    <t xml:space="preserve">Resyndication window (eligible on)</t>
  </si>
  <si>
    <t xml:space="preserve">Planned close + rehab</t>
  </si>
  <si>
    <t xml:space="preserve">Legend: TCCP = final year of initial tax-credit compliance period · HAP = HAP contract expiration · ---- = resyndication-eligible window · XXXX = planned close-to-rehab-completion span (Dashboard dates).</t>
  </si>
  <si>
    <t xml:space="preserve">Spanish Arms TCCP ended 2023 (outside grid) — immediately eligible.</t>
  </si>
  <si>
    <t xml:space="preserve">QAP RULE REGISTER</t>
  </si>
  <si>
    <t xml:space="preserve">LIHTC deal-tracker — QAP rules engine mirror · adapted for the Louisiana HAP Portfolio acquisition/resyndication model</t>
  </si>
  <si>
    <t xml:space="preserve">QAP Basis:</t>
  </si>
  <si>
    <t xml:space="preserve">Louisiana 2025 QAP — PENDING: confirm 2026 QAP values before relying on fee caps/thresholds (spec Gap #6)</t>
  </si>
  <si>
    <t xml:space="preserve">rule_id</t>
  </si>
  <si>
    <t xml:space="preserve">group</t>
  </si>
  <si>
    <t xml:space="preserve">category</t>
  </si>
  <si>
    <t xml:space="preserve">scope</t>
  </si>
  <si>
    <t xml:space="preserve">operator</t>
  </si>
  <si>
    <t xml:space="preserve">threshold_value</t>
  </si>
  <si>
    <t xml:space="preserve">threshold_text</t>
  </si>
  <si>
    <t xml:space="preserve">pass_logic</t>
  </si>
  <si>
    <t xml:space="preserve">model_cells</t>
  </si>
  <si>
    <t xml:space="preserve">dashboard_kpi_id</t>
  </si>
  <si>
    <t xml:space="preserve">notes</t>
  </si>
  <si>
    <t xml:space="preserve">ELG-9PCT-BOND</t>
  </si>
  <si>
    <t xml:space="preserve">Credit Structure</t>
  </si>
  <si>
    <t xml:space="preserve">9% credit + tax-exempt bonds</t>
  </si>
  <si>
    <t xml:space="preserve">eligibility</t>
  </si>
  <si>
    <t xml:space="preserve">COMPUTED</t>
  </si>
  <si>
    <t xml:space="preserve">eq</t>
  </si>
  <si>
    <t xml:space="preserve">Mutually exclusive</t>
  </si>
  <si>
    <t xml:space="preserve">IF CreditType=9% then 'Sources &amp; Uses'!I12 = 0</t>
  </si>
  <si>
    <t xml:space="preserve">Sources &amp; Uses'!I12</t>
  </si>
  <si>
    <t xml:space="preserve">QAP §II · IRC §42(h)(4)</t>
  </si>
  <si>
    <t xml:space="preserve">Evaluated only when 9% competitive; N/A for 4% bond.</t>
  </si>
  <si>
    <t xml:space="preserve">ELG-4PCT-BOND</t>
  </si>
  <si>
    <t xml:space="preserve">4% credit requires bonds</t>
  </si>
  <si>
    <t xml:space="preserve">gt</t>
  </si>
  <si>
    <t xml:space="preserve">Bonds required</t>
  </si>
  <si>
    <t xml:space="preserve">IF CreditType=4% then 'Sources &amp; Uses'!I12 &gt; 0</t>
  </si>
  <si>
    <t xml:space="preserve">ELG-POOL-CAP</t>
  </si>
  <si>
    <t xml:space="preserve">Credit Sizing</t>
  </si>
  <si>
    <t xml:space="preserve">Per-project LIHTC pool cap</t>
  </si>
  <si>
    <t xml:space="preserve">lte</t>
  </si>
  <si>
    <t xml:space="preserve">$1.0M rural / $1.5M metro / $1.0M rural QNP-CHDO / uncapped reprocessing</t>
  </si>
  <si>
    <t xml:space="preserve">IF 9%: 'Tax Credit Calc'!F21 &lt;= pool cap (by pool toggle); 4% -&gt; N/A</t>
  </si>
  <si>
    <t xml:space="preserve">Tax Credit Calc'!F21</t>
  </si>
  <si>
    <t xml:space="preserve">QAP §II.B.1</t>
  </si>
  <si>
    <t xml:space="preserve">Cap toggle-dependent (see params). N/A for 4% bond (draws PAB volume cap).</t>
  </si>
  <si>
    <t xml:space="preserve">ELG-CREDIT-MAX</t>
  </si>
  <si>
    <t xml:space="preserve">Maximum allowable credit</t>
  </si>
  <si>
    <t xml:space="preserve">MIN(basis method, equity-gap method)</t>
  </si>
  <si>
    <t xml:space="preserve">Tax Credit Calc'!F21 &lt;= MIN(basis credit, gap credit)</t>
  </si>
  <si>
    <t xml:space="preserve">QAP §II.B · §IV.D</t>
  </si>
  <si>
    <t xml:space="preserve">Gap credit = (TDC-debt-soft-deferred)/price/10 / LP-fraction. Assumption flagged.</t>
  </si>
  <si>
    <t xml:space="preserve">ELG-BOOST-30</t>
  </si>
  <si>
    <t xml:space="preserve">Construction basis boost cap</t>
  </si>
  <si>
    <t xml:space="preserve">&lt;= 30%</t>
  </si>
  <si>
    <t xml:space="preserve">Tax Credit Calc'!F16 &lt;= 30%</t>
  </si>
  <si>
    <t xml:space="preserve">Tax Credit Calc'!F16</t>
  </si>
  <si>
    <t xml:space="preserve">QAP §II.C</t>
  </si>
  <si>
    <t xml:space="preserve">ELG-BOOST-ELIGIBILITY</t>
  </si>
  <si>
    <t xml:space="preserve">Basis boost geographic eligibility</t>
  </si>
  <si>
    <t xml:space="preserve">INPUT</t>
  </si>
  <si>
    <t xml:space="preserve">Qualifying geography required</t>
  </si>
  <si>
    <t xml:space="preserve">IF boost claimed: geography eligible (input M6)</t>
  </si>
  <si>
    <t xml:space="preserve">Dashboard input M6</t>
  </si>
  <si>
    <t xml:space="preserve">QCT/DDA/Tribal/disaster/FFIEC (9%); QCT or DDA only (bond). Needs input M6.</t>
  </si>
  <si>
    <t xml:space="preserve">ELG-EQUITY-MATCH</t>
  </si>
  <si>
    <t xml:space="preserve">LIHTC equity reconciliation</t>
  </si>
  <si>
    <t xml:space="preserve">APP-SIDE</t>
  </si>
  <si>
    <t xml:space="preserve">Must match</t>
  </si>
  <si>
    <t xml:space="preserve">§18.10 LIHTC equity = syndication gross equity (app-form)</t>
  </si>
  <si>
    <t xml:space="preserve">(application form)</t>
  </si>
  <si>
    <t xml:space="preserve">QAP §IV.D.2</t>
  </si>
  <si>
    <t xml:space="preserve">App-side: needs §18.10 equity field. Excluded from verdict rollup.</t>
  </si>
  <si>
    <t xml:space="preserve">UW-DSCR-Y1</t>
  </si>
  <si>
    <t xml:space="preserve">Annual DSCR band (house rule, all yrs)</t>
  </si>
  <si>
    <t xml:space="preserve">underwriting</t>
  </si>
  <si>
    <t xml:space="preserve">between</t>
  </si>
  <si>
    <t xml:space="preserve">1.15 – 1.40</t>
  </si>
  <si>
    <t xml:space="preserve">MIN(DSCR Yr2-17) &gt;= 1.15 AND MAX &lt;= 1.40</t>
  </si>
  <si>
    <t xml:space="preserve">17-year Pro Forma'! row25 / (row29+row30), cols E:T</t>
  </si>
  <si>
    <t xml:space="preserve">DSCR-GATE</t>
  </si>
  <si>
    <t xml:space="preserve">QAP §IV.D.6</t>
  </si>
  <si>
    <t xml:space="preserve">Primary gate. Numerator = NOI before repl reserves. Yr1 excluded (lease-up). DSCR floor is a house rule.</t>
  </si>
  <si>
    <t xml:space="preserve">UW-DSCR-15</t>
  </si>
  <si>
    <t xml:space="preserve">15-year projected DSCR (QAP spot)</t>
  </si>
  <si>
    <t xml:space="preserve">1.00 – 1.40</t>
  </si>
  <si>
    <t xml:space="preserve">1.00 &lt;= DSCR &lt;= 1.40 at Yr5/10/15</t>
  </si>
  <si>
    <t xml:space="preserve">17-year Pro Forma'! row25/(row29+row30) cols H,M,R</t>
  </si>
  <si>
    <t xml:space="preserve">QAP spot-check subset of the annual gate.</t>
  </si>
  <si>
    <t xml:space="preserve">FEE-DEVELOPER</t>
  </si>
  <si>
    <t xml:space="preserve">Fee Limits</t>
  </si>
  <si>
    <t xml:space="preserve">MIN($2.0M, 15% of base); no cap for 4% bond</t>
  </si>
  <si>
    <t xml:space="preserve">IF 4% bond: PASS (no cap); else I66 &lt;= MIN(2,000,000, 15%*I83)</t>
  </si>
  <si>
    <t xml:space="preserve">Sources &amp; Uses'!I65 (base I82)</t>
  </si>
  <si>
    <t xml:space="preserve">QAP §IV.D.18</t>
  </si>
  <si>
    <t xml:space="preserve">FEE-ARCHITECT</t>
  </si>
  <si>
    <t xml:space="preserve">Architect / build-design fee</t>
  </si>
  <si>
    <t xml:space="preserve">&lt;= 7% of construction contract</t>
  </si>
  <si>
    <t xml:space="preserve">Sources &amp; Uses'!I46 &lt;= 7% * I43</t>
  </si>
  <si>
    <t xml:space="preserve">Sources &amp; Uses'!I46 (contract I43)</t>
  </si>
  <si>
    <t xml:space="preserve">QAP §IV.D.19</t>
  </si>
  <si>
    <t xml:space="preserve">Construction contract = Total Hard Costs I43 (assumption).</t>
  </si>
  <si>
    <t xml:space="preserve">FEE-BUILDER-PROFIT</t>
  </si>
  <si>
    <t xml:space="preserve">Builder profit</t>
  </si>
  <si>
    <t xml:space="preserve">&lt;= 6% of builder-profit base</t>
  </si>
  <si>
    <t xml:space="preserve">Sources &amp; Uses'!I40 &lt;= 6% * I82</t>
  </si>
  <si>
    <t xml:space="preserve">Sources &amp; Uses'!I40 (base I81)</t>
  </si>
  <si>
    <t xml:space="preserve">QAP §IV.D.20</t>
  </si>
  <si>
    <t xml:space="preserve">FEE-BUILDER-OVERHEAD</t>
  </si>
  <si>
    <t xml:space="preserve">Builder overhead</t>
  </si>
  <si>
    <t xml:space="preserve">&lt;= 2% of builder-profit base</t>
  </si>
  <si>
    <t xml:space="preserve">Sources &amp; Uses'!I39 &lt;= 2% * I82</t>
  </si>
  <si>
    <t xml:space="preserve">Sources &amp; Uses'!I39 (base I82)</t>
  </si>
  <si>
    <t xml:space="preserve">QAP §IV.D.21</t>
  </si>
  <si>
    <t xml:space="preserve">Exactly at 2% cap.</t>
  </si>
  <si>
    <t xml:space="preserve">FEE-GENERAL-REQUIREMENTS</t>
  </si>
  <si>
    <t xml:space="preserve">General requirements</t>
  </si>
  <si>
    <t xml:space="preserve">Sources &amp; Uses'!I38 &lt;= 6% * I82</t>
  </si>
  <si>
    <t xml:space="preserve">Sources &amp; Uses'!I38 (base I82)</t>
  </si>
  <si>
    <t xml:space="preserve">QAP §IV.D.23</t>
  </si>
  <si>
    <t xml:space="preserve">Exactly at 6% cap.</t>
  </si>
  <si>
    <t xml:space="preserve">FEE-CONTINGENCY</t>
  </si>
  <si>
    <t xml:space="preserve">&lt;= 10% of construction contract</t>
  </si>
  <si>
    <t xml:space="preserve">Sources &amp; Uses'!I41 &lt;= 10% * I43</t>
  </si>
  <si>
    <t xml:space="preserve">Sources &amp; Uses'!I41 (base SUM I34:I40)</t>
  </si>
  <si>
    <t xml:space="preserve">QAP §IV.D</t>
  </si>
  <si>
    <t xml:space="preserve">Operating &amp; Reserves</t>
  </si>
  <si>
    <t xml:space="preserve">Minimum operating expenses</t>
  </si>
  <si>
    <t xml:space="preserve">gte</t>
  </si>
  <si>
    <t xml:space="preserve">&gt;= $4,500 per unit per year</t>
  </si>
  <si>
    <t xml:space="preserve">17-year Pro Forma'!E24 &gt;= 4500 * units</t>
  </si>
  <si>
    <t xml:space="preserve">17-year Pro Forma'!E23; Units</t>
  </si>
  <si>
    <t xml:space="preserve">QAP §IV.D.13</t>
  </si>
  <si>
    <t xml:space="preserve">Units = 'Unit Mix+Rents'!D10 = 468.</t>
  </si>
  <si>
    <t xml:space="preserve">UW-OPERATING-RESERVE-6MO</t>
  </si>
  <si>
    <t xml:space="preserve">Operating reserve minimum</t>
  </si>
  <si>
    <t xml:space="preserve">&gt;= 6 months (0.5x annual opex)</t>
  </si>
  <si>
    <t xml:space="preserve">Sources &amp; Uses'!I67 &gt;= 0.5 * 'PF'!E24</t>
  </si>
  <si>
    <t xml:space="preserve">Sources &amp; Uses'!I67; 'PF'!E23</t>
  </si>
  <si>
    <t xml:space="preserve">QAP §IV.D.14</t>
  </si>
  <si>
    <t xml:space="preserve">6-mo = half of annual stabilized opex. I67 (Operating Deficit Guarantee Reserve) = QAP standing requirement + lease-up deficits consumed during construction, s</t>
  </si>
  <si>
    <t xml:space="preserve">FEE-ASSET-MGMT-CAP</t>
  </si>
  <si>
    <t xml:space="preserve">Asset-management fee cap (opex)</t>
  </si>
  <si>
    <t xml:space="preserve">&lt;= $5,000 / year</t>
  </si>
  <si>
    <t xml:space="preserve">Combined AM fee in OPEX &lt;= $5,000/yr</t>
  </si>
  <si>
    <t xml:space="preserve">(no AM line inside opex)</t>
  </si>
  <si>
    <t xml:space="preserve">QAP §IV.D.3 · §44</t>
  </si>
  <si>
    <t xml:space="preserve">UW-RESERVE-PUPA</t>
  </si>
  <si>
    <t xml:space="preserve">Replacement-reserve deposit minimum</t>
  </si>
  <si>
    <t xml:space="preserve">$300 senior / $350 family / $500 rehab per unit/yr</t>
  </si>
  <si>
    <t xml:space="preserve">17-year Pro Forma'!D28 / units &gt;= project-type floor</t>
  </si>
  <si>
    <t xml:space="preserve">17-year Pro Forma'!D28; Units</t>
  </si>
  <si>
    <t xml:space="preserve">QAP §IV.D.10</t>
  </si>
  <si>
    <t xml:space="preserve">UW-RESERVE-ADEQUACY</t>
  </si>
  <si>
    <t xml:space="preserve">Replacement-reserve adequacy</t>
  </si>
  <si>
    <t xml:space="preserve">&gt;= per-unit min balance every year</t>
  </si>
  <si>
    <t xml:space="preserve">Cumulative repl-reserve balance &gt;= per-unit min every yr</t>
  </si>
  <si>
    <t xml:space="preserve">17-year Pro Forma'! row28 cumulative</t>
  </si>
  <si>
    <t xml:space="preserve">Helper: cumulative deposits vs floor*units each year.</t>
  </si>
  <si>
    <t xml:space="preserve">UW-VACANCY13</t>
  </si>
  <si>
    <t xml:space="preserve">Vacancy &amp; Trending</t>
  </si>
  <si>
    <t xml:space="preserve">Vacancy, years 1-3</t>
  </si>
  <si>
    <t xml:space="preserve">&gt;= 7% (normal market)</t>
  </si>
  <si>
    <t xml:space="preserve">Rev+Expenses'!D30 &gt;= 7%</t>
  </si>
  <si>
    <t xml:space="preserve">Rev+Expenses'!D13</t>
  </si>
  <si>
    <t xml:space="preserve">QAP §IV.D.5</t>
  </si>
  <si>
    <t xml:space="preserve">UW-VACANCY4</t>
  </si>
  <si>
    <t xml:space="preserve">Vacancy, years 4+</t>
  </si>
  <si>
    <t xml:space="preserve">Rev+Expenses'!D30</t>
  </si>
  <si>
    <t xml:space="preserve">Same vacancy assumption Yr4+.</t>
  </si>
  <si>
    <t xml:space="preserve">UW-TREND-RENT13</t>
  </si>
  <si>
    <t xml:space="preserve">Rent inflation, years 1-3</t>
  </si>
  <si>
    <t xml:space="preserve">&lt;= 2.0% (LHC standard)</t>
  </si>
  <si>
    <t xml:space="preserve">17-year Pro Forma'!E6/D6-1 &lt;= 2.0%</t>
  </si>
  <si>
    <t xml:space="preserve">17-year Pro Forma'! row6 YoY / D48</t>
  </si>
  <si>
    <t xml:space="preserve">QAP §IV.D.4</t>
  </si>
  <si>
    <t xml:space="preserve">Revenue growth D48 = 2%.</t>
  </si>
  <si>
    <t xml:space="preserve">UW-TREND-RENT415</t>
  </si>
  <si>
    <t xml:space="preserve">Rent inflation, years 4-15</t>
  </si>
  <si>
    <t xml:space="preserve">PF row6 YoY &lt;= 2.0%</t>
  </si>
  <si>
    <t xml:space="preserve">Same 2% trend Yr4-15.</t>
  </si>
  <si>
    <t xml:space="preserve">UW-TREND-EXPENSE</t>
  </si>
  <si>
    <t xml:space="preserve">Expense inflation</t>
  </si>
  <si>
    <t xml:space="preserve">&gt;= 2.8% (LHC standard)</t>
  </si>
  <si>
    <t xml:space="preserve">PF expense growth D49 &gt;= 2.8%</t>
  </si>
  <si>
    <t xml:space="preserve">17-year Pro Forma'!D49</t>
  </si>
  <si>
    <t xml:space="preserve">Expense growth D49 = 3%.</t>
  </si>
  <si>
    <t xml:space="preserve">UW-HUD-TDC</t>
  </si>
  <si>
    <t xml:space="preserve">Cost &amp; TDC</t>
  </si>
  <si>
    <t xml:space="preserve">HUD Total Development Cost limit</t>
  </si>
  <si>
    <t xml:space="preserve">&lt;= 100% of HUD per-unit TDC limit (summed)</t>
  </si>
  <si>
    <t xml:space="preserve">Adjusted TDC 'Sources &amp; Uses'!I79 &lt;= HUD limit (input M10)</t>
  </si>
  <si>
    <t xml:space="preserve">Sources &amp; Uses'!I79; input M10</t>
  </si>
  <si>
    <t xml:space="preserve">QAP §IV.D.25</t>
  </si>
  <si>
    <t xml:space="preserve">Model I86 ($287,704) is a QAP figure, NOT the HUD limit. Enter M10 per deal.</t>
  </si>
  <si>
    <t xml:space="preserve">UW-SOURCES-USES</t>
  </si>
  <si>
    <t xml:space="preserve">Sources &amp; Uses balance</t>
  </si>
  <si>
    <t xml:space="preserve">Sources = Uses (to $1)</t>
  </si>
  <si>
    <t xml:space="preserve">ABS('Sources &amp; Uses'!I81) &lt;= 1</t>
  </si>
  <si>
    <t xml:space="preserve">Sources &amp; Uses'!I81</t>
  </si>
  <si>
    <t xml:space="preserve">UW-BASIS-RECON</t>
  </si>
  <si>
    <t xml:space="preserve">Eligible-basis reconciliation</t>
  </si>
  <si>
    <t xml:space="preserve">No reconciliation errors</t>
  </si>
  <si>
    <t xml:space="preserve">Eligible-basis config reconciles with unit-mix (app-form)</t>
  </si>
  <si>
    <t xml:space="preserve">IRC §42(d)</t>
  </si>
  <si>
    <t xml:space="preserve">App-side: needs eligible-basis config. Excluded from rollup.</t>
  </si>
  <si>
    <t xml:space="preserve">UW-SYND-COSTCAP</t>
  </si>
  <si>
    <t xml:space="preserve">Syndication</t>
  </si>
  <si>
    <t xml:space="preserve">Syndication cost cap</t>
  </si>
  <si>
    <t xml:space="preserve">&lt;= 10% private / 15% public of proceeds</t>
  </si>
  <si>
    <t xml:space="preserve">Financing Assumptions'!D49 &lt;= rate * 'Tax Credit Calc'!F40</t>
  </si>
  <si>
    <t xml:space="preserve">Financing Assumptions'!D49; 'Tax Credit Calc'!F40</t>
  </si>
  <si>
    <t xml:space="preserve">QAP §IV.D.24</t>
  </si>
  <si>
    <t xml:space="preserve">UW-SYND-PARTVI</t>
  </si>
  <si>
    <t xml:space="preserve">Syndication cost reconciliation</t>
  </si>
  <si>
    <t xml:space="preserve">Part VI = Dev Costs syndication total</t>
  </si>
  <si>
    <t xml:space="preserve">Part VI syndication = Dev Costs syndication subtotal (app-form)</t>
  </si>
  <si>
    <t xml:space="preserve">App-side: needs Part VI form. Excluded from rollup.</t>
  </si>
  <si>
    <t xml:space="preserve">UW-CASHFLOW-10PCT</t>
  </si>
  <si>
    <t xml:space="preserve">Cash Flow</t>
  </si>
  <si>
    <t xml:space="preserve">Year-1 cash flow ceiling</t>
  </si>
  <si>
    <t xml:space="preserve">&lt;= 10% of operating expenses</t>
  </si>
  <si>
    <t xml:space="preserve">Stabilized cash 'PF'!E40 &lt;= 10% * 'PF'!E24</t>
  </si>
  <si>
    <t xml:space="preserve">17-year Pro Forma'!E39; E23</t>
  </si>
  <si>
    <t xml:space="preserve">Stabilized (Yr2) cash vs 10% of opex.</t>
  </si>
  <si>
    <t xml:space="preserve">UW-DEFERRED-DEV-FEE-15YR</t>
  </si>
  <si>
    <t xml:space="preserve">Deferred Developer Fee</t>
  </si>
  <si>
    <t xml:space="preserve">Deferred developer fee payoff</t>
  </si>
  <si>
    <t xml:space="preserve">Fully repaid by year 15</t>
  </si>
  <si>
    <t xml:space="preserve">Cumulative 'PF'! row40 (Yr2-&gt;) at Yr15 &gt;= deferred fee (input M11)</t>
  </si>
  <si>
    <t xml:space="preserve">17-year Pro Forma'! row40 cumulative; input M11</t>
  </si>
  <si>
    <t xml:space="preserve">UW-DEF-FEE</t>
  </si>
  <si>
    <t xml:space="preserve">QAP §IV.D.3 · §IV.D.9</t>
  </si>
  <si>
    <t xml:space="preserve">Source = PF row40 cumulative (waterfall is a stub - not used). Default deferred fee = 'Sources &amp; Uses'!I22.</t>
  </si>
  <si>
    <t xml:space="preserve">ELG-25PCT-BOND</t>
  </si>
  <si>
    <t xml:space="preserve">Eligibility</t>
  </si>
  <si>
    <t xml:space="preserve">50% aggregate basis test (bond financing)</t>
  </si>
  <si>
    <t xml:space="preserve">&gt;= 50% of aggregate basis (eligible basis + land) financed by tax-exempt bonds</t>
  </si>
  <si>
    <t xml:space="preserve">Tax Credit Calc'!F45 &gt;= Bond50Min (4% bond deals only)</t>
  </si>
  <si>
    <t xml:space="preserve">Tax Credit Calc'!F43:F47; 'Sources &amp; Uses'!I12, I30</t>
  </si>
  <si>
    <t xml:space="preserve">IRC §42(h)(4)(B), as amended by OBBBA (P.L. 119-21)</t>
  </si>
  <si>
    <t xml:space="preserve">Test computed on Tax Credit Calc rows 42-47. N/A for 9% deals. 25% threshold applies to buildings PIS after 12/31/2025 with ≥5% of aggregate basis financed by </t>
  </si>
  <si>
    <t xml:space="preserve">Rents</t>
  </si>
  <si>
    <t xml:space="preserve">Post-rehab rent vs caps</t>
  </si>
  <si>
    <t xml:space="preserve">Post-rehab rent &lt;= MIN(High HAP comp, 150% SAFMR)</t>
  </si>
  <si>
    <t xml:space="preserve">Per unit type: 'Unit Mix+Rents' post-rehab column &lt;= MIN(High HAP, 150% SAFMR)</t>
  </si>
  <si>
    <t xml:space="preserve">Unit Mix+Rents (per-property blocks)</t>
  </si>
  <si>
    <t xml:space="preserve">24 CFR 402 / Sec. 8 renewal policy guide; spec Sec. 5.2</t>
  </si>
  <si>
    <t xml:space="preserve">Mark-up-to-market ceiling and SAFMR cap check; failures surface on Scorecard.</t>
  </si>
  <si>
    <t xml:space="preserve">UW-MIN-REHAB</t>
  </si>
  <si>
    <t xml:space="preserve">Rehab</t>
  </si>
  <si>
    <t xml:space="preserve">Minimum rehab $/unit (IRC)</t>
  </si>
  <si>
    <t xml:space="preserve">&gt;= IRC Sec.42(e)(3)(A)(ii) indexed minimum</t>
  </si>
  <si>
    <t xml:space="preserve">'Rehab Scope' hard cost/unit &gt;= MinRehabIRC</t>
  </si>
  <si>
    <t xml:space="preserve">Rehab Scope (per-property columns)</t>
  </si>
  <si>
    <t xml:space="preserve">IRC Sec.42(e)(3)(A)(ii)</t>
  </si>
  <si>
    <t xml:space="preserve">PLACEHOLDER threshold — indexed minimum; confirm current-year amount. QAP rehab minimum tracked separately as MinRehabQAP (PENDING, no 2026 value confirmed).</t>
  </si>
  <si>
    <t xml:space="preserve">UW-BRIDGE-DSCR</t>
  </si>
  <si>
    <t xml:space="preserve">&gt;= 1.00x on assumed debt during bridge</t>
  </si>
  <si>
    <t xml:space="preserve">'Bridge Period' cumulative CF and DSCR vs assumed debt service</t>
  </si>
  <si>
    <t xml:space="preserve">Bridge Period (per-property blocks)</t>
  </si>
  <si>
    <t xml:space="preserve">CH runs negative at current NOI — negative bridge carry feeds the solver as a cost.</t>
  </si>
  <si>
    <t xml:space="preserve">Pricing</t>
  </si>
  <si>
    <t xml:space="preserve">Price/unit vs OM sale comps</t>
  </si>
  <si>
    <t xml:space="preserve">within OM comp price/unit range (sanity check)</t>
  </si>
  <si>
    <t xml:space="preserve">'Max Price Solver' solved price/unit vs comp range</t>
  </si>
  <si>
    <t xml:space="preserve">Max Price Solver</t>
  </si>
  <si>
    <t xml:space="preserve">spec Sec. 5.10</t>
  </si>
  <si>
    <t xml:space="preserve">Informational sanity check; comps are market-rate sales (OM pp.11/18/25/32).</t>
  </si>
  <si>
    <t xml:space="preserve">Relocation</t>
  </si>
  <si>
    <t xml:space="preserve">PENDING until funding stack final</t>
  </si>
  <si>
    <t xml:space="preserve">If HOME/CDBG or other federal funds enter the deal, Uniform Relocation Act notice/payment requirements apply</t>
  </si>
  <si>
    <t xml:space="preserve">Rehab Scope relocation block</t>
  </si>
  <si>
    <t xml:space="preserve">49 CFR Part 24 (URA); 24 CFR 92.353 (HOME)</t>
  </si>
  <si>
    <t xml:space="preserve">New Zion's EXISTING stack includes a HOME loan (NZ HOME Loan Agreement 12.1.13, DD folder) — URA analysis required if HOME funds remain/enter at resyndication. PENDING.</t>
  </si>
  <si>
    <t xml:space="preserve">ELG-10YR</t>
  </si>
  <si>
    <t xml:space="preserve">10-year rule / prior credits</t>
  </si>
  <si>
    <t xml:space="preserve">Acquisition credits require 10-yr look-back</t>
  </si>
  <si>
    <t xml:space="preserve">IRC Sec.42(d)(2)(B)(ii) 10-year rule; prior credit compliance per 8609s</t>
  </si>
  <si>
    <t xml:space="preserve">Tax Credit Calc (informational rows)</t>
  </si>
  <si>
    <t xml:space="preserve">IRC Sec.42(d)(2)(B)</t>
  </si>
  <si>
    <t xml:space="preserve">PIS 2008-2014 per 8609s — all &gt;10 yrs before 2026-29 closes; confirm no intervening ownership transfers. Informational flag on Tax Credit Calc.</t>
  </si>
  <si>
    <t xml:space="preserve">Register</t>
  </si>
  <si>
    <t xml:space="preserve">QAP vintage</t>
  </si>
  <si>
    <t xml:space="preserve">PENDING 2026 QAP confirmation</t>
  </si>
  <si>
    <t xml:space="preserve">Register values are LA 2025 QAP; confirm 2026 before decision-grade use</t>
  </si>
  <si>
    <t xml:space="preserve">QAP_Rule_Register!B3</t>
  </si>
  <si>
    <t xml:space="preserve">PENDING.</t>
  </si>
  <si>
    <t xml:space="preserve">THRESHOLD PARAMETERS (toggle-dependent &amp; shared) — dashboard binds here via named ranges</t>
  </si>
  <si>
    <t xml:space="preserve">Replacement reserve floor — Senior ($/unit/yr)</t>
  </si>
  <si>
    <t xml:space="preserve">Replacement reserve floor — Family ($/unit/yr)</t>
  </si>
  <si>
    <t xml:space="preserve">Replacement reserve floor — Rehab ($/unit/yr)</t>
  </si>
  <si>
    <t xml:space="preserve">Pool cap — Metro ($)</t>
  </si>
  <si>
    <t xml:space="preserve">Pool cap — Rural ($)</t>
  </si>
  <si>
    <t xml:space="preserve">Pool cap — Rural QNP-CHDO ($)</t>
  </si>
  <si>
    <t xml:space="preserve">Pool cap — Reprocessing (uncapped)</t>
  </si>
  <si>
    <t xml:space="preserve">Developer fee cap — absolute ($)</t>
  </si>
  <si>
    <t xml:space="preserve">Developer fee cap — % of dev fee base</t>
  </si>
  <si>
    <t xml:space="preserve">Syndication cost cap — Private (% proceeds)</t>
  </si>
  <si>
    <t xml:space="preserve">Syndication cost cap — Public (% proceeds)</t>
  </si>
  <si>
    <t xml:space="preserve">DSCR floor — house rule</t>
  </si>
  <si>
    <t xml:space="preserve">DSCR ceiling — QAP</t>
  </si>
  <si>
    <t xml:space="preserve">DSCR 15-yr floor — QAP</t>
  </si>
  <si>
    <t xml:space="preserve">LIHTC credit rate — 4% deals (statutory floor)</t>
  </si>
  <si>
    <t xml:space="preserve">LIHTC credit rate — 9% deals (statutory floor)</t>
  </si>
  <si>
    <t xml:space="preserve">25% test minimum — tax-exempt bond share of aggregate basis (OBBBA; was 50% for pre-2026 placed-in-service)</t>
  </si>
  <si>
    <t xml:space="preserve">Minimum rehab $/unit — IRC Sec.42(e)(3)(A)(ii) indexed</t>
  </si>
  <si>
    <t xml:space="preserve">Minimum rehab $/unit — LA QAP rehab standard</t>
  </si>
  <si>
    <t xml:space="preserve">LEGEND</t>
  </si>
  <si>
    <t xml:space="preserve">Hard fail — ineligible, disqualifying, or a credit reduction.</t>
  </si>
  <si>
    <t xml:space="preserve">LHC standard / scrutiny — may reduce credits or subordinate loan; not an automatic disqualifier.</t>
  </si>
  <si>
    <t xml:space="preserve">Derivable from the model; drives the dashboard.</t>
  </si>
  <si>
    <t xml:space="preserve">Needs a per-deal external value (dashboard inputs); computed once supplied.</t>
  </si>
  <si>
    <t xml:space="preserve">Needs application-form data absent from the model; 'Verify in platform'. Excluded from rollup.</t>
  </si>
  <si>
    <t xml:space="preserve">yellow cell</t>
  </si>
  <si>
    <t xml:space="preserve">Value not sourced — pull from engine JSON, do not fabricate.</t>
  </si>
  <si>
    <t xml:space="preserve">2024 Unit Total Development Cost (TDC) Limits — Louisiana (Region VI · Midsouth)</t>
  </si>
  <si>
    <t xml:space="preserve">Source: Louisiana Housing Corporation 2024 Unit TDC Limits (HUD methodology). Values are per-unit dollar limits by unit size. Ported for the three LAHAP regions only (Shreveport, Lafayette, Baton Rouge) per spec Sec. 3.</t>
  </si>
  <si>
    <t xml:space="preserve">TABLE 1 — TOTAL DEVELOPMENT COST (TDC) LIMIT · $ per unit</t>
  </si>
  <si>
    <t xml:space="preserve">City</t>
  </si>
  <si>
    <t xml:space="preserve">Product Type</t>
  </si>
  <si>
    <t xml:space="preserve">0-BR (500 sf)</t>
  </si>
  <si>
    <t xml:space="preserve">1-BR (700 sf)</t>
  </si>
  <si>
    <t xml:space="preserve">2-BR (900 sf)</t>
  </si>
  <si>
    <t xml:space="preserve">3-BR (1,200 sf)</t>
  </si>
  <si>
    <t xml:space="preserve">4-BR (1,500 sf)</t>
  </si>
  <si>
    <t xml:space="preserve">5-BR (1,700 sf)</t>
  </si>
  <si>
    <t xml:space="preserve">6-BR (1,900 sf)</t>
  </si>
  <si>
    <t xml:space="preserve">Key (City|Product)</t>
  </si>
  <si>
    <t xml:space="preserve">Detached/Semi-Detached</t>
  </si>
  <si>
    <t xml:space="preserve">Row House</t>
  </si>
  <si>
    <t xml:space="preserve">Elevator</t>
  </si>
  <si>
    <t xml:space="preserve">TABLE 2 — HUD CONSTRUCTION COST (HCC) LIMIT · $ per unit  (reference only)</t>
  </si>
  <si>
    <t xml:space="preserve">PER-PROPERTY TDC LIMIT RESOLVER (Walkup product type; bedroom mix per Property Data Points.xlsx, DD folder)</t>
  </si>
  <si>
    <t xml:space="preserve">1BR units</t>
  </si>
  <si>
    <t xml:space="preserve">2BR units</t>
  </si>
  <si>
    <t xml:space="preserve">3BR units</t>
  </si>
  <si>
    <t xml:space="preserve">4BR units</t>
  </si>
  <si>
    <t xml:space="preserve">Total units</t>
  </si>
  <si>
    <t xml:space="preserve">TDC limit — 1BR</t>
  </si>
  <si>
    <t xml:space="preserve">TDC limit — 2BR</t>
  </si>
  <si>
    <t xml:space="preserve">TDC limit — 3BR</t>
  </si>
  <si>
    <t xml:space="preserve">TDC limit — 4BR</t>
  </si>
  <si>
    <t xml:space="preserve">Weighted TDC limit / unit</t>
  </si>
  <si>
    <t xml:space="preserve">Total TDC limit</t>
  </si>
  <si>
    <t xml:space="preserve">SOFT-COST FEE PARAMETERS — inputs; verify against current LHC fee schedule / QAP (LA 2025 basis, PENDING 2026)</t>
  </si>
  <si>
    <t xml:space="preserve">SOFT-COST FEE PARAMETERS (inputs — verify against current LHC fee schedule / QAP)</t>
  </si>
  <si>
    <t xml:space="preserve">Plan review — % of hard costs</t>
  </si>
  <si>
    <t xml:space="preserve">Plan review — minimum fee ($)</t>
  </si>
  <si>
    <t xml:space="preserve">Permits/ROW/impact — base fee ($)</t>
  </si>
  <si>
    <t xml:space="preserve">Permits/ROW/impact — % of hard costs</t>
  </si>
  <si>
    <t xml:space="preserve">LHC fee component A ($) — verify label</t>
  </si>
  <si>
    <t xml:space="preserve">LHC fee component B ($) — verify label</t>
  </si>
  <si>
    <t xml:space="preserve">LHC fee component C ($) — verify label</t>
  </si>
  <si>
    <t xml:space="preserve">LHC fee component D ($) — verify label</t>
  </si>
  <si>
    <t xml:space="preserve">LHC fee component E ($) — verify label</t>
  </si>
  <si>
    <t xml:space="preserve">LHC reservation fee — % of annual credits</t>
  </si>
  <si>
    <t xml:space="preserve">FEE_ROWS_JSON</t>
  </si>
  <si>
    <t xml:space="preserve">{"SOFT-COST FEE PARAMETERS (inputs \u2014 verify against current LHC fee schedule / QAP)": 52, "Plan review \u2014 % of hard costs": 53, "Plan review \u2014 minimum fee ($)": 54, "Permits/ROW/impact \u2014 base fee ($)": 55, "Permits/ROW/impact \u2014 % of hard costs": 56, "LHC fee component A ($) \u2014 verify label": 57, "LHC fee component B ($) \u2014 verify label": 58, "LHC fee component C ($) \u2014 verify label": 59, "LHC fee component D ($) \u2014 verify label": 60, "LHC fee component E ($) \u2014 verify label": 61, "LHC reservation fee \u2014 % of annual credits": 62}</t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</si>
</sst>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#,##0;\(#,##0\);\-"/>
    <numFmt numFmtId="166" formatCode="_(\$* #,##0_);_(\$* \(#,##0\);_(\$* \-_);_(@_)"/>
    <numFmt numFmtId="167" formatCode="0.0%"/>
    <numFmt numFmtId="168" formatCode="m/d/yyyy"/>
    <numFmt numFmtId="169" formatCode="\M0"/>
    <numFmt numFmtId="170" formatCode="0"/>
    <numFmt numFmtId="171" formatCode="0.00\x"/>
    <numFmt numFmtId="172" formatCode="0%"/>
    <numFmt numFmtId="173" formatCode="\$#,##0.00"/>
    <numFmt numFmtId="174" formatCode="0.00%"/>
    <numFmt numFmtId="175" formatCode="_(* #,##0_);_(* \(#,##0\);_(* \-_);_(@_)"/>
    <numFmt numFmtId="176" formatCode="\$#,##0;&quot;($&quot;#,##0\);\-"/>
    <numFmt numFmtId="177" formatCode="m/yy"/>
    <numFmt numFmtId="178" formatCode="0.000"/>
    <numFmt numFmtId="179" formatCode="0.0"/>
    <numFmt numFmtId="180" formatCode="#,##0.0"/>
    <numFmt numFmtId="181" formatCode="_(* #,##0_);_(* \(#,##0\);_(* \-_);_(@_)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ptos Narrow"/>
      <family val="0"/>
      <charset val="1"/>
    </font>
    <font>
      <sz val="11"/>
      <name val="Aptos Narrow"/>
      <family val="0"/>
      <charset val="1"/>
    </font>
    <font>
      <sz val="11"/>
      <color rgb="FF0070C0"/>
      <name val="Aptos Narrow"/>
      <family val="0"/>
      <charset val="1"/>
    </font>
    <font>
      <b val="true"/>
      <sz val="11"/>
      <name val="Aptos Narrow"/>
      <family val="0"/>
      <charset val="1"/>
    </font>
    <font>
      <b val="true"/>
      <sz val="11"/>
      <color rgb="FF0070C0"/>
      <name val="Aptos Narrow"/>
      <family val="0"/>
      <charset val="1"/>
    </font>
    <font>
      <i val="true"/>
      <sz val="10"/>
      <color rgb="FF595959"/>
      <name val="Aptos Narrow"/>
      <family val="0"/>
      <charset val="1"/>
    </font>
    <font>
      <sz val="10"/>
      <name val="Arial"/>
      <family val="2"/>
    </font>
    <font>
      <sz val="1"/>
      <color rgb="FFFFFFFF"/>
      <name val="Aptos Narrow"/>
      <family val="0"/>
      <charset val="1"/>
    </font>
    <font>
      <i val="true"/>
      <sz val="10"/>
      <color rgb="FFFF0000"/>
      <name val="Aptos Narrow"/>
      <family val="0"/>
      <charset val="1"/>
    </font>
    <font>
      <sz val="10"/>
      <color rgb="FFFFFFFF"/>
      <name val="Arial"/>
      <family val="0"/>
      <charset val="1"/>
    </font>
    <font>
      <sz val="11"/>
      <color rgb="FF008000"/>
      <name val="Aptos Narrow"/>
      <family val="0"/>
      <charset val="1"/>
    </font>
    <font>
      <b val="true"/>
      <sz val="11"/>
      <color rgb="FF1F4E5F"/>
      <name val="Aptos Narrow"/>
      <family val="0"/>
      <charset val="1"/>
    </font>
    <font>
      <i val="true"/>
      <sz val="11"/>
      <name val="Aptos Narrow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5F"/>
        <bgColor rgb="FF375623"/>
      </patternFill>
    </fill>
    <fill>
      <patternFill patternType="solid">
        <fgColor rgb="FFE7EDEE"/>
        <bgColor rgb="FFF2F2F2"/>
      </patternFill>
    </fill>
    <fill>
      <patternFill patternType="solid">
        <fgColor rgb="FFFFF2CC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E2EFDA"/>
      </patternFill>
    </fill>
    <fill>
      <patternFill patternType="solid">
        <fgColor rgb="FFFFFFCC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1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1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color rgb="FF375623"/>
      </font>
      <fill>
        <patternFill>
          <bgColor rgb="FFE2EFDA"/>
        </patternFill>
      </fill>
    </dxf>
    <dxf>
      <font>
        <color rgb="FFC00000"/>
      </font>
      <fill>
        <patternFill>
          <bgColor rgb="FFFCE4E4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808080"/>
      </font>
      <fill>
        <patternFill>
          <bgColor rgb="FFF2F2F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FCC"/>
      <rgbColor rgb="FFE7EDEE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2CC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5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6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7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8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9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0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1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2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3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4.v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5.v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16.v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vmlDrawing" Target="../drawings/vmlDrawing17.v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vmlDrawing" Target="../drawings/vmlDrawing18.v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vmlDrawing" Target="../drawings/vmlDrawing19.v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vmlDrawing" Target="../drawings/vmlDrawing20.v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vmlDrawing" Target="../drawings/vmlDrawing21.v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vmlDrawing" Target="../drawings/vmlDrawing22.v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vmlDrawing" Target="../drawings/vmlDrawing23.v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vmlDrawing" Target="../drawings/vmlDrawing2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5F"/>
    <pageSetUpPr fitToPage="true"/>
  </sheetPr>
  <dimension ref="A1:H27"/>
  <sheetViews>
    <sheetView showFormulas="false" showGridLines="fals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6"/>
    <col collapsed="false" customWidth="true" hidden="false" outlineLevel="0" max="7" min="3" style="1" width="12"/>
    <col collapsed="false" customWidth="true" hidden="false" outlineLevel="0" max="8" min="8" style="1" width="30"/>
  </cols>
  <sheetData>
    <row r="1" customFormat="false" ht="36" hidden="false" customHeight="true" outlineLevel="0" collapsed="false">
      <c r="A1" s="2" t="str">
        <f aca="true">"Louisiana HAP Portfolio Scorecard — "&amp;TEXT(TODAY(),"m/d/yyyy")</f>
        <v>Louisiana HAP Portfolio Scorecard — 8/6/2026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customFormat="false" ht="15" hidden="false" customHeight="true" outlineLevel="0" collapsed="false">
      <c r="A3" s="4" t="s">
        <v>8</v>
      </c>
      <c r="B3" s="5"/>
      <c r="C3" s="5"/>
      <c r="D3" s="5"/>
      <c r="E3" s="5"/>
      <c r="F3" s="5"/>
      <c r="G3" s="5"/>
      <c r="H3" s="5"/>
    </row>
    <row r="4" customFormat="false" ht="18" hidden="false" customHeight="true" outlineLevel="0" collapsed="false">
      <c r="A4" s="6" t="str">
        <f aca="false">'Dashboard Calc'!L3</f>
        <v>Bridge-period DSCR</v>
      </c>
      <c r="B4" s="6" t="str">
        <f aca="false">'Dashboard Calc'!M3</f>
        <v>&gt;= 1.00x</v>
      </c>
      <c r="C4" s="7" t="str">
        <f aca="false">'Dashboard Calc'!N3</f>
        <v>FAIL</v>
      </c>
      <c r="D4" s="7" t="str">
        <f aca="false">'Dashboard Calc'!O3</f>
        <v>PASS</v>
      </c>
      <c r="E4" s="7" t="str">
        <f aca="false">'Dashboard Calc'!P3</f>
        <v>PASS</v>
      </c>
      <c r="F4" s="7" t="str">
        <f aca="false">'Dashboard Calc'!Q3</f>
        <v>N/A</v>
      </c>
      <c r="G4" s="6" t="str">
        <f aca="false">'Dashboard Calc'!R3</f>
        <v>warning</v>
      </c>
      <c r="H4" s="6" t="str">
        <f aca="false">'Dashboard Calc'!S3</f>
        <v>house rule; spec Sec. 5.7</v>
      </c>
    </row>
    <row r="5" customFormat="false" ht="18" hidden="false" customHeight="true" outlineLevel="0" collapsed="false">
      <c r="A5" s="6" t="str">
        <f aca="false">'Dashboard Calc'!L4</f>
        <v>Post-resyn DSCR band (Yr2-17)</v>
      </c>
      <c r="B5" s="6" t="str">
        <f aca="false">'Dashboard Calc'!M4</f>
        <v>&gt;= floor, &lt;= ceiling</v>
      </c>
      <c r="C5" s="7" t="str">
        <f aca="false">'Dashboard Calc'!N4</f>
        <v>FAIL</v>
      </c>
      <c r="D5" s="7" t="str">
        <f aca="false">'Dashboard Calc'!O4</f>
        <v>FAIL</v>
      </c>
      <c r="E5" s="7" t="str">
        <f aca="false">'Dashboard Calc'!P4</f>
        <v>FAIL</v>
      </c>
      <c r="F5" s="7" t="str">
        <f aca="false">'Dashboard Calc'!Q4</f>
        <v>FAIL</v>
      </c>
      <c r="G5" s="6" t="str">
        <f aca="false">'Dashboard Calc'!R4</f>
        <v>error</v>
      </c>
      <c r="H5" s="6" t="str">
        <f aca="false">'Dashboard Calc'!S4</f>
        <v>QAP UW standards; register UW rules</v>
      </c>
    </row>
    <row r="6" customFormat="false" ht="15" hidden="false" customHeight="true" outlineLevel="0" collapsed="false">
      <c r="A6" s="4" t="s">
        <v>9</v>
      </c>
      <c r="B6" s="5"/>
      <c r="C6" s="5"/>
      <c r="D6" s="5"/>
      <c r="E6" s="5"/>
      <c r="F6" s="5"/>
      <c r="G6" s="5"/>
      <c r="H6" s="5"/>
    </row>
    <row r="7" customFormat="false" ht="18" hidden="false" customHeight="true" outlineLevel="0" collapsed="false">
      <c r="A7" s="6" t="str">
        <f aca="false">'Dashboard Calc'!L5</f>
        <v>Deferred fee repaid &lt;= 15 yrs</v>
      </c>
      <c r="B7" s="6" t="str">
        <f aca="false">'Dashboard Calc'!M5</f>
        <v>payback year &lt;= 15</v>
      </c>
      <c r="C7" s="7" t="str">
        <f aca="false">'Dashboard Calc'!N5</f>
        <v>FAIL</v>
      </c>
      <c r="D7" s="7" t="str">
        <f aca="false">'Dashboard Calc'!O5</f>
        <v>FAIL</v>
      </c>
      <c r="E7" s="7" t="str">
        <f aca="false">'Dashboard Calc'!P5</f>
        <v>FAIL</v>
      </c>
      <c r="F7" s="7" t="str">
        <f aca="false">'Dashboard Calc'!Q5</f>
        <v>FAIL</v>
      </c>
      <c r="G7" s="6" t="str">
        <f aca="false">'Dashboard Calc'!R5</f>
        <v>error</v>
      </c>
      <c r="H7" s="6" t="str">
        <f aca="false">'Dashboard Calc'!S5</f>
        <v>IRC Sec.42 / QAP deferred-fee standard</v>
      </c>
    </row>
    <row r="8" customFormat="false" ht="15" hidden="false" customHeight="true" outlineLevel="0" collapsed="false">
      <c r="A8" s="4" t="s">
        <v>10</v>
      </c>
      <c r="B8" s="5"/>
      <c r="C8" s="5"/>
      <c r="D8" s="5"/>
      <c r="E8" s="5"/>
      <c r="F8" s="5"/>
      <c r="G8" s="5"/>
      <c r="H8" s="5"/>
    </row>
    <row r="9" customFormat="false" ht="18" hidden="false" customHeight="true" outlineLevel="0" collapsed="false">
      <c r="A9" s="6" t="str">
        <f aca="false">'Dashboard Calc'!L6</f>
        <v>Developer fee % &lt;= QAP cap</v>
      </c>
      <c r="B9" s="6" t="str">
        <f aca="false">'Dashboard Calc'!M6</f>
        <v>&lt;= DevFeeCapPct</v>
      </c>
      <c r="C9" s="7" t="str">
        <f aca="false">'Dashboard Calc'!N6</f>
        <v>PASS</v>
      </c>
      <c r="D9" s="7" t="str">
        <f aca="false">'Dashboard Calc'!O6</f>
        <v>PASS</v>
      </c>
      <c r="E9" s="7" t="str">
        <f aca="false">'Dashboard Calc'!P6</f>
        <v>PASS</v>
      </c>
      <c r="F9" s="7" t="str">
        <f aca="false">'Dashboard Calc'!Q6</f>
        <v>PASS</v>
      </c>
      <c r="G9" s="6" t="str">
        <f aca="false">'Dashboard Calc'!R6</f>
        <v>error</v>
      </c>
      <c r="H9" s="6" t="str">
        <f aca="false">'Dashboard Calc'!S6</f>
        <v>QAP fee limits (LA 2025 — PENDING 2026)</v>
      </c>
    </row>
    <row r="10" customFormat="false" ht="18" hidden="false" customHeight="true" outlineLevel="0" collapsed="false">
      <c r="A10" s="6" t="str">
        <f aca="false">'Dashboard Calc'!L7</f>
        <v>TDC/unit vs HUD/LHC limit</v>
      </c>
      <c r="B10" s="6" t="str">
        <f aca="false">'Dashboard Calc'!M7</f>
        <v>&lt;= regional limit</v>
      </c>
      <c r="C10" s="7" t="str">
        <f aca="false">'Dashboard Calc'!N7</f>
        <v>PASS</v>
      </c>
      <c r="D10" s="7" t="str">
        <f aca="false">'Dashboard Calc'!O7</f>
        <v>PASS</v>
      </c>
      <c r="E10" s="7" t="str">
        <f aca="false">'Dashboard Calc'!P7</f>
        <v>PASS</v>
      </c>
      <c r="F10" s="7" t="str">
        <f aca="false">'Dashboard Calc'!Q7</f>
        <v>PASS</v>
      </c>
      <c r="G10" s="6" t="str">
        <f aca="false">'Dashboard Calc'!R7</f>
        <v>error</v>
      </c>
      <c r="H10" s="6" t="str">
        <f aca="false">'Dashboard Calc'!S7</f>
        <v>HUD/LHC Unit TDC Limits (2024 vintage)</v>
      </c>
    </row>
    <row r="11" customFormat="false" ht="15" hidden="false" customHeight="true" outlineLevel="0" collapsed="false">
      <c r="A11" s="4" t="s">
        <v>11</v>
      </c>
      <c r="B11" s="5"/>
      <c r="C11" s="5"/>
      <c r="D11" s="5"/>
      <c r="E11" s="5"/>
      <c r="F11" s="5"/>
      <c r="G11" s="5"/>
      <c r="H11" s="5"/>
    </row>
    <row r="12" customFormat="false" ht="18" hidden="false" customHeight="true" outlineLevel="0" collapsed="false">
      <c r="A12" s="6" t="str">
        <f aca="false">'Dashboard Calc'!L8</f>
        <v>Post-rehab rents &lt;= caps</v>
      </c>
      <c r="B12" s="6" t="str">
        <f aca="false">'Dashboard Calc'!M8</f>
        <v>&lt;= MIN(High HAP, 150% SAFMR) / LIHTC max</v>
      </c>
      <c r="C12" s="7" t="str">
        <f aca="false">'Dashboard Calc'!N8</f>
        <v>PASS</v>
      </c>
      <c r="D12" s="7" t="str">
        <f aca="false">'Dashboard Calc'!O8</f>
        <v>PASS</v>
      </c>
      <c r="E12" s="7" t="str">
        <f aca="false">'Dashboard Calc'!P8</f>
        <v>PASS</v>
      </c>
      <c r="F12" s="7" t="str">
        <f aca="false">'Dashboard Calc'!Q8</f>
        <v>PASS</v>
      </c>
      <c r="G12" s="6" t="str">
        <f aca="false">'Dashboard Calc'!R8</f>
        <v>error</v>
      </c>
      <c r="H12" s="6" t="str">
        <f aca="false">'Dashboard Calc'!S8</f>
        <v>Sec. 8 renewal policy / SAFMR; spec Sec. 5.2</v>
      </c>
    </row>
    <row r="13" customFormat="false" ht="18" hidden="false" customHeight="true" outlineLevel="0" collapsed="false">
      <c r="A13" s="6" t="str">
        <f aca="false">'Dashboard Calc'!L9</f>
        <v>Min rehab $/unit (IRC)</v>
      </c>
      <c r="B13" s="6" t="str">
        <f aca="false">'Dashboard Calc'!M9</f>
        <v>&gt;= MinRehabIRC</v>
      </c>
      <c r="C13" s="7" t="str">
        <f aca="false">'Dashboard Calc'!N9</f>
        <v>PASS</v>
      </c>
      <c r="D13" s="7" t="str">
        <f aca="false">'Dashboard Calc'!O9</f>
        <v>PASS</v>
      </c>
      <c r="E13" s="7" t="str">
        <f aca="false">'Dashboard Calc'!P9</f>
        <v>PASS</v>
      </c>
      <c r="F13" s="7" t="str">
        <f aca="false">'Dashboard Calc'!Q9</f>
        <v>PASS</v>
      </c>
      <c r="G13" s="6" t="str">
        <f aca="false">'Dashboard Calc'!R9</f>
        <v>error</v>
      </c>
      <c r="H13" s="6" t="str">
        <f aca="false">'Dashboard Calc'!S9</f>
        <v>IRC Sec.42(e)(3)(A)(ii) — indexed min PLACEHOLDER</v>
      </c>
    </row>
    <row r="14" customFormat="false" ht="18" hidden="false" customHeight="true" outlineLevel="0" collapsed="false">
      <c r="A14" s="6" t="str">
        <f aca="false">'Dashboard Calc'!L10</f>
        <v>Min rehab $/unit (LA QAP)</v>
      </c>
      <c r="B14" s="6" t="str">
        <f aca="false">'Dashboard Calc'!M10</f>
        <v>2026 QAP value unconfirmed</v>
      </c>
      <c r="C14" s="7" t="str">
        <f aca="false">'Dashboard Calc'!N10</f>
        <v>PENDING</v>
      </c>
      <c r="D14" s="7" t="str">
        <f aca="false">'Dashboard Calc'!O10</f>
        <v>PENDING</v>
      </c>
      <c r="E14" s="7" t="str">
        <f aca="false">'Dashboard Calc'!P10</f>
        <v>PENDING</v>
      </c>
      <c r="F14" s="7" t="str">
        <f aca="false">'Dashboard Calc'!Q10</f>
        <v>PENDING</v>
      </c>
      <c r="G14" s="6" t="str">
        <f aca="false">'Dashboard Calc'!R10</f>
        <v>warning</v>
      </c>
      <c r="H14" s="6" t="str">
        <f aca="false">'Dashboard Calc'!S10</f>
        <v>LA QAP rehab standard — PENDING</v>
      </c>
    </row>
    <row r="15" customFormat="false" ht="15" hidden="false" customHeight="true" outlineLevel="0" collapsed="false">
      <c r="A15" s="4" t="s">
        <v>12</v>
      </c>
      <c r="B15" s="5"/>
      <c r="C15" s="5"/>
      <c r="D15" s="5"/>
      <c r="E15" s="5"/>
      <c r="F15" s="5"/>
      <c r="G15" s="5"/>
      <c r="H15" s="5"/>
    </row>
    <row r="16" customFormat="false" ht="18" hidden="false" customHeight="true" outlineLevel="0" collapsed="false">
      <c r="A16" s="6" t="str">
        <f aca="false">'Dashboard Calc'!L11</f>
        <v>Tax-exempt bond test</v>
      </c>
      <c r="B16" s="6" t="str">
        <f aca="false">'Dashboard Calc'!M11</f>
        <v>&gt;= 25% of aggregate basis (OBBBA)</v>
      </c>
      <c r="C16" s="7" t="str">
        <f aca="false">'Dashboard Calc'!N11</f>
        <v>PASS</v>
      </c>
      <c r="D16" s="7" t="str">
        <f aca="false">'Dashboard Calc'!O11</f>
        <v>PASS</v>
      </c>
      <c r="E16" s="7" t="str">
        <f aca="false">'Dashboard Calc'!P11</f>
        <v>PASS</v>
      </c>
      <c r="F16" s="7" t="str">
        <f aca="false">'Dashboard Calc'!Q11</f>
        <v>PASS</v>
      </c>
      <c r="G16" s="6" t="str">
        <f aca="false">'Dashboard Calc'!R11</f>
        <v>error</v>
      </c>
      <c r="H16" s="6" t="str">
        <f aca="false">'Dashboard Calc'!S11</f>
        <v>IRC Sec.42(h)(4) as amended (OBBBA P.L. 119-21)</v>
      </c>
    </row>
    <row r="17" customFormat="false" ht="18" hidden="false" customHeight="true" outlineLevel="0" collapsed="false">
      <c r="A17" s="6" t="str">
        <f aca="false">'Dashboard Calc'!L15</f>
        <v>Sources = Uses w/o unfunded soft gap</v>
      </c>
      <c r="B17" s="6" t="str">
        <f aca="false">'Dashboard Calc'!M15</f>
        <v>required soft funds = 0</v>
      </c>
      <c r="C17" s="7" t="str">
        <f aca="false">'Dashboard Calc'!N15</f>
        <v>FAIL</v>
      </c>
      <c r="D17" s="7" t="str">
        <f aca="false">'Dashboard Calc'!O15</f>
        <v>FAIL</v>
      </c>
      <c r="E17" s="7" t="str">
        <f aca="false">'Dashboard Calc'!P15</f>
        <v>PASS</v>
      </c>
      <c r="F17" s="7" t="str">
        <f aca="false">'Dashboard Calc'!Q15</f>
        <v>PASS</v>
      </c>
      <c r="G17" s="6" t="str">
        <f aca="false">'Dashboard Calc'!R15</f>
        <v>error</v>
      </c>
      <c r="H17" s="6" t="str">
        <f aca="false">'Dashboard Calc'!S15</f>
        <v>arithmetic check; spec Sec. 9.5</v>
      </c>
    </row>
    <row r="18" customFormat="false" ht="15" hidden="false" customHeight="true" outlineLevel="0" collapsed="false">
      <c r="A18" s="4" t="s">
        <v>13</v>
      </c>
      <c r="B18" s="5"/>
      <c r="C18" s="5"/>
      <c r="D18" s="5"/>
      <c r="E18" s="5"/>
      <c r="F18" s="5"/>
      <c r="G18" s="5"/>
      <c r="H18" s="5"/>
    </row>
    <row r="19" customFormat="false" ht="18" hidden="false" customHeight="true" outlineLevel="0" collapsed="false">
      <c r="A19" s="6" t="str">
        <f aca="false">'Dashboard Calc'!L12</f>
        <v>Underwritten vacancy floor</v>
      </c>
      <c r="B19" s="6" t="str">
        <f aca="false">'Dashboard Calc'!M12</f>
        <v>&gt;= VacancyMin</v>
      </c>
      <c r="C19" s="7" t="str">
        <f aca="false">'Dashboard Calc'!N12</f>
        <v>FAIL</v>
      </c>
      <c r="D19" s="7" t="str">
        <f aca="false">'Dashboard Calc'!O12</f>
        <v>FAIL</v>
      </c>
      <c r="E19" s="7" t="str">
        <f aca="false">'Dashboard Calc'!P12</f>
        <v>PASS</v>
      </c>
      <c r="F19" s="7" t="str">
        <f aca="false">'Dashboard Calc'!Q12</f>
        <v>PASS</v>
      </c>
      <c r="G19" s="6" t="str">
        <f aca="false">'Dashboard Calc'!R12</f>
        <v>warning</v>
      </c>
      <c r="H19" s="6" t="str">
        <f aca="false">'Dashboard Calc'!S12</f>
        <v>QAP UW standards</v>
      </c>
    </row>
    <row r="20" customFormat="false" ht="18" hidden="false" customHeight="true" outlineLevel="0" collapsed="false">
      <c r="A20" s="6" t="str">
        <f aca="false">'Dashboard Calc'!L13</f>
        <v>Expense PUPA floor</v>
      </c>
      <c r="B20" s="6" t="str">
        <f aca="false">'Dashboard Calc'!M13</f>
        <v>&gt;= OpexMinPU</v>
      </c>
      <c r="C20" s="7" t="str">
        <f aca="false">'Dashboard Calc'!N13</f>
        <v>PASS</v>
      </c>
      <c r="D20" s="7" t="str">
        <f aca="false">'Dashboard Calc'!O13</f>
        <v>PASS</v>
      </c>
      <c r="E20" s="7" t="str">
        <f aca="false">'Dashboard Calc'!P13</f>
        <v>PASS</v>
      </c>
      <c r="F20" s="7" t="str">
        <f aca="false">'Dashboard Calc'!Q13</f>
        <v>PASS</v>
      </c>
      <c r="G20" s="6" t="str">
        <f aca="false">'Dashboard Calc'!R13</f>
        <v>warning</v>
      </c>
      <c r="H20" s="6" t="str">
        <f aca="false">'Dashboard Calc'!S13</f>
        <v>QAP UW standards</v>
      </c>
    </row>
    <row r="21" customFormat="false" ht="18" hidden="false" customHeight="true" outlineLevel="0" collapsed="false">
      <c r="A21" s="6" t="str">
        <f aca="false">'Dashboard Calc'!L14</f>
        <v>Solved price/unit vs OM comps</v>
      </c>
      <c r="B21" s="6" t="str">
        <f aca="false">'Dashboard Calc'!M14</f>
        <v>sanity: &lt;= comp wtd avg</v>
      </c>
      <c r="C21" s="7" t="str">
        <f aca="false">'Dashboard Calc'!N14</f>
        <v>REVIEW</v>
      </c>
      <c r="D21" s="7" t="str">
        <f aca="false">'Dashboard Calc'!O14</f>
        <v>REVIEW</v>
      </c>
      <c r="E21" s="7" t="str">
        <f aca="false">'Dashboard Calc'!P14</f>
        <v>PASS</v>
      </c>
      <c r="F21" s="7" t="str">
        <f aca="false">'Dashboard Calc'!Q14</f>
        <v>PASS</v>
      </c>
      <c r="G21" s="6" t="str">
        <f aca="false">'Dashboard Calc'!R14</f>
        <v>info</v>
      </c>
      <c r="H21" s="6" t="str">
        <f aca="false">'Dashboard Calc'!S14</f>
        <v>OM sale comps pp.11/18/25/32 (market-rate sales)</v>
      </c>
    </row>
    <row r="22" customFormat="false" ht="15" hidden="false" customHeight="true" outlineLevel="0" collapsed="false">
      <c r="A22" s="4" t="s">
        <v>14</v>
      </c>
      <c r="B22" s="5"/>
      <c r="C22" s="5"/>
      <c r="D22" s="5"/>
      <c r="E22" s="5"/>
      <c r="F22" s="5"/>
      <c r="G22" s="5"/>
      <c r="H22" s="5"/>
    </row>
    <row r="23" customFormat="false" ht="18" hidden="false" customHeight="true" outlineLevel="0" collapsed="false">
      <c r="A23" s="6" t="str">
        <f aca="false">'Dashboard Calc'!L16</f>
        <v>URA applicability</v>
      </c>
      <c r="B23" s="6" t="str">
        <f aca="false">'Dashboard Calc'!M16</f>
        <v>funding stack final?</v>
      </c>
      <c r="C23" s="7" t="str">
        <f aca="false">'Dashboard Calc'!N16</f>
        <v>PENDING</v>
      </c>
      <c r="D23" s="7" t="str">
        <f aca="false">'Dashboard Calc'!O16</f>
        <v>PENDING</v>
      </c>
      <c r="E23" s="7" t="str">
        <f aca="false">'Dashboard Calc'!P16</f>
        <v>PENDING</v>
      </c>
      <c r="F23" s="7" t="str">
        <f aca="false">'Dashboard Calc'!Q16</f>
        <v>PENDING</v>
      </c>
      <c r="G23" s="6" t="str">
        <f aca="false">'Dashboard Calc'!R16</f>
        <v>warning</v>
      </c>
      <c r="H23" s="6" t="str">
        <f aca="false">'Dashboard Calc'!S16</f>
        <v>49 CFR Part 24; NZ HOME loan in existing stack</v>
      </c>
    </row>
    <row r="24" customFormat="false" ht="18" hidden="false" customHeight="true" outlineLevel="0" collapsed="false">
      <c r="A24" s="6" t="str">
        <f aca="false">'Dashboard Calc'!L17</f>
        <v>QAP vintage (2026 confirm)</v>
      </c>
      <c r="B24" s="6" t="str">
        <f aca="false">'Dashboard Calc'!M17</f>
        <v>register = LA 2025 QAP</v>
      </c>
      <c r="C24" s="7" t="str">
        <f aca="false">'Dashboard Calc'!N17</f>
        <v>PENDING</v>
      </c>
      <c r="D24" s="7" t="str">
        <f aca="false">'Dashboard Calc'!O17</f>
        <v>PENDING</v>
      </c>
      <c r="E24" s="7" t="str">
        <f aca="false">'Dashboard Calc'!P17</f>
        <v>PENDING</v>
      </c>
      <c r="F24" s="7" t="str">
        <f aca="false">'Dashboard Calc'!Q17</f>
        <v>PENDING</v>
      </c>
      <c r="G24" s="6" t="str">
        <f aca="false">'Dashboard Calc'!R17</f>
        <v>warning</v>
      </c>
      <c r="H24" s="6" t="str">
        <f aca="false">'Dashboard Calc'!S17</f>
        <v>spec Gap #6</v>
      </c>
    </row>
    <row r="26" customFormat="false" ht="15" hidden="false" customHeight="true" outlineLevel="0" collapsed="false">
      <c r="A26" s="8" t="s">
        <v>15</v>
      </c>
      <c r="C26" s="9" t="str">
        <f aca="false">'Dashboard Calc'!N22</f>
        <v>FAIL</v>
      </c>
      <c r="D26" s="9" t="str">
        <f aca="false">'Dashboard Calc'!O22</f>
        <v>FAIL</v>
      </c>
      <c r="E26" s="9" t="str">
        <f aca="false">'Dashboard Calc'!P22</f>
        <v>FAIL</v>
      </c>
      <c r="F26" s="9" t="str">
        <f aca="false">'Dashboard Calc'!Q22</f>
        <v>FAIL</v>
      </c>
    </row>
    <row r="27" customFormat="false" ht="15" hidden="false" customHeight="true" outlineLevel="0" collapsed="false">
      <c r="A27" s="8" t="s">
        <v>16</v>
      </c>
      <c r="C27" s="10" t="str">
        <f aca="false">'Dashboard Calc'!N23</f>
        <v>FAIL</v>
      </c>
    </row>
  </sheetData>
  <mergeCells count="1">
    <mergeCell ref="A1:H1"/>
  </mergeCells>
  <conditionalFormatting sqref="C3:F27">
    <cfRule type="expression" priority="2" aboveAverage="0" equalAverage="0" bottom="0" percent="0" rank="0" text="" dxfId="0">
      <formula>C3="PASS"</formula>
    </cfRule>
    <cfRule type="expression" priority="3" aboveAverage="0" equalAverage="0" bottom="0" percent="0" rank="0" text="" dxfId="0">
      <formula>C3="PENCILS"</formula>
    </cfRule>
    <cfRule type="expression" priority="4" aboveAverage="0" equalAverage="0" bottom="0" percent="0" rank="0" text="" dxfId="1">
      <formula>C3="FAIL"</formula>
    </cfRule>
    <cfRule type="expression" priority="5" aboveAverage="0" equalAverage="0" bottom="0" percent="0" rank="0" text="" dxfId="2">
      <formula>C3="PENDING"</formula>
    </cfRule>
    <cfRule type="expression" priority="6" aboveAverage="0" equalAverage="0" bottom="0" percent="0" rank="0" text="" dxfId="2">
      <formula>C3="MARGINAL"</formula>
    </cfRule>
    <cfRule type="expression" priority="7" aboveAverage="0" equalAverage="0" bottom="0" percent="0" rank="0" text="" dxfId="3">
      <formula>C3="N/A"</formula>
    </cfRule>
    <cfRule type="expression" priority="8" aboveAverage="0" equalAverage="0" bottom="0" percent="0" rank="0" text="" dxfId="2">
      <formula>C3="REVIEW"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true"/>
  </sheetPr>
  <dimension ref="A1:S41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.43"/>
    <col collapsed="false" customWidth="true" hidden="false" outlineLevel="0" max="2" min="2" style="1" width="30"/>
    <col collapsed="false" customWidth="true" hidden="false" outlineLevel="0" max="7" min="3" style="1" width="15.7"/>
    <col collapsed="false" customWidth="true" hidden="false" outlineLevel="0" max="8" min="8" style="1" width="2"/>
  </cols>
  <sheetData>
    <row r="1" customFormat="false" ht="17.25" hidden="false" customHeight="true" outlineLevel="0" collapsed="false">
      <c r="A1" s="11" t="s">
        <v>17</v>
      </c>
      <c r="J1" s="8" t="s">
        <v>18</v>
      </c>
    </row>
    <row r="2" customFormat="false" ht="15" hidden="false" customHeight="true" outlineLevel="0" collapsed="false"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J2" s="12" t="s">
        <v>25</v>
      </c>
      <c r="K2" s="12" t="s">
        <v>26</v>
      </c>
      <c r="L2" s="12" t="s">
        <v>27</v>
      </c>
      <c r="M2" s="12" t="s">
        <v>28</v>
      </c>
      <c r="N2" s="12" t="s">
        <v>2</v>
      </c>
      <c r="O2" s="12" t="s">
        <v>3</v>
      </c>
      <c r="P2" s="12" t="s">
        <v>4</v>
      </c>
      <c r="Q2" s="12" t="s">
        <v>5</v>
      </c>
      <c r="R2" s="12" t="s">
        <v>29</v>
      </c>
      <c r="S2" s="12" t="s">
        <v>30</v>
      </c>
    </row>
    <row r="3" customFormat="false" ht="15" hidden="false" customHeight="true" outlineLevel="0" collapsed="false">
      <c r="B3" s="13" t="s">
        <v>31</v>
      </c>
      <c r="C3" s="14" t="s">
        <v>20</v>
      </c>
      <c r="D3" s="14" t="s">
        <v>21</v>
      </c>
      <c r="E3" s="14" t="s">
        <v>22</v>
      </c>
      <c r="F3" s="14" t="s">
        <v>23</v>
      </c>
      <c r="J3" s="15" t="n">
        <v>1</v>
      </c>
      <c r="K3" s="15" t="s">
        <v>32</v>
      </c>
      <c r="L3" s="15" t="s">
        <v>33</v>
      </c>
      <c r="M3" s="15" t="s">
        <v>34</v>
      </c>
      <c r="N3" s="16" t="str">
        <f aca="false">IF(CH_BridgeDSCR="n/a","N/A",IF(CH_BridgeDSCR&gt;=1,"PASS","FAIL"))</f>
        <v>FAIL</v>
      </c>
      <c r="O3" s="16" t="str">
        <f aca="false">IF(NZ_BridgeDSCR="n/a","N/A",IF(NZ_BridgeDSCR&gt;=1,"PASS","FAIL"))</f>
        <v>PASS</v>
      </c>
      <c r="P3" s="16" t="str">
        <f aca="false">IF(LOM_BridgeDSCR="n/a","N/A",IF(LOM_BridgeDSCR&gt;=1,"PASS","FAIL"))</f>
        <v>PASS</v>
      </c>
      <c r="Q3" s="16" t="str">
        <f aca="false">IF(SA_BridgeDSCR="n/a","N/A",IF(SA_BridgeDSCR&gt;=1,"PASS","FAIL"))</f>
        <v>N/A</v>
      </c>
      <c r="R3" s="15" t="s">
        <v>35</v>
      </c>
      <c r="S3" s="15" t="s">
        <v>36</v>
      </c>
    </row>
    <row r="4" customFormat="false" ht="15" hidden="false" customHeight="true" outlineLevel="0" collapsed="false">
      <c r="B4" s="13" t="s">
        <v>37</v>
      </c>
      <c r="C4" s="17" t="n">
        <v>84</v>
      </c>
      <c r="D4" s="17" t="n">
        <v>100</v>
      </c>
      <c r="E4" s="17" t="n">
        <v>119</v>
      </c>
      <c r="F4" s="17" t="n">
        <v>204</v>
      </c>
      <c r="G4" s="18" t="n">
        <f aca="false">SUM(C4:F4)</f>
        <v>507</v>
      </c>
      <c r="J4" s="15" t="n">
        <v>2</v>
      </c>
      <c r="K4" s="15" t="s">
        <v>38</v>
      </c>
      <c r="L4" s="15" t="s">
        <v>39</v>
      </c>
      <c r="M4" s="15" t="s">
        <v>40</v>
      </c>
      <c r="N4" s="16" t="str">
        <f aca="false">IF(AND(MIN('CH - Pro Forma'!$E$39:$S$39)&gt;=DSCRFloor,MAX('CH - Pro Forma'!$E$39:$S$39)&lt;=DSCRCeil),"PASS","FAIL")</f>
        <v>FAIL</v>
      </c>
      <c r="O4" s="16" t="str">
        <f aca="false">IF(AND(MIN('NZ - Pro Forma'!$E$39:$S$39)&gt;=DSCRFloor,MAX('NZ - Pro Forma'!$E$39:$S$39)&lt;=DSCRCeil),"PASS","FAIL")</f>
        <v>FAIL</v>
      </c>
      <c r="P4" s="16" t="str">
        <f aca="false">IF(AND(MIN('LOM - Pro Forma'!$E$39:$S$39)&gt;=DSCRFloor,MAX('LOM - Pro Forma'!$E$39:$S$39)&lt;=DSCRCeil),"PASS","FAIL")</f>
        <v>FAIL</v>
      </c>
      <c r="Q4" s="16" t="str">
        <f aca="false">IF(AND(MIN('SA - Pro Forma'!$E$39:$S$39)&gt;=DSCRFloor,MAX('SA - Pro Forma'!$E$39:$S$39)&lt;=DSCRCeil),"PASS","FAIL")</f>
        <v>FAIL</v>
      </c>
      <c r="R4" s="15" t="s">
        <v>41</v>
      </c>
      <c r="S4" s="15" t="s">
        <v>42</v>
      </c>
    </row>
    <row r="5" customFormat="false" ht="15" hidden="false" customHeight="true" outlineLevel="0" collapsed="false">
      <c r="B5" s="13" t="s">
        <v>43</v>
      </c>
      <c r="C5" s="17" t="n">
        <v>84</v>
      </c>
      <c r="D5" s="17" t="n">
        <v>100</v>
      </c>
      <c r="E5" s="17" t="n">
        <v>119</v>
      </c>
      <c r="F5" s="17" t="n">
        <v>123</v>
      </c>
      <c r="G5" s="18" t="n">
        <f aca="false">SUM(C5:F5)</f>
        <v>426</v>
      </c>
      <c r="J5" s="15" t="n">
        <v>3</v>
      </c>
      <c r="K5" s="15" t="s">
        <v>44</v>
      </c>
      <c r="L5" s="15" t="s">
        <v>45</v>
      </c>
      <c r="M5" s="15" t="s">
        <v>46</v>
      </c>
      <c r="N5" s="16" t="str">
        <f aca="false">IF(CH_DDF=0,"N/A",IF(ISNUMBER(CH_DDFPayback),IF(CH_DDFPayback&lt;=15,"PASS","FAIL"),"FAIL"))</f>
        <v>FAIL</v>
      </c>
      <c r="O5" s="16" t="str">
        <f aca="false">IF(NZ_DDF=0,"N/A",IF(ISNUMBER(NZ_DDFPayback),IF(NZ_DDFPayback&lt;=15,"PASS","FAIL"),"FAIL"))</f>
        <v>FAIL</v>
      </c>
      <c r="P5" s="16" t="str">
        <f aca="false">IF(LOM_DDF=0,"N/A",IF(ISNUMBER(LOM_DDFPayback),IF(LOM_DDFPayback&lt;=15,"PASS","FAIL"),"FAIL"))</f>
        <v>FAIL</v>
      </c>
      <c r="Q5" s="16" t="str">
        <f aca="false">IF(SA_DDF=0,"N/A",IF(ISNUMBER(SA_DDFPayback),IF(SA_DDFPayback&lt;=15,"PASS","FAIL"),"FAIL"))</f>
        <v>FAIL</v>
      </c>
      <c r="R5" s="15" t="s">
        <v>41</v>
      </c>
      <c r="S5" s="15" t="s">
        <v>47</v>
      </c>
    </row>
    <row r="6" customFormat="false" ht="15" hidden="false" customHeight="true" outlineLevel="0" collapsed="false">
      <c r="B6" s="13" t="s">
        <v>48</v>
      </c>
      <c r="C6" s="17" t="n">
        <v>73816</v>
      </c>
      <c r="D6" s="17" t="n">
        <v>71212</v>
      </c>
      <c r="E6" s="17" t="n">
        <v>102104</v>
      </c>
      <c r="F6" s="17" t="n">
        <v>191932</v>
      </c>
      <c r="G6" s="18" t="n">
        <f aca="false">SUM(C6:F6)</f>
        <v>439064</v>
      </c>
      <c r="J6" s="15" t="n">
        <v>4</v>
      </c>
      <c r="K6" s="15" t="s">
        <v>49</v>
      </c>
      <c r="L6" s="15" t="s">
        <v>50</v>
      </c>
      <c r="M6" s="15" t="s">
        <v>51</v>
      </c>
      <c r="N6" s="16" t="str">
        <f aca="false">IF('Sources &amp; Uses'!C25&lt;=DevFeeCapPct,"PASS","FAIL")</f>
        <v>PASS</v>
      </c>
      <c r="O6" s="16" t="str">
        <f aca="false">IF('Sources &amp; Uses'!D25&lt;=DevFeeCapPct,"PASS","FAIL")</f>
        <v>PASS</v>
      </c>
      <c r="P6" s="16" t="str">
        <f aca="false">IF('Sources &amp; Uses'!E25&lt;=DevFeeCapPct,"PASS","FAIL")</f>
        <v>PASS</v>
      </c>
      <c r="Q6" s="16" t="str">
        <f aca="false">IF('Sources &amp; Uses'!F25&lt;=DevFeeCapPct,"PASS","FAIL")</f>
        <v>PASS</v>
      </c>
      <c r="R6" s="15" t="s">
        <v>41</v>
      </c>
      <c r="S6" s="15" t="s">
        <v>52</v>
      </c>
    </row>
    <row r="7" customFormat="false" ht="15" hidden="false" customHeight="true" outlineLevel="0" collapsed="false">
      <c r="B7" s="13" t="s">
        <v>53</v>
      </c>
      <c r="C7" s="14" t="s">
        <v>54</v>
      </c>
      <c r="D7" s="14" t="s">
        <v>54</v>
      </c>
      <c r="E7" s="14" t="s">
        <v>55</v>
      </c>
      <c r="F7" s="14" t="s">
        <v>56</v>
      </c>
      <c r="J7" s="15" t="n">
        <v>5</v>
      </c>
      <c r="K7" s="15" t="s">
        <v>57</v>
      </c>
      <c r="L7" s="15" t="s">
        <v>58</v>
      </c>
      <c r="M7" s="15" t="s">
        <v>59</v>
      </c>
      <c r="N7" s="16" t="str">
        <f aca="false">IF(CH_TDCpu&lt;=CH_TDCLimitPU,"PASS","FAIL")</f>
        <v>PASS</v>
      </c>
      <c r="O7" s="16" t="str">
        <f aca="false">IF(NZ_TDCpu&lt;=NZ_TDCLimitPU,"PASS","FAIL")</f>
        <v>PASS</v>
      </c>
      <c r="P7" s="16" t="str">
        <f aca="false">IF(LOM_TDCpu&lt;=LOM_TDCLimitPU,"PASS","FAIL")</f>
        <v>PASS</v>
      </c>
      <c r="Q7" s="16" t="str">
        <f aca="false">IF(SA_TDCpu&lt;=SA_TDCLimitPU,"PASS","FAIL")</f>
        <v>PASS</v>
      </c>
      <c r="R7" s="15" t="s">
        <v>41</v>
      </c>
      <c r="S7" s="15" t="s">
        <v>60</v>
      </c>
    </row>
    <row r="8" customFormat="false" ht="15" hidden="false" customHeight="true" outlineLevel="0" collapsed="false">
      <c r="B8" s="13" t="s">
        <v>61</v>
      </c>
      <c r="C8" s="14" t="s">
        <v>62</v>
      </c>
      <c r="D8" s="14" t="s">
        <v>62</v>
      </c>
      <c r="E8" s="14" t="s">
        <v>63</v>
      </c>
      <c r="F8" s="14" t="s">
        <v>64</v>
      </c>
      <c r="J8" s="15" t="n">
        <v>6</v>
      </c>
      <c r="K8" s="15" t="s">
        <v>65</v>
      </c>
      <c r="L8" s="15" t="s">
        <v>66</v>
      </c>
      <c r="M8" s="15" t="s">
        <v>67</v>
      </c>
      <c r="N8" s="16" t="str">
        <f aca="false">IF(COUNTIF(CH_CapCheck,"FAIL")=0,"PASS","FAIL")</f>
        <v>PASS</v>
      </c>
      <c r="O8" s="16" t="str">
        <f aca="false">IF(COUNTIF(NZ_CapCheck,"FAIL")=0,"PASS","FAIL")</f>
        <v>PASS</v>
      </c>
      <c r="P8" s="16" t="str">
        <f aca="false">IF(COUNTIF(LOM_CapCheck,"FAIL")=0,"PASS","FAIL")</f>
        <v>PASS</v>
      </c>
      <c r="Q8" s="16" t="str">
        <f aca="false">IF(COUNTIF(SA_CapCheck,"FAIL")=0,"PASS","FAIL")</f>
        <v>PASS</v>
      </c>
      <c r="R8" s="15" t="s">
        <v>41</v>
      </c>
      <c r="S8" s="15" t="s">
        <v>68</v>
      </c>
    </row>
    <row r="9" customFormat="false" ht="15" hidden="false" customHeight="true" outlineLevel="0" collapsed="false">
      <c r="B9" s="13" t="s">
        <v>69</v>
      </c>
      <c r="C9" s="14" t="s">
        <v>70</v>
      </c>
      <c r="D9" s="14" t="s">
        <v>70</v>
      </c>
      <c r="E9" s="14" t="s">
        <v>70</v>
      </c>
      <c r="F9" s="14" t="s">
        <v>70</v>
      </c>
      <c r="J9" s="15" t="n">
        <v>7</v>
      </c>
      <c r="K9" s="15" t="s">
        <v>71</v>
      </c>
      <c r="L9" s="15" t="s">
        <v>72</v>
      </c>
      <c r="M9" s="15" t="s">
        <v>73</v>
      </c>
      <c r="N9" s="16" t="str">
        <f aca="false">IF('Rehab Scope'!C9&gt;=MinRehabIRC,"PASS","FAIL")</f>
        <v>PASS</v>
      </c>
      <c r="O9" s="16" t="str">
        <f aca="false">IF('Rehab Scope'!D9&gt;=MinRehabIRC,"PASS","FAIL")</f>
        <v>PASS</v>
      </c>
      <c r="P9" s="16" t="str">
        <f aca="false">IF('Rehab Scope'!E9&gt;=MinRehabIRC,"PASS","FAIL")</f>
        <v>PASS</v>
      </c>
      <c r="Q9" s="16" t="str">
        <f aca="false">IF('Rehab Scope'!F9&gt;=MinRehabIRC,"PASS","FAIL")</f>
        <v>PASS</v>
      </c>
      <c r="R9" s="15" t="s">
        <v>41</v>
      </c>
      <c r="S9" s="15" t="s">
        <v>74</v>
      </c>
    </row>
    <row r="10" customFormat="false" ht="15" hidden="false" customHeight="true" outlineLevel="0" collapsed="false">
      <c r="B10" s="13" t="s">
        <v>75</v>
      </c>
      <c r="C10" s="14" t="s">
        <v>76</v>
      </c>
      <c r="D10" s="14" t="s">
        <v>76</v>
      </c>
      <c r="E10" s="14" t="s">
        <v>76</v>
      </c>
      <c r="F10" s="14" t="s">
        <v>76</v>
      </c>
      <c r="J10" s="15" t="n">
        <v>8</v>
      </c>
      <c r="K10" s="15" t="s">
        <v>77</v>
      </c>
      <c r="L10" s="15" t="s">
        <v>78</v>
      </c>
      <c r="M10" s="15" t="s">
        <v>79</v>
      </c>
      <c r="N10" s="16" t="str">
        <f aca="false">IF(MinRehabQAP="","PENDING",IF('Rehab Scope'!C9&gt;=MinRehabQAP,"PASS","FAIL"))</f>
        <v>PENDING</v>
      </c>
      <c r="O10" s="16" t="str">
        <f aca="false">IF(MinRehabQAP="","PENDING",IF('Rehab Scope'!D9&gt;=MinRehabQAP,"PASS","FAIL"))</f>
        <v>PENDING</v>
      </c>
      <c r="P10" s="16" t="str">
        <f aca="false">IF(MinRehabQAP="","PENDING",IF('Rehab Scope'!E9&gt;=MinRehabQAP,"PASS","FAIL"))</f>
        <v>PENDING</v>
      </c>
      <c r="Q10" s="16" t="str">
        <f aca="false">IF(MinRehabQAP="","PENDING",IF('Rehab Scope'!F9&gt;=MinRehabQAP,"PASS","FAIL"))</f>
        <v>PENDING</v>
      </c>
      <c r="R10" s="15" t="s">
        <v>35</v>
      </c>
      <c r="S10" s="15" t="s">
        <v>80</v>
      </c>
    </row>
    <row r="11" customFormat="false" ht="15" hidden="false" customHeight="true" outlineLevel="0" collapsed="false">
      <c r="B11" s="13" t="s">
        <v>81</v>
      </c>
      <c r="C11" s="14" t="s">
        <v>82</v>
      </c>
      <c r="D11" s="14" t="s">
        <v>82</v>
      </c>
      <c r="E11" s="14" t="s">
        <v>82</v>
      </c>
      <c r="F11" s="14" t="s">
        <v>82</v>
      </c>
      <c r="J11" s="15" t="n">
        <v>9</v>
      </c>
      <c r="K11" s="15" t="s">
        <v>83</v>
      </c>
      <c r="L11" s="15" t="s">
        <v>84</v>
      </c>
      <c r="M11" s="15" t="s">
        <v>85</v>
      </c>
      <c r="N11" s="16" t="str">
        <f aca="false">CH_BondTest</f>
        <v>PASS</v>
      </c>
      <c r="O11" s="16" t="str">
        <f aca="false">NZ_BondTest</f>
        <v>PASS</v>
      </c>
      <c r="P11" s="16" t="str">
        <f aca="false">LOM_BondTest</f>
        <v>PASS</v>
      </c>
      <c r="Q11" s="16" t="str">
        <f aca="false">SA_BondTest</f>
        <v>PASS</v>
      </c>
      <c r="R11" s="15" t="s">
        <v>41</v>
      </c>
      <c r="S11" s="15" t="s">
        <v>86</v>
      </c>
    </row>
    <row r="12" customFormat="false" ht="15" hidden="false" customHeight="true" outlineLevel="0" collapsed="false">
      <c r="B12" s="19" t="s">
        <v>87</v>
      </c>
      <c r="C12" s="20" t="n">
        <v>0</v>
      </c>
      <c r="D12" s="20" t="n">
        <v>0</v>
      </c>
      <c r="E12" s="20" t="n">
        <v>3000000</v>
      </c>
      <c r="F12" s="20" t="n">
        <v>500000</v>
      </c>
      <c r="G12" s="21" t="n">
        <f aca="false">SUM(C12:F12)</f>
        <v>3500000</v>
      </c>
      <c r="J12" s="15" t="n">
        <v>10</v>
      </c>
      <c r="K12" s="15" t="s">
        <v>88</v>
      </c>
      <c r="L12" s="15" t="s">
        <v>89</v>
      </c>
      <c r="M12" s="15" t="s">
        <v>90</v>
      </c>
      <c r="N12" s="16" t="str">
        <f aca="false">IF(CH_VacHAP&gt;=VacancyMin,"PASS","FAIL")</f>
        <v>FAIL</v>
      </c>
      <c r="O12" s="16" t="str">
        <f aca="false">IF(NZ_VacHAP&gt;=VacancyMin,"PASS","FAIL")</f>
        <v>FAIL</v>
      </c>
      <c r="P12" s="16" t="str">
        <f aca="false">IF(LOM_VacHAP&gt;=VacancyMin,"PASS","FAIL")</f>
        <v>PASS</v>
      </c>
      <c r="Q12" s="16" t="str">
        <f aca="false">IF(SA_VacHAP&gt;=VacancyMin,"PASS","FAIL")</f>
        <v>PASS</v>
      </c>
      <c r="R12" s="15" t="s">
        <v>35</v>
      </c>
      <c r="S12" s="15" t="s">
        <v>91</v>
      </c>
    </row>
    <row r="13" customFormat="false" ht="15" hidden="false" customHeight="true" outlineLevel="0" collapsed="false">
      <c r="B13" s="13" t="s">
        <v>92</v>
      </c>
      <c r="C13" s="22" t="n">
        <v>0.15</v>
      </c>
      <c r="D13" s="22" t="n">
        <v>0.15</v>
      </c>
      <c r="E13" s="22" t="n">
        <v>0.15</v>
      </c>
      <c r="F13" s="22" t="n">
        <v>0.15</v>
      </c>
      <c r="J13" s="15" t="n">
        <v>11</v>
      </c>
      <c r="K13" s="15" t="s">
        <v>93</v>
      </c>
      <c r="L13" s="15" t="s">
        <v>94</v>
      </c>
      <c r="M13" s="15" t="s">
        <v>95</v>
      </c>
      <c r="N13" s="16" t="str">
        <f aca="false">IF('Rev+Expenses'!C34&gt;=OpexMinPU,"PASS","FAIL")</f>
        <v>PASS</v>
      </c>
      <c r="O13" s="16" t="str">
        <f aca="false">IF('Rev+Expenses'!D34&gt;=OpexMinPU,"PASS","FAIL")</f>
        <v>PASS</v>
      </c>
      <c r="P13" s="16" t="str">
        <f aca="false">IF('Rev+Expenses'!E34&gt;=OpexMinPU,"PASS","FAIL")</f>
        <v>PASS</v>
      </c>
      <c r="Q13" s="16" t="str">
        <f aca="false">IF('Rev+Expenses'!F34&gt;=OpexMinPU,"PASS","FAIL")</f>
        <v>PASS</v>
      </c>
      <c r="R13" s="15" t="s">
        <v>35</v>
      </c>
      <c r="S13" s="15" t="s">
        <v>91</v>
      </c>
    </row>
    <row r="14" customFormat="false" ht="15" hidden="false" customHeight="true" outlineLevel="0" collapsed="false">
      <c r="B14" s="13" t="s">
        <v>96</v>
      </c>
      <c r="C14" s="23" t="n">
        <v>46357</v>
      </c>
      <c r="D14" s="23" t="n">
        <v>46357</v>
      </c>
      <c r="E14" s="23" t="n">
        <v>46357</v>
      </c>
      <c r="F14" s="23" t="n">
        <v>46357</v>
      </c>
      <c r="J14" s="15" t="n">
        <v>12</v>
      </c>
      <c r="K14" s="15" t="s">
        <v>97</v>
      </c>
      <c r="L14" s="15" t="s">
        <v>98</v>
      </c>
      <c r="M14" s="15" t="s">
        <v>99</v>
      </c>
      <c r="N14" s="16" t="str">
        <f aca="false">IF(CH_MaxPrice=0,"REVIEW",IF(CH_MaxPrice/CH_Units&lt;=60000,"PASS","REVIEW"))</f>
        <v>REVIEW</v>
      </c>
      <c r="O14" s="16" t="str">
        <f aca="false">IF(NZ_MaxPrice=0,"REVIEW",IF(NZ_MaxPrice/NZ_Units&lt;=60000,"PASS","REVIEW"))</f>
        <v>REVIEW</v>
      </c>
      <c r="P14" s="16" t="str">
        <f aca="false">IF(LOM_MaxPrice=0,"REVIEW",IF(LOM_MaxPrice/LOM_Units&lt;=60000,"PASS","REVIEW"))</f>
        <v>PASS</v>
      </c>
      <c r="Q14" s="16" t="str">
        <f aca="false">IF(SA_MaxPrice=0,"REVIEW",IF(SA_MaxPrice/SA_Units&lt;=60000,"PASS","REVIEW"))</f>
        <v>PASS</v>
      </c>
      <c r="R14" s="15" t="s">
        <v>100</v>
      </c>
      <c r="S14" s="15" t="s">
        <v>101</v>
      </c>
    </row>
    <row r="15" customFormat="false" ht="15" hidden="false" customHeight="true" outlineLevel="0" collapsed="false">
      <c r="B15" s="13" t="s">
        <v>102</v>
      </c>
      <c r="C15" s="23" t="n">
        <v>46753</v>
      </c>
      <c r="D15" s="23" t="n">
        <v>47119</v>
      </c>
      <c r="E15" s="23" t="n">
        <v>47119</v>
      </c>
      <c r="F15" s="23" t="n">
        <v>46357</v>
      </c>
      <c r="J15" s="15" t="n">
        <v>13</v>
      </c>
      <c r="K15" s="15" t="s">
        <v>103</v>
      </c>
      <c r="L15" s="15" t="s">
        <v>104</v>
      </c>
      <c r="M15" s="15" t="s">
        <v>105</v>
      </c>
      <c r="N15" s="16" t="str">
        <f aca="false">IF('Sources &amp; Uses'!C12&lt;=SUBalanceTol,"PASS","FAIL")</f>
        <v>FAIL</v>
      </c>
      <c r="O15" s="16" t="str">
        <f aca="false">IF('Sources &amp; Uses'!D12&lt;=SUBalanceTol,"PASS","FAIL")</f>
        <v>FAIL</v>
      </c>
      <c r="P15" s="16" t="str">
        <f aca="false">IF('Sources &amp; Uses'!E12&lt;=SUBalanceTol,"PASS","FAIL")</f>
        <v>PASS</v>
      </c>
      <c r="Q15" s="16" t="str">
        <f aca="false">IF('Sources &amp; Uses'!F12&lt;=SUBalanceTol,"PASS","FAIL")</f>
        <v>PASS</v>
      </c>
      <c r="R15" s="15" t="s">
        <v>41</v>
      </c>
      <c r="S15" s="15" t="s">
        <v>106</v>
      </c>
    </row>
    <row r="16" customFormat="false" ht="15" hidden="false" customHeight="true" outlineLevel="0" collapsed="false">
      <c r="B16" s="13" t="s">
        <v>107</v>
      </c>
      <c r="C16" s="24" t="n">
        <f aca="false">DATEDIF(C14,C15,"m")</f>
        <v>13</v>
      </c>
      <c r="D16" s="24" t="n">
        <f aca="false">DATEDIF(D14,D15,"m")</f>
        <v>25</v>
      </c>
      <c r="E16" s="24" t="n">
        <f aca="false">DATEDIF(E14,E15,"m")</f>
        <v>25</v>
      </c>
      <c r="F16" s="24" t="n">
        <f aca="false">DATEDIF(F14,F15,"m")</f>
        <v>0</v>
      </c>
      <c r="J16" s="15" t="n">
        <v>14</v>
      </c>
      <c r="K16" s="15" t="s">
        <v>108</v>
      </c>
      <c r="L16" s="15" t="s">
        <v>109</v>
      </c>
      <c r="M16" s="15" t="s">
        <v>110</v>
      </c>
      <c r="N16" s="16" t="str">
        <f aca="false">"PENDING"</f>
        <v>PENDING</v>
      </c>
      <c r="O16" s="16" t="str">
        <f aca="false">"PENDING"</f>
        <v>PENDING</v>
      </c>
      <c r="P16" s="16" t="str">
        <f aca="false">"PENDING"</f>
        <v>PENDING</v>
      </c>
      <c r="Q16" s="16" t="str">
        <f aca="false">"PENDING"</f>
        <v>PENDING</v>
      </c>
      <c r="R16" s="15" t="s">
        <v>35</v>
      </c>
      <c r="S16" s="15" t="s">
        <v>111</v>
      </c>
    </row>
    <row r="17" customFormat="false" ht="15" hidden="false" customHeight="true" outlineLevel="0" collapsed="false">
      <c r="B17" s="13" t="s">
        <v>112</v>
      </c>
      <c r="C17" s="25" t="n">
        <v>12</v>
      </c>
      <c r="D17" s="25" t="n">
        <v>12</v>
      </c>
      <c r="E17" s="25" t="n">
        <v>15</v>
      </c>
      <c r="F17" s="25" t="n">
        <v>18</v>
      </c>
      <c r="J17" s="15" t="n">
        <v>15</v>
      </c>
      <c r="K17" s="15" t="s">
        <v>113</v>
      </c>
      <c r="L17" s="15" t="s">
        <v>114</v>
      </c>
      <c r="M17" s="15" t="s">
        <v>115</v>
      </c>
      <c r="N17" s="16" t="str">
        <f aca="false">"PENDING"</f>
        <v>PENDING</v>
      </c>
      <c r="O17" s="16" t="str">
        <f aca="false">"PENDING"</f>
        <v>PENDING</v>
      </c>
      <c r="P17" s="16" t="str">
        <f aca="false">"PENDING"</f>
        <v>PENDING</v>
      </c>
      <c r="Q17" s="16" t="str">
        <f aca="false">"PENDING"</f>
        <v>PENDING</v>
      </c>
      <c r="R17" s="15" t="s">
        <v>35</v>
      </c>
      <c r="S17" s="15" t="s">
        <v>116</v>
      </c>
    </row>
    <row r="18" customFormat="false" ht="15" hidden="false" customHeight="true" outlineLevel="0" collapsed="false">
      <c r="B18" s="13" t="s">
        <v>117</v>
      </c>
      <c r="C18" s="23" t="n">
        <v>53692</v>
      </c>
      <c r="D18" s="23" t="n">
        <v>53692</v>
      </c>
      <c r="E18" s="23" t="n">
        <v>53692</v>
      </c>
      <c r="F18" s="23" t="n">
        <v>53692</v>
      </c>
    </row>
    <row r="19" customFormat="false" ht="15" hidden="false" customHeight="true" outlineLevel="0" collapsed="false">
      <c r="B19" s="13" t="s">
        <v>118</v>
      </c>
      <c r="C19" s="26" t="n">
        <f aca="false">YEAR(C15)-YEAR($C$14)</f>
        <v>2</v>
      </c>
      <c r="D19" s="26" t="n">
        <f aca="false">YEAR(D15)-YEAR($C$14)</f>
        <v>3</v>
      </c>
      <c r="E19" s="26" t="n">
        <f aca="false">YEAR(E15)-YEAR($C$14)</f>
        <v>3</v>
      </c>
      <c r="F19" s="26" t="n">
        <f aca="false">YEAR(F15)-YEAR($C$14)</f>
        <v>0</v>
      </c>
      <c r="J19" s="8" t="s">
        <v>119</v>
      </c>
      <c r="N19" s="15" t="n">
        <f aca="false">COUNTIFS($R$3:$R$17,"error",N$3:N$17,"FAIL")</f>
        <v>3</v>
      </c>
      <c r="O19" s="15" t="n">
        <f aca="false">COUNTIFS($R$3:$R$17,"error",O$3:O$17,"FAIL")</f>
        <v>3</v>
      </c>
      <c r="P19" s="15" t="n">
        <f aca="false">COUNTIFS($R$3:$R$17,"error",P$3:P$17,"FAIL")</f>
        <v>2</v>
      </c>
      <c r="Q19" s="15" t="n">
        <f aca="false">COUNTIFS($R$3:$R$17,"error",Q$3:Q$17,"FAIL")</f>
        <v>2</v>
      </c>
    </row>
    <row r="20" customFormat="false" ht="15" hidden="false" customHeight="true" outlineLevel="0" collapsed="false">
      <c r="J20" s="8" t="s">
        <v>120</v>
      </c>
      <c r="N20" s="15" t="n">
        <f aca="false">COUNTIFS($R$3:$R$17,"warning",N$3:N$17,"FAIL")</f>
        <v>2</v>
      </c>
      <c r="O20" s="15" t="n">
        <f aca="false">COUNTIFS($R$3:$R$17,"warning",O$3:O$17,"FAIL")</f>
        <v>1</v>
      </c>
      <c r="P20" s="15" t="n">
        <f aca="false">COUNTIFS($R$3:$R$17,"warning",P$3:P$17,"FAIL")</f>
        <v>0</v>
      </c>
      <c r="Q20" s="15" t="n">
        <f aca="false">COUNTIFS($R$3:$R$17,"warning",Q$3:Q$17,"FAIL")</f>
        <v>0</v>
      </c>
    </row>
    <row r="21" customFormat="false" ht="15" hidden="false" customHeight="true" outlineLevel="0" collapsed="false">
      <c r="B21" s="3" t="s">
        <v>121</v>
      </c>
      <c r="C21" s="3" t="s">
        <v>122</v>
      </c>
      <c r="D21" s="3"/>
      <c r="E21" s="3"/>
      <c r="F21" s="3"/>
      <c r="G21" s="3"/>
      <c r="J21" s="8" t="s">
        <v>123</v>
      </c>
      <c r="N21" s="15" t="n">
        <f aca="false">COUNTIF(N$3:N$17,"PENDING")</f>
        <v>3</v>
      </c>
      <c r="O21" s="15" t="n">
        <f aca="false">COUNTIF(O$3:O$17,"PENDING")</f>
        <v>3</v>
      </c>
      <c r="P21" s="15" t="n">
        <f aca="false">COUNTIF(P$3:P$17,"PENDING")</f>
        <v>3</v>
      </c>
      <c r="Q21" s="15" t="n">
        <f aca="false">COUNTIF(Q$3:Q$17,"PENDING")</f>
        <v>3</v>
      </c>
    </row>
    <row r="22" customFormat="false" ht="15" hidden="false" customHeight="true" outlineLevel="0" collapsed="false">
      <c r="B22" s="13" t="s">
        <v>124</v>
      </c>
      <c r="C22" s="14" t="s">
        <v>125</v>
      </c>
      <c r="J22" s="8" t="s">
        <v>126</v>
      </c>
      <c r="N22" s="10" t="str">
        <f aca="false">IF(N19&gt;0,"FAIL",IF((N20+N21)&gt;0,"MARGINAL","PENCILS"))</f>
        <v>FAIL</v>
      </c>
      <c r="O22" s="10" t="str">
        <f aca="false">IF(O19&gt;0,"FAIL",IF((O20+O21)&gt;0,"MARGINAL","PENCILS"))</f>
        <v>FAIL</v>
      </c>
      <c r="P22" s="10" t="str">
        <f aca="false">IF(P19&gt;0,"FAIL",IF((P20+P21)&gt;0,"MARGINAL","PENCILS"))</f>
        <v>FAIL</v>
      </c>
      <c r="Q22" s="10" t="str">
        <f aca="false">IF(Q19&gt;0,"FAIL",IF((Q20+Q21)&gt;0,"MARGINAL","PENCILS"))</f>
        <v>FAIL</v>
      </c>
    </row>
    <row r="23" customFormat="false" ht="15" hidden="false" customHeight="true" outlineLevel="0" collapsed="false">
      <c r="B23" s="13" t="s">
        <v>127</v>
      </c>
      <c r="C23" s="27" t="n">
        <v>1.15</v>
      </c>
      <c r="J23" s="8" t="s">
        <v>16</v>
      </c>
      <c r="N23" s="8" t="str">
        <f aca="false">IF(COUNTIF(N22:Q22,"FAIL")&gt;0,"FAIL",IF(COUNTIF(N22:Q22,"MARGINAL")&gt;0,"MARGINAL","PENCILS"))</f>
        <v>FAIL</v>
      </c>
    </row>
    <row r="24" customFormat="false" ht="15" hidden="false" customHeight="true" outlineLevel="0" collapsed="false">
      <c r="B24" s="13" t="s">
        <v>128</v>
      </c>
      <c r="C24" s="22" t="n">
        <v>0.025</v>
      </c>
    </row>
    <row r="25" customFormat="false" ht="15" hidden="false" customHeight="true" outlineLevel="0" collapsed="false">
      <c r="B25" s="13" t="s">
        <v>129</v>
      </c>
      <c r="C25" s="28" t="n">
        <v>0.75</v>
      </c>
    </row>
    <row r="26" customFormat="false" ht="15" hidden="false" customHeight="true" outlineLevel="0" collapsed="false">
      <c r="B26" s="13" t="s">
        <v>130</v>
      </c>
      <c r="C26" s="29" t="n">
        <v>0.098</v>
      </c>
    </row>
    <row r="27" customFormat="false" ht="15" hidden="false" customHeight="true" outlineLevel="0" collapsed="false">
      <c r="B27" s="13" t="s">
        <v>131</v>
      </c>
      <c r="C27" s="22" t="n">
        <v>0.03</v>
      </c>
    </row>
    <row r="28" customFormat="false" ht="15" hidden="false" customHeight="true" outlineLevel="0" collapsed="false">
      <c r="B28" s="13" t="s">
        <v>132</v>
      </c>
      <c r="C28" s="22" t="n">
        <v>0.06</v>
      </c>
    </row>
    <row r="29" customFormat="false" ht="15" hidden="false" customHeight="true" outlineLevel="0" collapsed="false">
      <c r="B29" s="13" t="s">
        <v>133</v>
      </c>
      <c r="C29" s="22" t="n">
        <v>0.1</v>
      </c>
    </row>
    <row r="30" customFormat="false" ht="15" hidden="false" customHeight="true" outlineLevel="0" collapsed="false">
      <c r="B30" s="13" t="s">
        <v>134</v>
      </c>
      <c r="C30" s="22" t="n">
        <v>0.04</v>
      </c>
    </row>
    <row r="31" customFormat="false" ht="15" hidden="false" customHeight="true" outlineLevel="0" collapsed="false">
      <c r="B31" s="13" t="s">
        <v>135</v>
      </c>
      <c r="C31" s="30" t="n">
        <v>0.8</v>
      </c>
    </row>
    <row r="32" customFormat="false" ht="15" hidden="false" customHeight="true" outlineLevel="0" collapsed="false">
      <c r="B32" s="13" t="s">
        <v>136</v>
      </c>
      <c r="C32" s="31" t="n">
        <v>0.06</v>
      </c>
    </row>
    <row r="33" customFormat="false" ht="15" hidden="false" customHeight="true" outlineLevel="0" collapsed="false">
      <c r="B33" s="13" t="s">
        <v>137</v>
      </c>
      <c r="C33" s="32" t="n">
        <v>35</v>
      </c>
    </row>
    <row r="34" customFormat="false" ht="15" hidden="false" customHeight="true" outlineLevel="0" collapsed="false">
      <c r="B34" s="13" t="s">
        <v>138</v>
      </c>
      <c r="C34" s="33" t="n">
        <v>0.9</v>
      </c>
    </row>
    <row r="35" customFormat="false" ht="15" hidden="false" customHeight="true" outlineLevel="0" collapsed="false">
      <c r="B35" s="13" t="s">
        <v>139</v>
      </c>
      <c r="C35" s="14" t="s">
        <v>140</v>
      </c>
    </row>
    <row r="36" customFormat="false" ht="15" hidden="false" customHeight="true" outlineLevel="0" collapsed="false">
      <c r="B36" s="13" t="s">
        <v>141</v>
      </c>
      <c r="C36" s="34" t="n">
        <v>40000</v>
      </c>
    </row>
    <row r="37" customFormat="false" ht="15" hidden="false" customHeight="true" outlineLevel="0" collapsed="false">
      <c r="B37" s="13" t="s">
        <v>142</v>
      </c>
      <c r="C37" s="34" t="n">
        <v>2500</v>
      </c>
    </row>
    <row r="38" customFormat="false" ht="15" hidden="false" customHeight="true" outlineLevel="0" collapsed="false">
      <c r="B38" s="13" t="s">
        <v>143</v>
      </c>
      <c r="C38" s="29" t="n">
        <v>0.04</v>
      </c>
    </row>
    <row r="39" customFormat="false" ht="15" hidden="false" customHeight="true" outlineLevel="0" collapsed="false">
      <c r="B39" s="13" t="s">
        <v>144</v>
      </c>
      <c r="C39" s="35" t="s">
        <v>145</v>
      </c>
    </row>
    <row r="41" customFormat="false" ht="15" hidden="false" customHeight="true" outlineLevel="0" collapsed="false">
      <c r="B41" s="36" t="s">
        <v>146</v>
      </c>
    </row>
  </sheetData>
  <dataValidations count="5">
    <dataValidation allowBlank="false" errorStyle="stop" operator="between" showDropDown="false" showErrorMessage="false" showInputMessage="false" sqref="C10:F10" type="list">
      <formula1>"4% bond,9% competitive"</formula1>
      <formula2>0</formula2>
    </dataValidation>
    <dataValidation allowBlank="false" errorStyle="stop" operator="between" showDropDown="false" showErrorMessage="false" showInputMessage="false" sqref="C11:F11" type="list">
      <formula1>"Yes,No"</formula1>
      <formula2>0</formula2>
    </dataValidation>
    <dataValidation allowBlank="false" errorStyle="stop" operator="between" showDropDown="false" showErrorMessage="false" showInputMessage="false" sqref="C9:F9" type="list">
      <formula1>"Walkup,Detached/Semi-Detached,Row House,Elevator"</formula1>
      <formula2>0</formula2>
    </dataValidation>
    <dataValidation allowBlank="false" errorStyle="stop" operator="between" showDropDown="false" showErrorMessage="false" showInputMessage="false" sqref="C35" type="list">
      <formula1>"Refinance,Assume &amp; Hold"</formula1>
      <formula2>0</formula2>
    </dataValidation>
    <dataValidation allowBlank="false" errorStyle="stop" operator="between" showDropDown="false" showErrorMessage="false" showInputMessage="false" sqref="C8:F8" type="list">
      <formula1>"Shreveport,Lafayette,Baton Rouge"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3"/>
  <sheetViews>
    <sheetView showFormulas="false" showGridLines="fals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.43"/>
    <col collapsed="false" customWidth="true" hidden="false" outlineLevel="0" max="2" min="2" style="1" width="34"/>
    <col collapsed="false" customWidth="true" hidden="false" outlineLevel="0" max="7" min="3" style="1" width="13.5"/>
    <col collapsed="false" customWidth="true" hidden="false" outlineLevel="0" max="8" min="8" style="1" width="2"/>
    <col collapsed="false" customWidth="true" hidden="false" outlineLevel="0" max="9" min="9" style="1" width="60"/>
  </cols>
  <sheetData>
    <row r="1" customFormat="false" ht="17.25" hidden="false" customHeight="true" outlineLevel="0" collapsed="false">
      <c r="A1" s="11" t="s">
        <v>147</v>
      </c>
    </row>
    <row r="2" customFormat="false" ht="15" hidden="false" customHeight="true" outlineLevel="0" collapsed="false">
      <c r="B2" s="36" t="s">
        <v>148</v>
      </c>
    </row>
    <row r="4" customFormat="false" ht="15" hidden="false" customHeight="true" outlineLevel="0" collapsed="false">
      <c r="B4" s="3" t="s">
        <v>149</v>
      </c>
      <c r="C4" s="3" t="s">
        <v>150</v>
      </c>
      <c r="D4" s="3" t="s">
        <v>151</v>
      </c>
      <c r="E4" s="3" t="s">
        <v>152</v>
      </c>
      <c r="F4" s="3" t="s">
        <v>153</v>
      </c>
      <c r="G4" s="3" t="s">
        <v>154</v>
      </c>
    </row>
    <row r="5" customFormat="false" ht="15" hidden="false" customHeight="true" outlineLevel="0" collapsed="false">
      <c r="B5" s="13" t="s">
        <v>155</v>
      </c>
      <c r="C5" s="37" t="n">
        <v>882240</v>
      </c>
      <c r="D5" s="37" t="n">
        <v>924973</v>
      </c>
      <c r="E5" s="37" t="n">
        <v>977289</v>
      </c>
      <c r="F5" s="37" t="n">
        <v>1041024</v>
      </c>
      <c r="G5" s="37" t="n">
        <v>1145126</v>
      </c>
    </row>
    <row r="6" customFormat="false" ht="15" hidden="false" customHeight="true" outlineLevel="0" collapsed="false">
      <c r="B6" s="13" t="s">
        <v>156</v>
      </c>
      <c r="C6" s="37" t="n">
        <v>-130117</v>
      </c>
      <c r="D6" s="37" t="n">
        <v>-76791</v>
      </c>
      <c r="E6" s="37" t="n">
        <v>-61743</v>
      </c>
      <c r="F6" s="37" t="n">
        <v>-52051</v>
      </c>
      <c r="G6" s="37" t="n">
        <v>-57256</v>
      </c>
    </row>
    <row r="7" customFormat="false" ht="15" hidden="false" customHeight="true" outlineLevel="0" collapsed="false">
      <c r="B7" s="13" t="s">
        <v>157</v>
      </c>
      <c r="C7" s="37" t="n">
        <v>1419</v>
      </c>
      <c r="D7" s="37" t="n">
        <v>611</v>
      </c>
      <c r="E7" s="37" t="n">
        <v>0</v>
      </c>
      <c r="F7" s="37" t="n">
        <v>0</v>
      </c>
      <c r="G7" s="37" t="n">
        <v>0</v>
      </c>
    </row>
    <row r="8" customFormat="false" ht="15" hidden="false" customHeight="true" outlineLevel="0" collapsed="false">
      <c r="B8" s="13" t="s">
        <v>158</v>
      </c>
      <c r="C8" s="37" t="n">
        <v>9732</v>
      </c>
      <c r="D8" s="37" t="n">
        <v>16458</v>
      </c>
      <c r="E8" s="37" t="n">
        <v>15348</v>
      </c>
      <c r="F8" s="37" t="n">
        <v>13095</v>
      </c>
      <c r="G8" s="37" t="n">
        <v>13095</v>
      </c>
    </row>
    <row r="9" customFormat="false" ht="15" hidden="false" customHeight="true" outlineLevel="0" collapsed="false">
      <c r="B9" s="19" t="s">
        <v>159</v>
      </c>
      <c r="C9" s="38" t="n">
        <v>763274</v>
      </c>
      <c r="D9" s="38" t="n">
        <v>865251</v>
      </c>
      <c r="E9" s="38" t="n">
        <v>930894</v>
      </c>
      <c r="F9" s="38" t="n">
        <v>1002068</v>
      </c>
      <c r="G9" s="38" t="n">
        <v>1100965</v>
      </c>
    </row>
    <row r="10" customFormat="false" ht="15" hidden="false" customHeight="true" outlineLevel="0" collapsed="false">
      <c r="B10" s="13" t="s">
        <v>160</v>
      </c>
      <c r="C10" s="37" t="n">
        <v>190634</v>
      </c>
      <c r="D10" s="37" t="n">
        <v>233628</v>
      </c>
      <c r="E10" s="37" t="n">
        <v>225894</v>
      </c>
      <c r="F10" s="37" t="n">
        <v>194189</v>
      </c>
      <c r="G10" s="37" t="n">
        <v>201268</v>
      </c>
    </row>
    <row r="11" customFormat="false" ht="15" hidden="false" customHeight="true" outlineLevel="0" collapsed="false">
      <c r="B11" s="13" t="s">
        <v>161</v>
      </c>
      <c r="C11" s="37" t="n">
        <v>105165</v>
      </c>
      <c r="D11" s="37" t="n">
        <v>119952</v>
      </c>
      <c r="E11" s="37" t="n">
        <v>129702</v>
      </c>
      <c r="F11" s="37" t="n">
        <v>129702</v>
      </c>
      <c r="G11" s="37" t="n">
        <v>129702</v>
      </c>
    </row>
    <row r="12" customFormat="false" ht="15" hidden="false" customHeight="true" outlineLevel="0" collapsed="false">
      <c r="B12" s="13" t="s">
        <v>162</v>
      </c>
      <c r="C12" s="37" t="n">
        <v>521839</v>
      </c>
      <c r="D12" s="37" t="n">
        <v>538847</v>
      </c>
      <c r="E12" s="37" t="n">
        <v>428546</v>
      </c>
      <c r="F12" s="37" t="n">
        <v>329597</v>
      </c>
      <c r="G12" s="37" t="n">
        <v>329597</v>
      </c>
    </row>
    <row r="13" customFormat="false" ht="15" hidden="false" customHeight="true" outlineLevel="0" collapsed="false">
      <c r="B13" s="13" t="s">
        <v>163</v>
      </c>
      <c r="C13" s="37" t="n">
        <v>156161</v>
      </c>
      <c r="D13" s="37" t="n">
        <v>158657</v>
      </c>
      <c r="E13" s="37" t="n">
        <v>154121</v>
      </c>
      <c r="F13" s="37" t="n">
        <v>149893</v>
      </c>
      <c r="G13" s="37" t="n">
        <v>149893</v>
      </c>
    </row>
    <row r="14" customFormat="false" ht="15" hidden="false" customHeight="true" outlineLevel="0" collapsed="false">
      <c r="B14" s="13" t="s">
        <v>164</v>
      </c>
      <c r="C14" s="37" t="n">
        <v>18936</v>
      </c>
      <c r="D14" s="37" t="n">
        <v>18937</v>
      </c>
      <c r="E14" s="37" t="n">
        <v>18937</v>
      </c>
      <c r="F14" s="37" t="n">
        <v>25200</v>
      </c>
      <c r="G14" s="37" t="n">
        <v>25200</v>
      </c>
    </row>
    <row r="15" customFormat="false" ht="15" hidden="false" customHeight="true" outlineLevel="0" collapsed="false">
      <c r="B15" s="19" t="s">
        <v>165</v>
      </c>
      <c r="C15" s="38" t="n">
        <v>992735</v>
      </c>
      <c r="D15" s="38" t="n">
        <v>1070021</v>
      </c>
      <c r="E15" s="38" t="n">
        <v>957200</v>
      </c>
      <c r="F15" s="38" t="n">
        <v>828581</v>
      </c>
      <c r="G15" s="38" t="n">
        <v>835660</v>
      </c>
    </row>
    <row r="16" customFormat="false" ht="15" hidden="false" customHeight="true" outlineLevel="0" collapsed="false">
      <c r="B16" s="19" t="s">
        <v>166</v>
      </c>
      <c r="C16" s="38" t="n">
        <v>-229461</v>
      </c>
      <c r="D16" s="38" t="n">
        <v>-204770</v>
      </c>
      <c r="E16" s="38" t="n">
        <v>-26306</v>
      </c>
      <c r="F16" s="38" t="n">
        <v>173487</v>
      </c>
      <c r="G16" s="38" t="n">
        <v>265305</v>
      </c>
    </row>
    <row r="19" customFormat="false" ht="15" hidden="false" customHeight="true" outlineLevel="0" collapsed="false">
      <c r="B19" s="3" t="s">
        <v>167</v>
      </c>
      <c r="C19" s="3" t="s">
        <v>150</v>
      </c>
      <c r="D19" s="3" t="s">
        <v>151</v>
      </c>
      <c r="E19" s="3" t="s">
        <v>152</v>
      </c>
      <c r="F19" s="3" t="s">
        <v>153</v>
      </c>
      <c r="G19" s="3" t="s">
        <v>154</v>
      </c>
    </row>
    <row r="20" customFormat="false" ht="15" hidden="false" customHeight="true" outlineLevel="0" collapsed="false">
      <c r="B20" s="13" t="s">
        <v>155</v>
      </c>
      <c r="C20" s="37" t="n">
        <v>1055452</v>
      </c>
      <c r="D20" s="37" t="n">
        <v>1088020</v>
      </c>
      <c r="E20" s="37" t="n">
        <v>1127028</v>
      </c>
      <c r="F20" s="37" t="n">
        <v>1250739</v>
      </c>
      <c r="G20" s="37" t="n">
        <v>1375813</v>
      </c>
    </row>
    <row r="21" customFormat="false" ht="15" hidden="false" customHeight="true" outlineLevel="0" collapsed="false">
      <c r="B21" s="13" t="s">
        <v>156</v>
      </c>
      <c r="C21" s="37" t="n">
        <v>-152508</v>
      </c>
      <c r="D21" s="37" t="n">
        <v>-76003</v>
      </c>
      <c r="E21" s="37" t="n">
        <v>-60328</v>
      </c>
      <c r="F21" s="37" t="n">
        <v>-62537</v>
      </c>
      <c r="G21" s="37" t="n">
        <v>-68791</v>
      </c>
    </row>
    <row r="22" customFormat="false" ht="15" hidden="false" customHeight="true" outlineLevel="0" collapsed="false">
      <c r="B22" s="13" t="s">
        <v>157</v>
      </c>
      <c r="C22" s="37" t="n">
        <v>3296</v>
      </c>
      <c r="D22" s="37" t="n">
        <v>1918</v>
      </c>
      <c r="E22" s="37" t="n">
        <v>0</v>
      </c>
      <c r="F22" s="37" t="n">
        <v>0</v>
      </c>
      <c r="G22" s="37" t="n">
        <v>0</v>
      </c>
    </row>
    <row r="23" customFormat="false" ht="15" hidden="false" customHeight="true" outlineLevel="0" collapsed="false">
      <c r="B23" s="13" t="s">
        <v>158</v>
      </c>
      <c r="C23" s="37" t="n">
        <v>10518</v>
      </c>
      <c r="D23" s="37" t="n">
        <v>12095</v>
      </c>
      <c r="E23" s="37" t="n">
        <v>8040</v>
      </c>
      <c r="F23" s="37" t="n">
        <v>11307</v>
      </c>
      <c r="G23" s="37" t="n">
        <v>11307</v>
      </c>
    </row>
    <row r="24" customFormat="false" ht="15" hidden="false" customHeight="true" outlineLevel="0" collapsed="false">
      <c r="B24" s="19" t="s">
        <v>159</v>
      </c>
      <c r="C24" s="38" t="n">
        <v>916758</v>
      </c>
      <c r="D24" s="38" t="n">
        <v>1026030</v>
      </c>
      <c r="E24" s="38" t="n">
        <v>1074740</v>
      </c>
      <c r="F24" s="38" t="n">
        <v>1199509</v>
      </c>
      <c r="G24" s="38" t="n">
        <v>1318329</v>
      </c>
    </row>
    <row r="25" customFormat="false" ht="15" hidden="false" customHeight="true" outlineLevel="0" collapsed="false">
      <c r="B25" s="13" t="s">
        <v>160</v>
      </c>
      <c r="C25" s="37" t="n">
        <v>245612</v>
      </c>
      <c r="D25" s="37" t="n">
        <v>286194</v>
      </c>
      <c r="E25" s="37" t="n">
        <v>249338</v>
      </c>
      <c r="F25" s="37" t="n">
        <v>216454</v>
      </c>
      <c r="G25" s="37" t="n">
        <v>224959</v>
      </c>
    </row>
    <row r="26" customFormat="false" ht="15" hidden="false" customHeight="true" outlineLevel="0" collapsed="false">
      <c r="B26" s="13" t="s">
        <v>161</v>
      </c>
      <c r="C26" s="37" t="n">
        <v>69411</v>
      </c>
      <c r="D26" s="37" t="n">
        <v>65311</v>
      </c>
      <c r="E26" s="37" t="n">
        <v>66614</v>
      </c>
      <c r="F26" s="37" t="n">
        <v>66614</v>
      </c>
      <c r="G26" s="37" t="n">
        <v>66614</v>
      </c>
    </row>
    <row r="27" customFormat="false" ht="15" hidden="false" customHeight="true" outlineLevel="0" collapsed="false">
      <c r="B27" s="13" t="s">
        <v>162</v>
      </c>
      <c r="C27" s="37" t="n">
        <v>517638</v>
      </c>
      <c r="D27" s="37" t="n">
        <v>511923</v>
      </c>
      <c r="E27" s="37" t="n">
        <v>435741</v>
      </c>
      <c r="F27" s="37" t="n">
        <v>366083</v>
      </c>
      <c r="G27" s="37" t="n">
        <v>366083</v>
      </c>
    </row>
    <row r="28" customFormat="false" ht="15" hidden="false" customHeight="true" outlineLevel="0" collapsed="false">
      <c r="B28" s="13" t="s">
        <v>163</v>
      </c>
      <c r="C28" s="37" t="n">
        <v>184343</v>
      </c>
      <c r="D28" s="37" t="n">
        <v>169930</v>
      </c>
      <c r="E28" s="37" t="n">
        <v>163199</v>
      </c>
      <c r="F28" s="37" t="n">
        <v>157724</v>
      </c>
      <c r="G28" s="37" t="n">
        <v>157724</v>
      </c>
    </row>
    <row r="29" customFormat="false" ht="15" hidden="false" customHeight="true" outlineLevel="0" collapsed="false">
      <c r="B29" s="13" t="s">
        <v>164</v>
      </c>
      <c r="C29" s="37" t="n">
        <v>30480</v>
      </c>
      <c r="D29" s="37" t="n">
        <v>30480</v>
      </c>
      <c r="E29" s="37" t="n">
        <v>30480</v>
      </c>
      <c r="F29" s="37" t="n">
        <v>30000</v>
      </c>
      <c r="G29" s="37" t="n">
        <v>30000</v>
      </c>
    </row>
    <row r="30" customFormat="false" ht="15" hidden="false" customHeight="true" outlineLevel="0" collapsed="false">
      <c r="B30" s="19" t="s">
        <v>165</v>
      </c>
      <c r="C30" s="38" t="n">
        <v>1047484</v>
      </c>
      <c r="D30" s="38" t="n">
        <v>1063838</v>
      </c>
      <c r="E30" s="38" t="n">
        <v>945372</v>
      </c>
      <c r="F30" s="38" t="n">
        <v>836876</v>
      </c>
      <c r="G30" s="38" t="n">
        <v>845381</v>
      </c>
    </row>
    <row r="31" customFormat="false" ht="15" hidden="false" customHeight="true" outlineLevel="0" collapsed="false">
      <c r="B31" s="19" t="s">
        <v>166</v>
      </c>
      <c r="C31" s="38" t="n">
        <v>-130726</v>
      </c>
      <c r="D31" s="38" t="n">
        <v>-37808</v>
      </c>
      <c r="E31" s="38" t="n">
        <v>129368</v>
      </c>
      <c r="F31" s="38" t="n">
        <v>362633</v>
      </c>
      <c r="G31" s="38" t="n">
        <v>472948</v>
      </c>
    </row>
    <row r="34" customFormat="false" ht="15" hidden="false" customHeight="true" outlineLevel="0" collapsed="false">
      <c r="B34" s="3" t="s">
        <v>168</v>
      </c>
      <c r="C34" s="3" t="s">
        <v>150</v>
      </c>
      <c r="D34" s="3" t="s">
        <v>151</v>
      </c>
      <c r="E34" s="3" t="s">
        <v>152</v>
      </c>
      <c r="F34" s="3" t="s">
        <v>153</v>
      </c>
      <c r="G34" s="3" t="s">
        <v>154</v>
      </c>
    </row>
    <row r="35" customFormat="false" ht="15" hidden="false" customHeight="true" outlineLevel="0" collapsed="false">
      <c r="B35" s="13" t="s">
        <v>155</v>
      </c>
      <c r="C35" s="37" t="n">
        <v>1370464</v>
      </c>
      <c r="D35" s="37" t="n">
        <v>1427333</v>
      </c>
      <c r="E35" s="37" t="n">
        <v>1481844</v>
      </c>
      <c r="F35" s="37" t="n">
        <v>1569468</v>
      </c>
      <c r="G35" s="37" t="n">
        <v>1726415</v>
      </c>
    </row>
    <row r="36" customFormat="false" ht="15" hidden="false" customHeight="true" outlineLevel="0" collapsed="false">
      <c r="B36" s="13" t="s">
        <v>156</v>
      </c>
      <c r="C36" s="37" t="n">
        <v>-97424</v>
      </c>
      <c r="D36" s="37" t="n">
        <v>-104704</v>
      </c>
      <c r="E36" s="37" t="n">
        <v>-60314</v>
      </c>
      <c r="F36" s="37" t="n">
        <v>-78473</v>
      </c>
      <c r="G36" s="37" t="n">
        <v>-86321</v>
      </c>
    </row>
    <row r="37" customFormat="false" ht="15" hidden="false" customHeight="true" outlineLevel="0" collapsed="false">
      <c r="B37" s="13" t="s">
        <v>157</v>
      </c>
      <c r="C37" s="37" t="n">
        <v>12138</v>
      </c>
      <c r="D37" s="37" t="n">
        <v>1813</v>
      </c>
      <c r="E37" s="37" t="n">
        <v>0</v>
      </c>
      <c r="F37" s="37" t="n">
        <v>0</v>
      </c>
      <c r="G37" s="37" t="n">
        <v>0</v>
      </c>
    </row>
    <row r="38" customFormat="false" ht="15" hidden="false" customHeight="true" outlineLevel="0" collapsed="false">
      <c r="B38" s="13" t="s">
        <v>158</v>
      </c>
      <c r="C38" s="37" t="n">
        <v>45461</v>
      </c>
      <c r="D38" s="37" t="n">
        <v>20035</v>
      </c>
      <c r="E38" s="37" t="n">
        <v>18452</v>
      </c>
      <c r="F38" s="37" t="n">
        <v>16003</v>
      </c>
      <c r="G38" s="37" t="n">
        <v>16003</v>
      </c>
    </row>
    <row r="39" customFormat="false" ht="15" hidden="false" customHeight="true" outlineLevel="0" collapsed="false">
      <c r="B39" s="19" t="s">
        <v>159</v>
      </c>
      <c r="C39" s="38" t="n">
        <v>1330639</v>
      </c>
      <c r="D39" s="38" t="n">
        <v>1344477</v>
      </c>
      <c r="E39" s="38" t="n">
        <v>1439982</v>
      </c>
      <c r="F39" s="38" t="n">
        <v>1506998</v>
      </c>
      <c r="G39" s="38" t="n">
        <v>1656097</v>
      </c>
    </row>
    <row r="40" customFormat="false" ht="15" hidden="false" customHeight="true" outlineLevel="0" collapsed="false">
      <c r="B40" s="13" t="s">
        <v>160</v>
      </c>
      <c r="C40" s="37" t="n">
        <v>266965</v>
      </c>
      <c r="D40" s="37" t="n">
        <v>232329</v>
      </c>
      <c r="E40" s="37" t="n">
        <v>254608</v>
      </c>
      <c r="F40" s="37" t="n">
        <v>220490</v>
      </c>
      <c r="G40" s="37" t="n">
        <v>229593</v>
      </c>
    </row>
    <row r="41" customFormat="false" ht="15" hidden="false" customHeight="true" outlineLevel="0" collapsed="false">
      <c r="B41" s="13" t="s">
        <v>161</v>
      </c>
      <c r="C41" s="37" t="n">
        <v>102940</v>
      </c>
      <c r="D41" s="37" t="n">
        <v>113781</v>
      </c>
      <c r="E41" s="37" t="n">
        <v>122995</v>
      </c>
      <c r="F41" s="37" t="n">
        <v>122995</v>
      </c>
      <c r="G41" s="37" t="n">
        <v>122995</v>
      </c>
    </row>
    <row r="42" customFormat="false" ht="15" hidden="false" customHeight="true" outlineLevel="0" collapsed="false">
      <c r="B42" s="13" t="s">
        <v>162</v>
      </c>
      <c r="C42" s="37" t="n">
        <v>421527</v>
      </c>
      <c r="D42" s="37" t="n">
        <v>494756</v>
      </c>
      <c r="E42" s="37" t="n">
        <v>478216</v>
      </c>
      <c r="F42" s="37" t="n">
        <v>374748</v>
      </c>
      <c r="G42" s="37" t="n">
        <v>374748</v>
      </c>
    </row>
    <row r="43" customFormat="false" ht="15" hidden="false" customHeight="true" outlineLevel="0" collapsed="false">
      <c r="B43" s="13" t="s">
        <v>163</v>
      </c>
      <c r="C43" s="37" t="n">
        <v>330926</v>
      </c>
      <c r="D43" s="37" t="n">
        <v>234200</v>
      </c>
      <c r="E43" s="37" t="n">
        <v>238239</v>
      </c>
      <c r="F43" s="37" t="n">
        <v>215821</v>
      </c>
      <c r="G43" s="37" t="n">
        <v>215821</v>
      </c>
    </row>
    <row r="44" customFormat="false" ht="15" hidden="false" customHeight="true" outlineLevel="0" collapsed="false">
      <c r="B44" s="13" t="s">
        <v>164</v>
      </c>
      <c r="C44" s="37" t="n">
        <v>11589</v>
      </c>
      <c r="D44" s="37" t="n">
        <v>11652</v>
      </c>
      <c r="E44" s="37" t="n">
        <v>11652</v>
      </c>
      <c r="F44" s="37" t="n">
        <v>35700</v>
      </c>
      <c r="G44" s="37" t="n">
        <v>35700</v>
      </c>
    </row>
    <row r="45" customFormat="false" ht="15" hidden="false" customHeight="true" outlineLevel="0" collapsed="false">
      <c r="B45" s="19" t="s">
        <v>165</v>
      </c>
      <c r="C45" s="38" t="n">
        <v>1133947</v>
      </c>
      <c r="D45" s="38" t="n">
        <v>1086718</v>
      </c>
      <c r="E45" s="38" t="n">
        <v>1105710</v>
      </c>
      <c r="F45" s="38" t="n">
        <v>969754</v>
      </c>
      <c r="G45" s="38" t="n">
        <v>978857</v>
      </c>
    </row>
    <row r="46" customFormat="false" ht="15" hidden="false" customHeight="true" outlineLevel="0" collapsed="false">
      <c r="B46" s="19" t="s">
        <v>166</v>
      </c>
      <c r="C46" s="38" t="n">
        <v>196692</v>
      </c>
      <c r="D46" s="38" t="n">
        <v>257759</v>
      </c>
      <c r="E46" s="38" t="n">
        <v>334272</v>
      </c>
      <c r="F46" s="38" t="n">
        <v>537243</v>
      </c>
      <c r="G46" s="38" t="n">
        <v>677240</v>
      </c>
    </row>
    <row r="49" customFormat="false" ht="15" hidden="false" customHeight="true" outlineLevel="0" collapsed="false">
      <c r="B49" s="3" t="s">
        <v>169</v>
      </c>
      <c r="C49" s="3" t="s">
        <v>150</v>
      </c>
      <c r="D49" s="3" t="s">
        <v>151</v>
      </c>
      <c r="E49" s="3" t="s">
        <v>152</v>
      </c>
      <c r="F49" s="3" t="s">
        <v>153</v>
      </c>
      <c r="G49" s="3" t="s">
        <v>154</v>
      </c>
    </row>
    <row r="50" customFormat="false" ht="15" hidden="false" customHeight="true" outlineLevel="0" collapsed="false">
      <c r="B50" s="13" t="s">
        <v>155</v>
      </c>
      <c r="C50" s="37" t="n">
        <v>1864448</v>
      </c>
      <c r="D50" s="37" t="n">
        <v>1994725</v>
      </c>
      <c r="E50" s="37" t="n">
        <v>2071834</v>
      </c>
      <c r="F50" s="37" t="n">
        <v>2153331</v>
      </c>
      <c r="G50" s="37" t="n">
        <v>2368664</v>
      </c>
    </row>
    <row r="51" customFormat="false" ht="15" hidden="false" customHeight="true" outlineLevel="0" collapsed="false">
      <c r="B51" s="13" t="s">
        <v>156</v>
      </c>
      <c r="C51" s="37" t="n">
        <v>-140300</v>
      </c>
      <c r="D51" s="37" t="n">
        <v>-169231</v>
      </c>
      <c r="E51" s="37" t="n">
        <v>-117058</v>
      </c>
      <c r="F51" s="37" t="n">
        <v>-150733</v>
      </c>
      <c r="G51" s="37" t="n">
        <v>-165807</v>
      </c>
    </row>
    <row r="52" customFormat="false" ht="15" hidden="false" customHeight="true" outlineLevel="0" collapsed="false">
      <c r="B52" s="13" t="s">
        <v>157</v>
      </c>
      <c r="C52" s="37" t="n">
        <v>1074</v>
      </c>
      <c r="D52" s="37" t="n">
        <v>856</v>
      </c>
      <c r="E52" s="37" t="n">
        <v>0</v>
      </c>
      <c r="F52" s="37" t="n">
        <v>0</v>
      </c>
      <c r="G52" s="37" t="n">
        <v>0</v>
      </c>
    </row>
    <row r="53" customFormat="false" ht="15" hidden="false" customHeight="true" outlineLevel="0" collapsed="false">
      <c r="B53" s="13" t="s">
        <v>158</v>
      </c>
      <c r="C53" s="37" t="n">
        <v>48279</v>
      </c>
      <c r="D53" s="37" t="n">
        <v>29757</v>
      </c>
      <c r="E53" s="37" t="n">
        <v>23448</v>
      </c>
      <c r="F53" s="37" t="n">
        <v>34962</v>
      </c>
      <c r="G53" s="37" t="n">
        <v>34962</v>
      </c>
    </row>
    <row r="54" customFormat="false" ht="15" hidden="false" customHeight="true" outlineLevel="0" collapsed="false">
      <c r="B54" s="19" t="s">
        <v>159</v>
      </c>
      <c r="C54" s="38" t="n">
        <v>1773501</v>
      </c>
      <c r="D54" s="38" t="n">
        <v>1856107</v>
      </c>
      <c r="E54" s="38" t="n">
        <v>1978224</v>
      </c>
      <c r="F54" s="38" t="n">
        <v>2037560</v>
      </c>
      <c r="G54" s="38" t="n">
        <v>2237819</v>
      </c>
    </row>
    <row r="55" customFormat="false" ht="15" hidden="false" customHeight="true" outlineLevel="0" collapsed="false">
      <c r="B55" s="13" t="s">
        <v>160</v>
      </c>
      <c r="C55" s="37" t="n">
        <v>353722</v>
      </c>
      <c r="D55" s="37" t="n">
        <v>347443</v>
      </c>
      <c r="E55" s="37" t="n">
        <v>333357</v>
      </c>
      <c r="F55" s="37" t="n">
        <v>329497</v>
      </c>
      <c r="G55" s="37" t="n">
        <v>343967</v>
      </c>
    </row>
    <row r="56" customFormat="false" ht="15" hidden="false" customHeight="true" outlineLevel="0" collapsed="false">
      <c r="B56" s="13" t="s">
        <v>161</v>
      </c>
      <c r="C56" s="37" t="n">
        <v>300027</v>
      </c>
      <c r="D56" s="37" t="n">
        <v>342111</v>
      </c>
      <c r="E56" s="37" t="n">
        <v>346747</v>
      </c>
      <c r="F56" s="37" t="n">
        <v>346747</v>
      </c>
      <c r="G56" s="37" t="n">
        <v>346747</v>
      </c>
    </row>
    <row r="57" customFormat="false" ht="15" hidden="false" customHeight="true" outlineLevel="0" collapsed="false">
      <c r="B57" s="13" t="s">
        <v>162</v>
      </c>
      <c r="C57" s="37" t="n">
        <v>497706</v>
      </c>
      <c r="D57" s="37" t="n">
        <v>489006</v>
      </c>
      <c r="E57" s="37" t="n">
        <v>442925</v>
      </c>
      <c r="F57" s="37" t="n">
        <v>415840</v>
      </c>
      <c r="G57" s="37" t="n">
        <v>415840</v>
      </c>
    </row>
    <row r="58" customFormat="false" ht="15" hidden="false" customHeight="true" outlineLevel="0" collapsed="false">
      <c r="B58" s="13" t="s">
        <v>163</v>
      </c>
      <c r="C58" s="37" t="n">
        <v>366990</v>
      </c>
      <c r="D58" s="37" t="n">
        <v>354515</v>
      </c>
      <c r="E58" s="37" t="n">
        <v>361325</v>
      </c>
      <c r="F58" s="37" t="n">
        <v>331390</v>
      </c>
      <c r="G58" s="37" t="n">
        <v>331390</v>
      </c>
    </row>
    <row r="59" customFormat="false" ht="15" hidden="false" customHeight="true" outlineLevel="0" collapsed="false">
      <c r="B59" s="13" t="s">
        <v>164</v>
      </c>
      <c r="C59" s="37" t="n">
        <v>69811</v>
      </c>
      <c r="D59" s="37" t="n">
        <v>70312</v>
      </c>
      <c r="E59" s="37" t="n">
        <v>70312</v>
      </c>
      <c r="F59" s="37" t="n">
        <v>61200</v>
      </c>
      <c r="G59" s="37" t="n">
        <v>61200</v>
      </c>
    </row>
    <row r="60" customFormat="false" ht="15" hidden="false" customHeight="true" outlineLevel="0" collapsed="false">
      <c r="B60" s="19" t="s">
        <v>165</v>
      </c>
      <c r="C60" s="38" t="n">
        <v>1588256</v>
      </c>
      <c r="D60" s="38" t="n">
        <v>1603387</v>
      </c>
      <c r="E60" s="38" t="n">
        <v>1554666</v>
      </c>
      <c r="F60" s="38" t="n">
        <v>1484674</v>
      </c>
      <c r="G60" s="38" t="n">
        <v>1499144</v>
      </c>
    </row>
    <row r="61" customFormat="false" ht="15" hidden="false" customHeight="true" outlineLevel="0" collapsed="false">
      <c r="B61" s="19" t="s">
        <v>166</v>
      </c>
      <c r="C61" s="38" t="n">
        <v>185245</v>
      </c>
      <c r="D61" s="38" t="n">
        <v>252720</v>
      </c>
      <c r="E61" s="38" t="n">
        <v>423558</v>
      </c>
      <c r="F61" s="38" t="n">
        <v>552886</v>
      </c>
      <c r="G61" s="38" t="n">
        <v>738675</v>
      </c>
    </row>
    <row r="64" customFormat="false" ht="15" hidden="false" customHeight="true" outlineLevel="0" collapsed="false">
      <c r="B64" s="3" t="s">
        <v>170</v>
      </c>
      <c r="C64" s="3" t="s">
        <v>150</v>
      </c>
      <c r="D64" s="3" t="s">
        <v>151</v>
      </c>
      <c r="E64" s="3" t="s">
        <v>152</v>
      </c>
      <c r="F64" s="3" t="s">
        <v>153</v>
      </c>
      <c r="G64" s="3" t="s">
        <v>154</v>
      </c>
    </row>
    <row r="65" customFormat="false" ht="15" hidden="false" customHeight="true" outlineLevel="0" collapsed="false">
      <c r="B65" s="13" t="s">
        <v>155</v>
      </c>
      <c r="C65" s="37" t="n">
        <v>5172604</v>
      </c>
      <c r="D65" s="37" t="n">
        <v>5435051</v>
      </c>
      <c r="E65" s="37" t="n">
        <v>5657995</v>
      </c>
      <c r="F65" s="37" t="n">
        <v>6014562</v>
      </c>
      <c r="G65" s="37" t="n">
        <v>6616019</v>
      </c>
    </row>
    <row r="66" customFormat="false" ht="15" hidden="false" customHeight="true" outlineLevel="0" collapsed="false">
      <c r="B66" s="13" t="s">
        <v>156</v>
      </c>
      <c r="C66" s="37" t="n">
        <v>-520349</v>
      </c>
      <c r="D66" s="37" t="n">
        <v>-426729</v>
      </c>
      <c r="E66" s="37" t="n">
        <v>-299443</v>
      </c>
      <c r="F66" s="37" t="n">
        <v>-343795</v>
      </c>
      <c r="G66" s="37" t="n">
        <v>-378174</v>
      </c>
    </row>
    <row r="67" customFormat="false" ht="15" hidden="false" customHeight="true" outlineLevel="0" collapsed="false">
      <c r="B67" s="13" t="s">
        <v>157</v>
      </c>
      <c r="C67" s="37" t="n">
        <v>17927</v>
      </c>
      <c r="D67" s="37" t="n">
        <v>5198</v>
      </c>
      <c r="E67" s="37" t="n">
        <v>0</v>
      </c>
      <c r="F67" s="37" t="n">
        <v>0</v>
      </c>
      <c r="G67" s="37" t="n">
        <v>0</v>
      </c>
    </row>
    <row r="68" customFormat="false" ht="15" hidden="false" customHeight="true" outlineLevel="0" collapsed="false">
      <c r="B68" s="13" t="s">
        <v>158</v>
      </c>
      <c r="C68" s="37" t="n">
        <v>113990</v>
      </c>
      <c r="D68" s="37" t="n">
        <v>78345</v>
      </c>
      <c r="E68" s="37" t="n">
        <v>65288</v>
      </c>
      <c r="F68" s="37" t="n">
        <v>75366</v>
      </c>
      <c r="G68" s="37" t="n">
        <v>75366</v>
      </c>
    </row>
    <row r="69" customFormat="false" ht="15" hidden="false" customHeight="true" outlineLevel="0" collapsed="false">
      <c r="B69" s="19" t="s">
        <v>159</v>
      </c>
      <c r="C69" s="38" t="n">
        <v>4784172</v>
      </c>
      <c r="D69" s="38" t="n">
        <v>5091865</v>
      </c>
      <c r="E69" s="38" t="n">
        <v>5423840</v>
      </c>
      <c r="F69" s="38" t="n">
        <v>5746134</v>
      </c>
      <c r="G69" s="38" t="n">
        <v>6313210</v>
      </c>
    </row>
    <row r="70" customFormat="false" ht="15" hidden="false" customHeight="true" outlineLevel="0" collapsed="false">
      <c r="B70" s="13" t="s">
        <v>160</v>
      </c>
      <c r="C70" s="37" t="n">
        <v>1056933</v>
      </c>
      <c r="D70" s="37" t="n">
        <v>1099594</v>
      </c>
      <c r="E70" s="37" t="n">
        <v>1063197</v>
      </c>
      <c r="F70" s="37" t="n">
        <v>960631</v>
      </c>
      <c r="G70" s="37" t="n">
        <v>999788</v>
      </c>
    </row>
    <row r="71" customFormat="false" ht="15" hidden="false" customHeight="true" outlineLevel="0" collapsed="false">
      <c r="B71" s="13" t="s">
        <v>161</v>
      </c>
      <c r="C71" s="37" t="n">
        <v>577543</v>
      </c>
      <c r="D71" s="37" t="n">
        <v>641155</v>
      </c>
      <c r="E71" s="37" t="n">
        <v>666058</v>
      </c>
      <c r="F71" s="37" t="n">
        <v>666058</v>
      </c>
      <c r="G71" s="37" t="n">
        <v>666058</v>
      </c>
    </row>
    <row r="72" customFormat="false" ht="15" hidden="false" customHeight="true" outlineLevel="0" collapsed="false">
      <c r="B72" s="13" t="s">
        <v>162</v>
      </c>
      <c r="C72" s="37" t="n">
        <v>1958710</v>
      </c>
      <c r="D72" s="37" t="n">
        <v>2034532</v>
      </c>
      <c r="E72" s="37" t="n">
        <v>1785428</v>
      </c>
      <c r="F72" s="37" t="n">
        <v>1486268</v>
      </c>
      <c r="G72" s="37" t="n">
        <v>1486268</v>
      </c>
    </row>
    <row r="73" customFormat="false" ht="15" hidden="false" customHeight="true" outlineLevel="0" collapsed="false">
      <c r="B73" s="13" t="s">
        <v>163</v>
      </c>
      <c r="C73" s="37" t="n">
        <v>1038420</v>
      </c>
      <c r="D73" s="37" t="n">
        <v>917302</v>
      </c>
      <c r="E73" s="37" t="n">
        <v>916884</v>
      </c>
      <c r="F73" s="37" t="n">
        <v>854828</v>
      </c>
      <c r="G73" s="37" t="n">
        <v>854828</v>
      </c>
    </row>
    <row r="74" customFormat="false" ht="15" hidden="false" customHeight="true" outlineLevel="0" collapsed="false">
      <c r="B74" s="13" t="s">
        <v>164</v>
      </c>
      <c r="C74" s="37" t="n">
        <v>130816</v>
      </c>
      <c r="D74" s="37" t="n">
        <v>131381</v>
      </c>
      <c r="E74" s="37" t="n">
        <v>131381</v>
      </c>
      <c r="F74" s="37" t="n">
        <v>152100</v>
      </c>
      <c r="G74" s="37" t="n">
        <v>152100</v>
      </c>
    </row>
    <row r="75" customFormat="false" ht="15" hidden="false" customHeight="true" outlineLevel="0" collapsed="false">
      <c r="B75" s="19" t="s">
        <v>165</v>
      </c>
      <c r="C75" s="38" t="n">
        <v>4762422</v>
      </c>
      <c r="D75" s="38" t="n">
        <v>4823964</v>
      </c>
      <c r="E75" s="38" t="n">
        <v>4562948</v>
      </c>
      <c r="F75" s="38" t="n">
        <v>4119885</v>
      </c>
      <c r="G75" s="38" t="n">
        <v>4159042</v>
      </c>
    </row>
    <row r="76" customFormat="false" ht="15" hidden="false" customHeight="true" outlineLevel="0" collapsed="false">
      <c r="B76" s="19" t="s">
        <v>166</v>
      </c>
      <c r="C76" s="38" t="n">
        <v>21750</v>
      </c>
      <c r="D76" s="38" t="n">
        <v>267901</v>
      </c>
      <c r="E76" s="38" t="n">
        <v>860892</v>
      </c>
      <c r="F76" s="38" t="n">
        <v>1626249</v>
      </c>
      <c r="G76" s="38" t="n">
        <v>2154168</v>
      </c>
    </row>
    <row r="79" customFormat="false" ht="17.25" hidden="false" customHeight="true" outlineLevel="0" collapsed="false">
      <c r="B79" s="11" t="s">
        <v>171</v>
      </c>
    </row>
    <row r="80" customFormat="false" ht="15" hidden="false" customHeight="true" outlineLevel="0" collapsed="false">
      <c r="B80" s="3" t="s">
        <v>172</v>
      </c>
      <c r="C80" s="39"/>
      <c r="D80" s="39"/>
      <c r="E80" s="39"/>
      <c r="F80" s="39"/>
      <c r="G80" s="39"/>
      <c r="H80" s="39"/>
    </row>
    <row r="81" customFormat="false" ht="15" hidden="false" customHeight="true" outlineLevel="0" collapsed="false">
      <c r="B81" s="40" t="s">
        <v>173</v>
      </c>
      <c r="C81" s="40" t="s">
        <v>174</v>
      </c>
      <c r="D81" s="40" t="s">
        <v>175</v>
      </c>
      <c r="E81" s="40" t="s">
        <v>176</v>
      </c>
      <c r="F81" s="40" t="s">
        <v>177</v>
      </c>
      <c r="G81" s="40" t="s">
        <v>178</v>
      </c>
      <c r="H81" s="40" t="s">
        <v>179</v>
      </c>
    </row>
    <row r="82" customFormat="false" ht="15" hidden="false" customHeight="true" outlineLevel="0" collapsed="false">
      <c r="B82" s="13" t="s">
        <v>180</v>
      </c>
      <c r="C82" s="18" t="n">
        <v>8</v>
      </c>
      <c r="D82" s="18" t="n">
        <v>682</v>
      </c>
      <c r="E82" s="41" t="n">
        <v>885</v>
      </c>
      <c r="F82" s="41" t="n">
        <v>974</v>
      </c>
      <c r="G82" s="41" t="n">
        <v>1088</v>
      </c>
      <c r="H82" s="41" t="n">
        <v>1223</v>
      </c>
    </row>
    <row r="83" customFormat="false" ht="15" hidden="false" customHeight="true" outlineLevel="0" collapsed="false">
      <c r="B83" s="13" t="s">
        <v>181</v>
      </c>
      <c r="C83" s="18" t="n">
        <v>32</v>
      </c>
      <c r="D83" s="18" t="n">
        <v>750</v>
      </c>
      <c r="E83" s="41" t="n">
        <v>961</v>
      </c>
      <c r="F83" s="41" t="n">
        <v>1057</v>
      </c>
      <c r="G83" s="41" t="n">
        <v>1216</v>
      </c>
      <c r="H83" s="41" t="n">
        <v>1423</v>
      </c>
    </row>
    <row r="84" customFormat="false" ht="15" hidden="false" customHeight="true" outlineLevel="0" collapsed="false">
      <c r="B84" s="13" t="s">
        <v>182</v>
      </c>
      <c r="C84" s="18" t="n">
        <v>4</v>
      </c>
      <c r="D84" s="18" t="n">
        <v>990</v>
      </c>
      <c r="E84" s="41" t="n">
        <v>1100</v>
      </c>
      <c r="F84" s="41" t="n">
        <v>1210</v>
      </c>
      <c r="G84" s="41" t="n">
        <v>1422</v>
      </c>
      <c r="H84" s="41" t="n">
        <v>1857</v>
      </c>
    </row>
    <row r="85" customFormat="false" ht="15" hidden="false" customHeight="true" outlineLevel="0" collapsed="false">
      <c r="B85" s="13" t="s">
        <v>183</v>
      </c>
      <c r="C85" s="18" t="n">
        <v>40</v>
      </c>
      <c r="D85" s="18" t="n">
        <v>1010</v>
      </c>
      <c r="E85" s="41" t="n">
        <v>1113</v>
      </c>
      <c r="F85" s="41" t="n">
        <v>1224</v>
      </c>
      <c r="G85" s="41" t="n">
        <v>1422</v>
      </c>
      <c r="H85" s="41" t="n">
        <v>1861</v>
      </c>
    </row>
    <row r="86" customFormat="false" ht="15" hidden="false" customHeight="true" outlineLevel="0" collapsed="false">
      <c r="B86" s="19" t="s">
        <v>184</v>
      </c>
      <c r="C86" s="42" t="n">
        <f aca="false">SUM(C82:C85)</f>
        <v>84</v>
      </c>
    </row>
    <row r="88" customFormat="false" ht="15" hidden="false" customHeight="true" outlineLevel="0" collapsed="false">
      <c r="B88" s="3" t="s">
        <v>185</v>
      </c>
      <c r="C88" s="39"/>
      <c r="D88" s="39"/>
      <c r="E88" s="39"/>
      <c r="F88" s="39"/>
      <c r="G88" s="39"/>
      <c r="H88" s="39"/>
    </row>
    <row r="89" customFormat="false" ht="15" hidden="false" customHeight="true" outlineLevel="0" collapsed="false">
      <c r="B89" s="40" t="s">
        <v>173</v>
      </c>
      <c r="C89" s="40" t="s">
        <v>174</v>
      </c>
      <c r="D89" s="40" t="s">
        <v>175</v>
      </c>
      <c r="E89" s="40" t="s">
        <v>176</v>
      </c>
      <c r="F89" s="40" t="s">
        <v>177</v>
      </c>
      <c r="G89" s="40" t="s">
        <v>178</v>
      </c>
      <c r="H89" s="40" t="s">
        <v>179</v>
      </c>
    </row>
    <row r="90" customFormat="false" ht="15" hidden="false" customHeight="true" outlineLevel="0" collapsed="false">
      <c r="B90" s="13" t="s">
        <v>180</v>
      </c>
      <c r="C90" s="18" t="n">
        <v>12</v>
      </c>
      <c r="D90" s="18" t="n">
        <v>529</v>
      </c>
      <c r="E90" s="41" t="n">
        <v>875</v>
      </c>
      <c r="F90" s="41" t="n">
        <v>1033</v>
      </c>
      <c r="G90" s="41" t="n">
        <v>1088</v>
      </c>
      <c r="H90" s="41" t="n">
        <v>1249</v>
      </c>
    </row>
    <row r="91" customFormat="false" ht="15" hidden="false" customHeight="true" outlineLevel="0" collapsed="false">
      <c r="B91" s="13" t="s">
        <v>181</v>
      </c>
      <c r="C91" s="18" t="n">
        <v>64</v>
      </c>
      <c r="D91" s="18" t="n">
        <v>676</v>
      </c>
      <c r="E91" s="41" t="n">
        <v>924</v>
      </c>
      <c r="F91" s="41" t="n">
        <v>1091</v>
      </c>
      <c r="G91" s="41" t="n">
        <v>1216</v>
      </c>
      <c r="H91" s="41" t="n">
        <v>1421</v>
      </c>
    </row>
    <row r="92" customFormat="false" ht="15" hidden="false" customHeight="true" outlineLevel="0" collapsed="false">
      <c r="B92" s="13" t="s">
        <v>182</v>
      </c>
      <c r="C92" s="18" t="n">
        <v>24</v>
      </c>
      <c r="D92" s="18" t="n">
        <v>900</v>
      </c>
      <c r="E92" s="41" t="n">
        <v>1144</v>
      </c>
      <c r="F92" s="41" t="n">
        <v>1351</v>
      </c>
      <c r="G92" s="41" t="n">
        <v>1422</v>
      </c>
      <c r="H92" s="41" t="n">
        <v>1882</v>
      </c>
    </row>
    <row r="93" customFormat="false" ht="15" hidden="false" customHeight="true" outlineLevel="0" collapsed="false">
      <c r="B93" s="19" t="s">
        <v>184</v>
      </c>
      <c r="C93" s="42" t="n">
        <f aca="false">SUM(C90:C92)</f>
        <v>100</v>
      </c>
    </row>
    <row r="95" customFormat="false" ht="15" hidden="false" customHeight="true" outlineLevel="0" collapsed="false">
      <c r="B95" s="3" t="s">
        <v>186</v>
      </c>
      <c r="C95" s="39"/>
      <c r="D95" s="39"/>
      <c r="E95" s="39"/>
      <c r="F95" s="39"/>
      <c r="G95" s="39"/>
      <c r="H95" s="39"/>
    </row>
    <row r="96" customFormat="false" ht="15" hidden="false" customHeight="true" outlineLevel="0" collapsed="false">
      <c r="B96" s="40" t="s">
        <v>173</v>
      </c>
      <c r="C96" s="40" t="s">
        <v>174</v>
      </c>
      <c r="D96" s="40" t="s">
        <v>175</v>
      </c>
      <c r="E96" s="40" t="s">
        <v>176</v>
      </c>
      <c r="F96" s="40" t="s">
        <v>177</v>
      </c>
      <c r="G96" s="40" t="s">
        <v>178</v>
      </c>
      <c r="H96" s="40" t="s">
        <v>179</v>
      </c>
    </row>
    <row r="97" customFormat="false" ht="15" hidden="false" customHeight="true" outlineLevel="0" collapsed="false">
      <c r="B97" s="13" t="s">
        <v>181</v>
      </c>
      <c r="C97" s="18" t="n">
        <v>19</v>
      </c>
      <c r="D97" s="18" t="n">
        <v>716</v>
      </c>
      <c r="E97" s="41" t="n">
        <v>931</v>
      </c>
      <c r="F97" s="41" t="n">
        <v>1024</v>
      </c>
      <c r="G97" s="41" t="n">
        <v>1065</v>
      </c>
      <c r="H97" s="41" t="n">
        <v>1204</v>
      </c>
    </row>
    <row r="98" customFormat="false" ht="15" hidden="false" customHeight="true" outlineLevel="0" collapsed="false">
      <c r="B98" s="13" t="s">
        <v>182</v>
      </c>
      <c r="C98" s="18" t="n">
        <v>50</v>
      </c>
      <c r="D98" s="18" t="n">
        <v>822</v>
      </c>
      <c r="E98" s="41" t="n">
        <v>1060</v>
      </c>
      <c r="F98" s="41" t="n">
        <v>1166</v>
      </c>
      <c r="G98" s="41" t="n">
        <v>1326</v>
      </c>
      <c r="H98" s="41" t="n">
        <v>1584</v>
      </c>
    </row>
    <row r="99" customFormat="false" ht="15" hidden="false" customHeight="true" outlineLevel="0" collapsed="false">
      <c r="B99" s="13" t="s">
        <v>187</v>
      </c>
      <c r="C99" s="18" t="n">
        <v>50</v>
      </c>
      <c r="D99" s="18" t="n">
        <v>948</v>
      </c>
      <c r="E99" s="41" t="n">
        <v>1202</v>
      </c>
      <c r="F99" s="41" t="n">
        <v>1322</v>
      </c>
      <c r="G99" s="41" t="n">
        <v>1404</v>
      </c>
      <c r="H99" s="41" t="n">
        <v>1587</v>
      </c>
    </row>
    <row r="100" customFormat="false" ht="15" hidden="false" customHeight="true" outlineLevel="0" collapsed="false">
      <c r="B100" s="19" t="s">
        <v>184</v>
      </c>
      <c r="C100" s="42" t="n">
        <f aca="false">SUM(C97:C99)</f>
        <v>119</v>
      </c>
    </row>
    <row r="102" customFormat="false" ht="15" hidden="false" customHeight="true" outlineLevel="0" collapsed="false">
      <c r="B102" s="3" t="s">
        <v>188</v>
      </c>
      <c r="C102" s="39"/>
      <c r="D102" s="39"/>
      <c r="E102" s="39"/>
      <c r="F102" s="39"/>
      <c r="G102" s="39"/>
      <c r="H102" s="39"/>
      <c r="I102" s="39"/>
    </row>
    <row r="103" customFormat="false" ht="15" hidden="false" customHeight="true" outlineLevel="0" collapsed="false">
      <c r="B103" s="40" t="s">
        <v>173</v>
      </c>
      <c r="C103" s="40" t="s">
        <v>174</v>
      </c>
      <c r="D103" s="40" t="s">
        <v>175</v>
      </c>
      <c r="E103" s="40" t="s">
        <v>176</v>
      </c>
      <c r="F103" s="40" t="s">
        <v>177</v>
      </c>
      <c r="G103" s="40" t="s">
        <v>178</v>
      </c>
      <c r="H103" s="40" t="s">
        <v>179</v>
      </c>
      <c r="I103" s="40" t="s">
        <v>189</v>
      </c>
    </row>
    <row r="104" customFormat="false" ht="15" hidden="false" customHeight="true" outlineLevel="0" collapsed="false">
      <c r="B104" s="13" t="s">
        <v>180</v>
      </c>
      <c r="C104" s="18" t="n">
        <v>49</v>
      </c>
      <c r="D104" s="18" t="n">
        <v>795</v>
      </c>
      <c r="E104" s="41" t="n">
        <v>942</v>
      </c>
      <c r="F104" s="41" t="n">
        <v>1036</v>
      </c>
      <c r="G104" s="41" t="n">
        <v>1176</v>
      </c>
      <c r="H104" s="41" t="n">
        <v>1470</v>
      </c>
      <c r="I104" s="41" t="n">
        <v>1063</v>
      </c>
    </row>
    <row r="105" customFormat="false" ht="15" hidden="false" customHeight="true" outlineLevel="0" collapsed="false">
      <c r="B105" s="13" t="s">
        <v>181</v>
      </c>
      <c r="C105" s="18" t="n">
        <v>28</v>
      </c>
      <c r="D105" s="18" t="n">
        <v>975</v>
      </c>
      <c r="E105" s="41" t="n">
        <v>1011</v>
      </c>
      <c r="F105" s="41" t="n">
        <v>1112</v>
      </c>
      <c r="G105" s="41" t="n">
        <v>1321</v>
      </c>
      <c r="H105" s="41" t="n">
        <v>1650</v>
      </c>
      <c r="I105" s="41" t="n">
        <v>1276</v>
      </c>
    </row>
    <row r="106" customFormat="false" ht="15" hidden="false" customHeight="true" outlineLevel="0" collapsed="false">
      <c r="B106" s="13" t="s">
        <v>190</v>
      </c>
      <c r="C106" s="18" t="n">
        <v>25</v>
      </c>
      <c r="D106" s="18" t="n">
        <v>914</v>
      </c>
      <c r="E106" s="41" t="n">
        <v>1049</v>
      </c>
      <c r="F106" s="41" t="n">
        <v>1154</v>
      </c>
      <c r="G106" s="41" t="n">
        <v>1321</v>
      </c>
      <c r="H106" s="41" t="n">
        <v>1650</v>
      </c>
      <c r="I106" s="41" t="n">
        <v>1276</v>
      </c>
    </row>
    <row r="107" customFormat="false" ht="15" hidden="false" customHeight="true" outlineLevel="0" collapsed="false">
      <c r="B107" s="13" t="s">
        <v>183</v>
      </c>
      <c r="C107" s="18" t="n">
        <v>21</v>
      </c>
      <c r="D107" s="18" t="n">
        <v>1075</v>
      </c>
      <c r="E107" s="41" t="n">
        <v>1184</v>
      </c>
      <c r="F107" s="41" t="n">
        <v>1302</v>
      </c>
      <c r="G107" s="41" t="n">
        <v>1499</v>
      </c>
      <c r="H107" s="41" t="n">
        <v>2070</v>
      </c>
      <c r="I107" s="41" t="n">
        <v>1474</v>
      </c>
    </row>
    <row r="108" customFormat="false" ht="15" hidden="false" customHeight="true" outlineLevel="0" collapsed="false">
      <c r="B108" s="13" t="s">
        <v>191</v>
      </c>
      <c r="C108" s="18" t="n">
        <v>1</v>
      </c>
      <c r="D108" s="18" t="n">
        <v>795</v>
      </c>
      <c r="E108" s="41" t="n">
        <v>560</v>
      </c>
      <c r="F108" s="41" t="n">
        <v>616</v>
      </c>
      <c r="G108" s="41" t="n">
        <v>1176</v>
      </c>
      <c r="H108" s="41" t="n">
        <v>1470</v>
      </c>
      <c r="I108" s="41" t="n">
        <v>886</v>
      </c>
    </row>
    <row r="109" customFormat="false" ht="15" hidden="false" customHeight="true" outlineLevel="0" collapsed="false">
      <c r="B109" s="13" t="s">
        <v>192</v>
      </c>
      <c r="C109" s="18" t="n">
        <v>1</v>
      </c>
      <c r="D109" s="18" t="n">
        <v>795</v>
      </c>
      <c r="E109" s="41" t="n">
        <v>560</v>
      </c>
      <c r="F109" s="41" t="n">
        <v>616</v>
      </c>
      <c r="G109" s="41" t="n">
        <v>1176</v>
      </c>
      <c r="H109" s="41" t="n">
        <v>1470</v>
      </c>
      <c r="I109" s="41" t="n">
        <v>1063</v>
      </c>
    </row>
    <row r="110" customFormat="false" ht="15" hidden="false" customHeight="true" outlineLevel="0" collapsed="false">
      <c r="B110" s="13" t="s">
        <v>193</v>
      </c>
      <c r="C110" s="18" t="n">
        <v>2</v>
      </c>
      <c r="D110" s="18" t="n">
        <v>975</v>
      </c>
      <c r="E110" s="41" t="n">
        <v>630</v>
      </c>
      <c r="F110" s="41" t="n">
        <v>693</v>
      </c>
      <c r="G110" s="41" t="n">
        <v>1321</v>
      </c>
      <c r="H110" s="41" t="n">
        <v>1650</v>
      </c>
      <c r="I110" s="41" t="n">
        <v>1063</v>
      </c>
    </row>
    <row r="111" customFormat="false" ht="15" hidden="false" customHeight="true" outlineLevel="0" collapsed="false">
      <c r="B111" s="13" t="s">
        <v>194</v>
      </c>
      <c r="C111" s="18" t="n">
        <v>18</v>
      </c>
      <c r="D111" s="18" t="n">
        <v>975</v>
      </c>
      <c r="E111" s="41" t="n">
        <v>630</v>
      </c>
      <c r="F111" s="41" t="n">
        <v>693</v>
      </c>
      <c r="G111" s="41" t="n">
        <v>1321</v>
      </c>
      <c r="H111" s="41" t="n">
        <v>1650</v>
      </c>
      <c r="I111" s="41" t="n">
        <v>1276</v>
      </c>
    </row>
    <row r="112" customFormat="false" ht="15" hidden="false" customHeight="true" outlineLevel="0" collapsed="false">
      <c r="B112" s="13" t="s">
        <v>195</v>
      </c>
      <c r="C112" s="18" t="n">
        <v>3</v>
      </c>
      <c r="D112" s="18" t="n">
        <v>914</v>
      </c>
      <c r="E112" s="41" t="n">
        <v>650</v>
      </c>
      <c r="F112" s="41" t="n">
        <v>715</v>
      </c>
      <c r="G112" s="41" t="n">
        <v>1321</v>
      </c>
      <c r="H112" s="41" t="n">
        <v>1650</v>
      </c>
      <c r="I112" s="41" t="n">
        <v>1063</v>
      </c>
    </row>
    <row r="113" customFormat="false" ht="15" hidden="false" customHeight="true" outlineLevel="0" collapsed="false">
      <c r="B113" s="13" t="s">
        <v>196</v>
      </c>
      <c r="C113" s="18" t="n">
        <v>20</v>
      </c>
      <c r="D113" s="18" t="n">
        <v>914</v>
      </c>
      <c r="E113" s="41" t="n">
        <v>649</v>
      </c>
      <c r="F113" s="41" t="n">
        <v>714</v>
      </c>
      <c r="G113" s="41" t="n">
        <v>1321</v>
      </c>
      <c r="H113" s="41" t="n">
        <v>1650</v>
      </c>
      <c r="I113" s="41" t="n">
        <v>1276</v>
      </c>
    </row>
    <row r="114" customFormat="false" ht="15" hidden="false" customHeight="true" outlineLevel="0" collapsed="false">
      <c r="B114" s="13" t="s">
        <v>197</v>
      </c>
      <c r="C114" s="18" t="n">
        <v>5</v>
      </c>
      <c r="D114" s="18" t="n">
        <v>1075</v>
      </c>
      <c r="E114" s="41" t="n">
        <v>705</v>
      </c>
      <c r="F114" s="41" t="n">
        <v>776</v>
      </c>
      <c r="G114" s="41" t="n">
        <v>1499</v>
      </c>
      <c r="H114" s="41" t="n">
        <v>2070</v>
      </c>
      <c r="I114" s="41" t="n">
        <v>1228</v>
      </c>
    </row>
    <row r="115" customFormat="false" ht="15" hidden="false" customHeight="true" outlineLevel="0" collapsed="false">
      <c r="B115" s="13" t="s">
        <v>198</v>
      </c>
      <c r="C115" s="18" t="n">
        <v>29</v>
      </c>
      <c r="D115" s="18" t="n">
        <v>1075</v>
      </c>
      <c r="E115" s="41" t="n">
        <v>703</v>
      </c>
      <c r="F115" s="41" t="n">
        <v>773</v>
      </c>
      <c r="G115" s="41" t="n">
        <v>1499</v>
      </c>
      <c r="H115" s="41" t="n">
        <v>2070</v>
      </c>
      <c r="I115" s="41" t="n">
        <v>1474</v>
      </c>
    </row>
    <row r="116" customFormat="false" ht="15" hidden="false" customHeight="true" outlineLevel="0" collapsed="false">
      <c r="B116" s="13" t="s">
        <v>199</v>
      </c>
      <c r="C116" s="18" t="n">
        <v>2</v>
      </c>
      <c r="D116" s="18" t="n">
        <v>795</v>
      </c>
      <c r="E116" s="41" t="n">
        <v>672</v>
      </c>
      <c r="F116" s="41" t="n">
        <v>739</v>
      </c>
      <c r="G116" s="41" t="n">
        <v>1176</v>
      </c>
      <c r="H116" s="41" t="n">
        <v>1470</v>
      </c>
      <c r="I116" s="41" t="n">
        <v>1063</v>
      </c>
    </row>
    <row r="117" customFormat="false" ht="15" hidden="false" customHeight="true" outlineLevel="0" collapsed="false">
      <c r="B117" s="19" t="s">
        <v>184</v>
      </c>
      <c r="C117" s="42" t="n">
        <f aca="false">SUM(C104:C116)</f>
        <v>204</v>
      </c>
    </row>
    <row r="119" customFormat="false" ht="17.25" hidden="false" customHeight="true" outlineLevel="0" collapsed="false">
      <c r="B119" s="11" t="s">
        <v>200</v>
      </c>
    </row>
    <row r="120" customFormat="false" ht="15" hidden="false" customHeight="true" outlineLevel="0" collapsed="false">
      <c r="B120" s="3" t="s">
        <v>201</v>
      </c>
      <c r="C120" s="3" t="s">
        <v>20</v>
      </c>
      <c r="D120" s="3" t="s">
        <v>21</v>
      </c>
      <c r="E120" s="3" t="s">
        <v>22</v>
      </c>
      <c r="F120" s="3" t="s">
        <v>23</v>
      </c>
      <c r="G120" s="3"/>
    </row>
    <row r="121" customFormat="false" ht="15" hidden="false" customHeight="true" outlineLevel="0" collapsed="false">
      <c r="B121" s="13" t="s">
        <v>202</v>
      </c>
      <c r="C121" s="13" t="s">
        <v>203</v>
      </c>
      <c r="D121" s="13" t="s">
        <v>204</v>
      </c>
      <c r="E121" s="13" t="s">
        <v>205</v>
      </c>
      <c r="F121" s="13" t="s">
        <v>206</v>
      </c>
    </row>
    <row r="122" customFormat="false" ht="15" hidden="false" customHeight="true" outlineLevel="0" collapsed="false">
      <c r="B122" s="13" t="s">
        <v>207</v>
      </c>
      <c r="C122" s="18" t="n">
        <v>73816</v>
      </c>
      <c r="D122" s="18" t="n">
        <v>71212</v>
      </c>
      <c r="E122" s="18" t="n">
        <v>102104</v>
      </c>
      <c r="F122" s="18" t="n">
        <v>191932</v>
      </c>
    </row>
    <row r="123" customFormat="false" ht="15" hidden="false" customHeight="true" outlineLevel="0" collapsed="false">
      <c r="B123" s="13" t="s">
        <v>53</v>
      </c>
      <c r="C123" s="13" t="s">
        <v>54</v>
      </c>
      <c r="D123" s="13" t="s">
        <v>54</v>
      </c>
      <c r="E123" s="13" t="s">
        <v>55</v>
      </c>
      <c r="F123" s="13" t="s">
        <v>56</v>
      </c>
    </row>
    <row r="124" customFormat="false" ht="15" hidden="false" customHeight="true" outlineLevel="0" collapsed="false">
      <c r="B124" s="13" t="s">
        <v>208</v>
      </c>
      <c r="C124" s="13" t="s">
        <v>209</v>
      </c>
      <c r="D124" s="13" t="s">
        <v>210</v>
      </c>
      <c r="E124" s="13" t="s">
        <v>211</v>
      </c>
      <c r="F124" s="13" t="s">
        <v>212</v>
      </c>
    </row>
    <row r="125" customFormat="false" ht="15" hidden="false" customHeight="true" outlineLevel="0" collapsed="false">
      <c r="B125" s="13" t="s">
        <v>213</v>
      </c>
      <c r="C125" s="13" t="s">
        <v>214</v>
      </c>
      <c r="D125" s="13" t="s">
        <v>215</v>
      </c>
      <c r="E125" s="13" t="s">
        <v>215</v>
      </c>
      <c r="F125" s="13" t="s">
        <v>216</v>
      </c>
    </row>
    <row r="126" customFormat="false" ht="15" hidden="false" customHeight="true" outlineLevel="0" collapsed="false">
      <c r="B126" s="13" t="s">
        <v>217</v>
      </c>
      <c r="C126" s="13" t="n">
        <v>2028</v>
      </c>
      <c r="D126" s="13" t="n">
        <v>2029</v>
      </c>
      <c r="E126" s="13" t="n">
        <v>2029</v>
      </c>
      <c r="F126" s="13" t="s">
        <v>218</v>
      </c>
    </row>
    <row r="127" customFormat="false" ht="15" hidden="false" customHeight="true" outlineLevel="0" collapsed="false">
      <c r="B127" s="13" t="s">
        <v>219</v>
      </c>
      <c r="C127" s="43" t="n">
        <v>0.027</v>
      </c>
      <c r="D127" s="13" t="s">
        <v>220</v>
      </c>
      <c r="E127" s="43" t="n">
        <v>0.0315</v>
      </c>
      <c r="F127" s="43" t="n">
        <v>0.0401</v>
      </c>
    </row>
    <row r="128" customFormat="false" ht="15" hidden="false" customHeight="true" outlineLevel="0" collapsed="false">
      <c r="B128" s="13" t="s">
        <v>221</v>
      </c>
      <c r="C128" s="44" t="n">
        <v>265305</v>
      </c>
      <c r="D128" s="44" t="n">
        <v>472948</v>
      </c>
      <c r="E128" s="44" t="n">
        <v>677240</v>
      </c>
      <c r="F128" s="44" t="n">
        <v>738675</v>
      </c>
    </row>
    <row r="129" customFormat="false" ht="15" hidden="false" customHeight="true" outlineLevel="0" collapsed="false">
      <c r="B129" s="13" t="s">
        <v>222</v>
      </c>
      <c r="C129" s="44" t="n">
        <v>-26306</v>
      </c>
      <c r="D129" s="44" t="n">
        <v>129368</v>
      </c>
      <c r="E129" s="44" t="n">
        <v>334272</v>
      </c>
      <c r="F129" s="44" t="n">
        <v>423558</v>
      </c>
    </row>
    <row r="130" customFormat="false" ht="15" hidden="false" customHeight="true" outlineLevel="0" collapsed="false">
      <c r="B130" s="13" t="s">
        <v>223</v>
      </c>
      <c r="C130" s="43" t="n">
        <v>0.96</v>
      </c>
      <c r="D130" s="43" t="n">
        <v>0.98</v>
      </c>
      <c r="E130" s="43" t="n">
        <v>0.92</v>
      </c>
      <c r="F130" s="43" t="n">
        <v>0.91</v>
      </c>
    </row>
    <row r="131" customFormat="false" ht="15" hidden="false" customHeight="true" outlineLevel="0" collapsed="false">
      <c r="B131" s="13" t="s">
        <v>224</v>
      </c>
      <c r="C131" s="13" t="s">
        <v>225</v>
      </c>
      <c r="D131" s="13" t="s">
        <v>225</v>
      </c>
      <c r="E131" s="13" t="s">
        <v>226</v>
      </c>
      <c r="F131" s="13" t="s">
        <v>227</v>
      </c>
    </row>
    <row r="132" customFormat="false" ht="15" hidden="false" customHeight="true" outlineLevel="0" collapsed="false">
      <c r="B132" s="13" t="s">
        <v>228</v>
      </c>
      <c r="C132" s="44" t="n">
        <v>86752</v>
      </c>
      <c r="D132" s="44" t="n">
        <v>97092</v>
      </c>
      <c r="E132" s="44" t="n">
        <v>130789</v>
      </c>
      <c r="F132" s="44" t="n">
        <v>179444</v>
      </c>
    </row>
    <row r="133" customFormat="false" ht="15" hidden="false" customHeight="true" outlineLevel="0" collapsed="false">
      <c r="B133" s="13" t="s">
        <v>229</v>
      </c>
      <c r="C133" s="44" t="n">
        <v>110184</v>
      </c>
      <c r="D133" s="44" t="n">
        <v>125008</v>
      </c>
      <c r="E133" s="44" t="n">
        <v>156735</v>
      </c>
      <c r="F133" s="44" t="n">
        <v>271589</v>
      </c>
    </row>
    <row r="134" customFormat="false" ht="15" hidden="false" customHeight="true" outlineLevel="0" collapsed="false">
      <c r="B134" s="13" t="s">
        <v>230</v>
      </c>
      <c r="C134" s="44" t="n">
        <v>137188</v>
      </c>
      <c r="D134" s="44" t="n">
        <v>151100</v>
      </c>
      <c r="E134" s="44" t="n">
        <v>181426</v>
      </c>
      <c r="F134" s="44" t="n">
        <v>350160</v>
      </c>
    </row>
    <row r="135" customFormat="false" ht="15" hidden="false" customHeight="true" outlineLevel="0" collapsed="false">
      <c r="B135" s="13" t="s">
        <v>231</v>
      </c>
      <c r="C135" s="13" t="s">
        <v>82</v>
      </c>
      <c r="D135" s="13" t="s">
        <v>82</v>
      </c>
      <c r="E135" s="13" t="s">
        <v>82</v>
      </c>
      <c r="F135" s="13" t="s">
        <v>82</v>
      </c>
    </row>
    <row r="136" customFormat="false" ht="15" hidden="false" customHeight="true" outlineLevel="0" collapsed="false">
      <c r="B136" s="13" t="s">
        <v>232</v>
      </c>
      <c r="C136" s="13" t="n">
        <v>1968</v>
      </c>
      <c r="D136" s="13" t="n">
        <v>1980</v>
      </c>
      <c r="E136" s="13" t="n">
        <v>1972</v>
      </c>
      <c r="F136" s="13" t="n">
        <v>1972</v>
      </c>
    </row>
    <row r="137" customFormat="false" ht="15" hidden="false" customHeight="true" outlineLevel="0" collapsed="false">
      <c r="B137" s="13" t="s">
        <v>233</v>
      </c>
      <c r="C137" s="44" t="n">
        <v>655951</v>
      </c>
      <c r="D137" s="44" t="n">
        <v>2208944</v>
      </c>
      <c r="E137" s="44" t="n">
        <v>1014792</v>
      </c>
      <c r="F137" s="44" t="n">
        <v>1188264</v>
      </c>
    </row>
    <row r="140" customFormat="false" ht="15" hidden="false" customHeight="true" outlineLevel="0" collapsed="false">
      <c r="B140" s="3" t="s">
        <v>234</v>
      </c>
      <c r="C140" s="39"/>
      <c r="D140" s="39"/>
      <c r="E140" s="39"/>
      <c r="F140" s="39"/>
      <c r="G140" s="39"/>
      <c r="I140" s="45" t="s">
        <v>235</v>
      </c>
    </row>
    <row r="141" customFormat="false" ht="15" hidden="false" customHeight="true" outlineLevel="0" collapsed="false">
      <c r="B141" s="36" t="s">
        <v>236</v>
      </c>
    </row>
    <row r="142" customFormat="false" ht="15" hidden="false" customHeight="true" outlineLevel="0" collapsed="false">
      <c r="B142" s="40" t="s">
        <v>237</v>
      </c>
      <c r="C142" s="40" t="s">
        <v>238</v>
      </c>
      <c r="D142" s="40" t="s">
        <v>239</v>
      </c>
      <c r="E142" s="40" t="s">
        <v>240</v>
      </c>
      <c r="F142" s="40" t="s">
        <v>241</v>
      </c>
    </row>
    <row r="143" customFormat="false" ht="25.5" hidden="false" customHeight="true" outlineLevel="0" collapsed="false">
      <c r="B143" s="15" t="s">
        <v>242</v>
      </c>
      <c r="C143" s="46" t="s">
        <v>243</v>
      </c>
      <c r="D143" s="46" t="s">
        <v>244</v>
      </c>
      <c r="E143" s="46" t="s">
        <v>245</v>
      </c>
      <c r="F143" s="46" t="s">
        <v>246</v>
      </c>
    </row>
    <row r="144" customFormat="false" ht="25.5" hidden="false" customHeight="true" outlineLevel="0" collapsed="false">
      <c r="B144" s="15" t="s">
        <v>242</v>
      </c>
      <c r="C144" s="46" t="s">
        <v>247</v>
      </c>
      <c r="D144" s="46" t="s">
        <v>248</v>
      </c>
      <c r="E144" s="46" t="s">
        <v>249</v>
      </c>
      <c r="F144" s="46" t="s">
        <v>250</v>
      </c>
    </row>
    <row r="145" customFormat="false" ht="25.5" hidden="false" customHeight="true" outlineLevel="0" collapsed="false">
      <c r="B145" s="15" t="s">
        <v>242</v>
      </c>
      <c r="C145" s="46" t="s">
        <v>251</v>
      </c>
      <c r="D145" s="46" t="s">
        <v>252</v>
      </c>
      <c r="E145" s="46" t="s">
        <v>253</v>
      </c>
      <c r="F145" s="46" t="s">
        <v>246</v>
      </c>
    </row>
    <row r="146" customFormat="false" ht="25.5" hidden="false" customHeight="true" outlineLevel="0" collapsed="false">
      <c r="B146" s="15" t="s">
        <v>242</v>
      </c>
      <c r="C146" s="46" t="s">
        <v>254</v>
      </c>
      <c r="D146" s="46" t="s">
        <v>255</v>
      </c>
      <c r="E146" s="46" t="s">
        <v>256</v>
      </c>
      <c r="F146" s="46" t="s">
        <v>257</v>
      </c>
    </row>
    <row r="147" customFormat="false" ht="25.5" hidden="false" customHeight="true" outlineLevel="0" collapsed="false">
      <c r="B147" s="15" t="s">
        <v>258</v>
      </c>
      <c r="C147" s="46" t="s">
        <v>259</v>
      </c>
      <c r="D147" s="46" t="s">
        <v>260</v>
      </c>
      <c r="E147" s="46" t="s">
        <v>261</v>
      </c>
      <c r="F147" s="46" t="s">
        <v>262</v>
      </c>
    </row>
    <row r="148" customFormat="false" ht="25.5" hidden="false" customHeight="true" outlineLevel="0" collapsed="false">
      <c r="B148" s="15" t="s">
        <v>258</v>
      </c>
      <c r="C148" s="46" t="s">
        <v>263</v>
      </c>
      <c r="D148" s="46" t="s">
        <v>264</v>
      </c>
      <c r="E148" s="46" t="s">
        <v>265</v>
      </c>
      <c r="F148" s="46" t="s">
        <v>266</v>
      </c>
    </row>
    <row r="149" customFormat="false" ht="25.5" hidden="false" customHeight="true" outlineLevel="0" collapsed="false">
      <c r="B149" s="15" t="s">
        <v>258</v>
      </c>
      <c r="C149" s="46" t="s">
        <v>267</v>
      </c>
      <c r="D149" s="46" t="s">
        <v>268</v>
      </c>
      <c r="E149" s="46" t="s">
        <v>269</v>
      </c>
      <c r="F149" s="46" t="s">
        <v>270</v>
      </c>
    </row>
    <row r="150" customFormat="false" ht="25.5" hidden="false" customHeight="true" outlineLevel="0" collapsed="false">
      <c r="B150" s="15" t="s">
        <v>271</v>
      </c>
      <c r="C150" s="46" t="s">
        <v>272</v>
      </c>
      <c r="D150" s="46" t="s">
        <v>273</v>
      </c>
      <c r="E150" s="46" t="s">
        <v>274</v>
      </c>
      <c r="F150" s="46" t="s">
        <v>275</v>
      </c>
    </row>
    <row r="151" customFormat="false" ht="25.5" hidden="false" customHeight="true" outlineLevel="0" collapsed="false">
      <c r="B151" s="15" t="s">
        <v>271</v>
      </c>
      <c r="C151" s="46" t="s">
        <v>276</v>
      </c>
      <c r="D151" s="46" t="s">
        <v>277</v>
      </c>
      <c r="E151" s="46" t="s">
        <v>278</v>
      </c>
      <c r="F151" s="46" t="s">
        <v>279</v>
      </c>
    </row>
    <row r="152" customFormat="false" ht="25.5" hidden="false" customHeight="true" outlineLevel="0" collapsed="false">
      <c r="B152" s="15" t="s">
        <v>271</v>
      </c>
      <c r="C152" s="46" t="s">
        <v>280</v>
      </c>
      <c r="D152" s="46" t="s">
        <v>281</v>
      </c>
      <c r="E152" s="46" t="s">
        <v>282</v>
      </c>
      <c r="F152" s="46" t="s">
        <v>283</v>
      </c>
    </row>
    <row r="153" customFormat="false" ht="25.5" hidden="false" customHeight="true" outlineLevel="0" collapsed="false">
      <c r="B153" s="15" t="s">
        <v>271</v>
      </c>
      <c r="C153" s="46" t="s">
        <v>284</v>
      </c>
      <c r="D153" s="46" t="s">
        <v>285</v>
      </c>
      <c r="E153" s="46" t="s">
        <v>286</v>
      </c>
      <c r="F153" s="46" t="s">
        <v>287</v>
      </c>
    </row>
    <row r="154" customFormat="false" ht="25.5" hidden="false" customHeight="true" outlineLevel="0" collapsed="false">
      <c r="B154" s="15" t="s">
        <v>271</v>
      </c>
      <c r="C154" s="46" t="s">
        <v>288</v>
      </c>
      <c r="D154" s="46" t="s">
        <v>289</v>
      </c>
      <c r="E154" s="46" t="s">
        <v>290</v>
      </c>
      <c r="F154" s="46" t="s">
        <v>291</v>
      </c>
    </row>
    <row r="155" customFormat="false" ht="25.5" hidden="false" customHeight="true" outlineLevel="0" collapsed="false">
      <c r="B155" s="15" t="s">
        <v>292</v>
      </c>
      <c r="C155" s="46" t="s">
        <v>293</v>
      </c>
      <c r="D155" s="46" t="s">
        <v>294</v>
      </c>
      <c r="E155" s="46" t="s">
        <v>295</v>
      </c>
      <c r="F155" s="46" t="s">
        <v>296</v>
      </c>
    </row>
    <row r="156" customFormat="false" ht="25.5" hidden="false" customHeight="true" outlineLevel="0" collapsed="false">
      <c r="B156" s="15" t="s">
        <v>292</v>
      </c>
      <c r="C156" s="46" t="s">
        <v>223</v>
      </c>
      <c r="D156" s="46" t="s">
        <v>297</v>
      </c>
      <c r="E156" s="46" t="s">
        <v>298</v>
      </c>
      <c r="F156" s="46" t="s">
        <v>299</v>
      </c>
    </row>
    <row r="157" customFormat="false" ht="25.5" hidden="false" customHeight="true" outlineLevel="0" collapsed="false">
      <c r="B157" s="15" t="s">
        <v>292</v>
      </c>
      <c r="C157" s="46" t="s">
        <v>300</v>
      </c>
      <c r="D157" s="46" t="s">
        <v>301</v>
      </c>
      <c r="E157" s="46" t="s">
        <v>302</v>
      </c>
      <c r="F157" s="46" t="s">
        <v>303</v>
      </c>
    </row>
    <row r="158" customFormat="false" ht="25.5" hidden="false" customHeight="true" outlineLevel="0" collapsed="false">
      <c r="B158" s="15" t="s">
        <v>292</v>
      </c>
      <c r="C158" s="46" t="s">
        <v>304</v>
      </c>
      <c r="D158" s="46" t="s">
        <v>305</v>
      </c>
      <c r="E158" s="46" t="s">
        <v>306</v>
      </c>
      <c r="F158" s="46" t="s">
        <v>307</v>
      </c>
    </row>
    <row r="159" customFormat="false" ht="25.5" hidden="false" customHeight="true" outlineLevel="0" collapsed="false">
      <c r="B159" s="15" t="s">
        <v>292</v>
      </c>
      <c r="C159" s="46" t="s">
        <v>308</v>
      </c>
      <c r="D159" s="46" t="s">
        <v>309</v>
      </c>
      <c r="E159" s="46" t="s">
        <v>310</v>
      </c>
      <c r="F159" s="46" t="s">
        <v>311</v>
      </c>
    </row>
    <row r="160" customFormat="false" ht="25.5" hidden="false" customHeight="true" outlineLevel="0" collapsed="false">
      <c r="B160" s="15" t="s">
        <v>312</v>
      </c>
      <c r="C160" s="46" t="s">
        <v>313</v>
      </c>
      <c r="D160" s="46" t="s">
        <v>314</v>
      </c>
      <c r="E160" s="46" t="s">
        <v>315</v>
      </c>
      <c r="F160" s="46" t="s">
        <v>316</v>
      </c>
    </row>
    <row r="161" customFormat="false" ht="25.5" hidden="false" customHeight="true" outlineLevel="0" collapsed="false">
      <c r="B161" s="15" t="s">
        <v>312</v>
      </c>
      <c r="C161" s="46" t="s">
        <v>317</v>
      </c>
      <c r="D161" s="46" t="s">
        <v>318</v>
      </c>
      <c r="E161" s="46" t="s">
        <v>319</v>
      </c>
      <c r="F161" s="46" t="s">
        <v>320</v>
      </c>
    </row>
    <row r="162" customFormat="false" ht="25.5" hidden="false" customHeight="true" outlineLevel="0" collapsed="false">
      <c r="B162" s="15" t="s">
        <v>312</v>
      </c>
      <c r="C162" s="46" t="s">
        <v>321</v>
      </c>
      <c r="D162" s="46" t="s">
        <v>322</v>
      </c>
      <c r="E162" s="46" t="s">
        <v>323</v>
      </c>
      <c r="F162" s="46" t="s">
        <v>324</v>
      </c>
    </row>
    <row r="163" customFormat="false" ht="25.5" hidden="false" customHeight="true" outlineLevel="0" collapsed="false">
      <c r="B163" s="15" t="s">
        <v>312</v>
      </c>
      <c r="C163" s="46" t="s">
        <v>325</v>
      </c>
      <c r="D163" s="46" t="s">
        <v>326</v>
      </c>
      <c r="E163" s="46" t="s">
        <v>327</v>
      </c>
      <c r="F163" s="46" t="s">
        <v>328</v>
      </c>
    </row>
    <row r="164" customFormat="false" ht="25.5" hidden="false" customHeight="true" outlineLevel="0" collapsed="false">
      <c r="B164" s="15" t="s">
        <v>312</v>
      </c>
      <c r="C164" s="46" t="s">
        <v>329</v>
      </c>
      <c r="D164" s="46" t="s">
        <v>330</v>
      </c>
      <c r="E164" s="46" t="s">
        <v>331</v>
      </c>
      <c r="F164" s="46" t="s">
        <v>332</v>
      </c>
    </row>
    <row r="165" customFormat="false" ht="25.5" hidden="false" customHeight="true" outlineLevel="0" collapsed="false">
      <c r="B165" s="15" t="s">
        <v>312</v>
      </c>
      <c r="C165" s="46" t="s">
        <v>333</v>
      </c>
      <c r="D165" s="46" t="s">
        <v>334</v>
      </c>
      <c r="E165" s="46" t="s">
        <v>335</v>
      </c>
      <c r="F165" s="46" t="s">
        <v>332</v>
      </c>
    </row>
    <row r="166" customFormat="false" ht="25.5" hidden="false" customHeight="true" outlineLevel="0" collapsed="false">
      <c r="B166" s="15" t="s">
        <v>312</v>
      </c>
      <c r="C166" s="46" t="s">
        <v>336</v>
      </c>
      <c r="D166" s="46" t="s">
        <v>337</v>
      </c>
      <c r="E166" s="46" t="s">
        <v>338</v>
      </c>
      <c r="F166" s="46" t="s">
        <v>339</v>
      </c>
    </row>
    <row r="167" customFormat="false" ht="25.5" hidden="false" customHeight="true" outlineLevel="0" collapsed="false">
      <c r="B167" s="15" t="s">
        <v>312</v>
      </c>
      <c r="C167" s="46" t="s">
        <v>340</v>
      </c>
      <c r="D167" s="46" t="s">
        <v>341</v>
      </c>
      <c r="E167" s="46" t="s">
        <v>342</v>
      </c>
      <c r="F167" s="46" t="s">
        <v>343</v>
      </c>
    </row>
    <row r="168" customFormat="false" ht="25.5" hidden="false" customHeight="true" outlineLevel="0" collapsed="false">
      <c r="B168" s="15" t="s">
        <v>344</v>
      </c>
      <c r="C168" s="46" t="s">
        <v>345</v>
      </c>
      <c r="D168" s="46" t="s">
        <v>346</v>
      </c>
      <c r="E168" s="46" t="s">
        <v>347</v>
      </c>
      <c r="F168" s="46" t="s">
        <v>348</v>
      </c>
    </row>
    <row r="169" customFormat="false" ht="25.5" hidden="false" customHeight="true" outlineLevel="0" collapsed="false">
      <c r="B169" s="15" t="s">
        <v>344</v>
      </c>
      <c r="C169" s="46" t="s">
        <v>349</v>
      </c>
      <c r="D169" s="46" t="s">
        <v>350</v>
      </c>
      <c r="E169" s="46" t="s">
        <v>351</v>
      </c>
      <c r="F169" s="46" t="s">
        <v>348</v>
      </c>
    </row>
    <row r="170" customFormat="false" ht="25.5" hidden="false" customHeight="true" outlineLevel="0" collapsed="false">
      <c r="B170" s="15" t="s">
        <v>344</v>
      </c>
      <c r="C170" s="46" t="s">
        <v>352</v>
      </c>
      <c r="D170" s="46" t="s">
        <v>353</v>
      </c>
      <c r="E170" s="46" t="s">
        <v>354</v>
      </c>
      <c r="F170" s="46" t="s">
        <v>348</v>
      </c>
    </row>
    <row r="171" customFormat="false" ht="25.5" hidden="false" customHeight="true" outlineLevel="0" collapsed="false">
      <c r="B171" s="15" t="s">
        <v>344</v>
      </c>
      <c r="C171" s="46" t="s">
        <v>355</v>
      </c>
      <c r="D171" s="46" t="s">
        <v>356</v>
      </c>
      <c r="E171" s="46" t="s">
        <v>357</v>
      </c>
      <c r="F171" s="46" t="s">
        <v>358</v>
      </c>
    </row>
    <row r="172" customFormat="false" ht="25.5" hidden="false" customHeight="true" outlineLevel="0" collapsed="false">
      <c r="B172" s="15" t="s">
        <v>359</v>
      </c>
      <c r="C172" s="46" t="s">
        <v>360</v>
      </c>
      <c r="D172" s="46" t="s">
        <v>361</v>
      </c>
      <c r="E172" s="46" t="s">
        <v>362</v>
      </c>
      <c r="F172" s="46" t="s">
        <v>363</v>
      </c>
    </row>
    <row r="173" customFormat="false" ht="25.5" hidden="false" customHeight="true" outlineLevel="0" collapsed="false">
      <c r="B173" s="15" t="s">
        <v>359</v>
      </c>
      <c r="C173" s="46" t="s">
        <v>317</v>
      </c>
      <c r="D173" s="46" t="s">
        <v>364</v>
      </c>
      <c r="E173" s="46" t="s">
        <v>365</v>
      </c>
      <c r="F173" s="46" t="s">
        <v>366</v>
      </c>
    </row>
    <row r="174" customFormat="false" ht="25.5" hidden="false" customHeight="true" outlineLevel="0" collapsed="false">
      <c r="B174" s="15" t="s">
        <v>359</v>
      </c>
      <c r="C174" s="46" t="s">
        <v>367</v>
      </c>
      <c r="D174" s="46" t="s">
        <v>368</v>
      </c>
      <c r="E174" s="46" t="s">
        <v>369</v>
      </c>
      <c r="F174" s="46" t="s">
        <v>370</v>
      </c>
    </row>
    <row r="175" customFormat="false" ht="25.5" hidden="false" customHeight="true" outlineLevel="0" collapsed="false">
      <c r="B175" s="15" t="s">
        <v>359</v>
      </c>
      <c r="C175" s="46" t="s">
        <v>371</v>
      </c>
      <c r="D175" s="46" t="s">
        <v>372</v>
      </c>
      <c r="E175" s="46" t="s">
        <v>373</v>
      </c>
      <c r="F175" s="46" t="s">
        <v>374</v>
      </c>
    </row>
    <row r="176" customFormat="false" ht="25.5" hidden="false" customHeight="true" outlineLevel="0" collapsed="false">
      <c r="B176" s="15" t="s">
        <v>359</v>
      </c>
      <c r="C176" s="46" t="s">
        <v>375</v>
      </c>
      <c r="D176" s="46" t="s">
        <v>376</v>
      </c>
      <c r="E176" s="46" t="s">
        <v>377</v>
      </c>
      <c r="F176" s="46" t="s">
        <v>378</v>
      </c>
    </row>
    <row r="177" customFormat="false" ht="25.5" hidden="false" customHeight="true" outlineLevel="0" collapsed="false">
      <c r="B177" s="15" t="s">
        <v>359</v>
      </c>
      <c r="C177" s="46" t="s">
        <v>379</v>
      </c>
      <c r="D177" s="46" t="s">
        <v>380</v>
      </c>
      <c r="E177" s="46" t="s">
        <v>381</v>
      </c>
      <c r="F177" s="46" t="s">
        <v>382</v>
      </c>
    </row>
    <row r="178" customFormat="false" ht="25.5" hidden="false" customHeight="true" outlineLevel="0" collapsed="false">
      <c r="B178" s="15" t="s">
        <v>359</v>
      </c>
      <c r="C178" s="46" t="s">
        <v>383</v>
      </c>
      <c r="D178" s="46" t="s">
        <v>384</v>
      </c>
      <c r="E178" s="46" t="s">
        <v>385</v>
      </c>
      <c r="F178" s="46" t="s">
        <v>386</v>
      </c>
    </row>
    <row r="179" customFormat="false" ht="25.5" hidden="false" customHeight="true" outlineLevel="0" collapsed="false">
      <c r="B179" s="15" t="s">
        <v>387</v>
      </c>
      <c r="C179" s="46" t="s">
        <v>388</v>
      </c>
      <c r="D179" s="46" t="s">
        <v>389</v>
      </c>
      <c r="E179" s="46" t="s">
        <v>390</v>
      </c>
      <c r="F179" s="46" t="s">
        <v>391</v>
      </c>
    </row>
    <row r="180" customFormat="false" ht="25.5" hidden="false" customHeight="true" outlineLevel="0" collapsed="false">
      <c r="B180" s="15" t="s">
        <v>387</v>
      </c>
      <c r="C180" s="46" t="s">
        <v>392</v>
      </c>
      <c r="D180" s="46" t="s">
        <v>393</v>
      </c>
      <c r="E180" s="46" t="s">
        <v>394</v>
      </c>
      <c r="F180" s="46" t="s">
        <v>395</v>
      </c>
    </row>
    <row r="181" customFormat="false" ht="25.5" hidden="false" customHeight="true" outlineLevel="0" collapsed="false">
      <c r="B181" s="15" t="s">
        <v>387</v>
      </c>
      <c r="C181" s="46" t="s">
        <v>223</v>
      </c>
      <c r="D181" s="46" t="s">
        <v>396</v>
      </c>
      <c r="E181" s="46" t="s">
        <v>397</v>
      </c>
      <c r="F181" s="46" t="s">
        <v>391</v>
      </c>
    </row>
    <row r="182" customFormat="false" ht="25.5" hidden="false" customHeight="true" outlineLevel="0" collapsed="false">
      <c r="B182" s="15" t="s">
        <v>387</v>
      </c>
      <c r="C182" s="46" t="s">
        <v>398</v>
      </c>
      <c r="D182" s="46" t="s">
        <v>399</v>
      </c>
      <c r="E182" s="46" t="s">
        <v>400</v>
      </c>
      <c r="F182" s="46" t="s">
        <v>401</v>
      </c>
    </row>
    <row r="183" customFormat="false" ht="25.5" hidden="false" customHeight="true" outlineLevel="0" collapsed="false">
      <c r="B183" s="15" t="s">
        <v>387</v>
      </c>
      <c r="C183" s="46" t="s">
        <v>402</v>
      </c>
      <c r="D183" s="46" t="s">
        <v>403</v>
      </c>
      <c r="E183" s="46" t="s">
        <v>404</v>
      </c>
      <c r="F183" s="46" t="s">
        <v>391</v>
      </c>
    </row>
    <row r="184" customFormat="false" ht="25.5" hidden="false" customHeight="true" outlineLevel="0" collapsed="false">
      <c r="B184" s="15" t="s">
        <v>387</v>
      </c>
      <c r="C184" s="46" t="s">
        <v>405</v>
      </c>
      <c r="D184" s="46" t="s">
        <v>406</v>
      </c>
      <c r="E184" s="46" t="s">
        <v>407</v>
      </c>
      <c r="F184" s="46" t="s">
        <v>408</v>
      </c>
    </row>
    <row r="185" customFormat="false" ht="25.5" hidden="false" customHeight="true" outlineLevel="0" collapsed="false">
      <c r="B185" s="15" t="s">
        <v>387</v>
      </c>
      <c r="C185" s="46" t="s">
        <v>409</v>
      </c>
      <c r="D185" s="46" t="s">
        <v>376</v>
      </c>
      <c r="E185" s="46" t="s">
        <v>410</v>
      </c>
      <c r="F185" s="46" t="s">
        <v>411</v>
      </c>
    </row>
    <row r="186" customFormat="false" ht="25.5" hidden="false" customHeight="true" outlineLevel="0" collapsed="false">
      <c r="B186" s="15" t="s">
        <v>387</v>
      </c>
      <c r="C186" s="46" t="s">
        <v>412</v>
      </c>
      <c r="D186" s="46" t="s">
        <v>376</v>
      </c>
      <c r="E186" s="46" t="s">
        <v>413</v>
      </c>
      <c r="F186" s="46" t="s">
        <v>414</v>
      </c>
    </row>
    <row r="187" customFormat="false" ht="25.5" hidden="false" customHeight="true" outlineLevel="0" collapsed="false">
      <c r="B187" s="15" t="s">
        <v>415</v>
      </c>
      <c r="C187" s="46" t="s">
        <v>416</v>
      </c>
      <c r="D187" s="46" t="s">
        <v>417</v>
      </c>
      <c r="E187" s="46" t="s">
        <v>418</v>
      </c>
      <c r="F187" s="46" t="s">
        <v>419</v>
      </c>
    </row>
    <row r="188" customFormat="false" ht="25.5" hidden="false" customHeight="true" outlineLevel="0" collapsed="false">
      <c r="B188" s="15" t="s">
        <v>415</v>
      </c>
      <c r="C188" s="46" t="s">
        <v>420</v>
      </c>
      <c r="D188" s="46" t="s">
        <v>421</v>
      </c>
      <c r="E188" s="46" t="s">
        <v>422</v>
      </c>
      <c r="F188" s="46" t="s">
        <v>423</v>
      </c>
    </row>
    <row r="189" customFormat="false" ht="25.5" hidden="false" customHeight="true" outlineLevel="0" collapsed="false">
      <c r="B189" s="15" t="s">
        <v>415</v>
      </c>
      <c r="C189" s="46" t="s">
        <v>424</v>
      </c>
      <c r="D189" s="46" t="s">
        <v>376</v>
      </c>
      <c r="E189" s="46" t="s">
        <v>425</v>
      </c>
      <c r="F189" s="46" t="s">
        <v>426</v>
      </c>
    </row>
    <row r="190" customFormat="false" ht="25.5" hidden="false" customHeight="true" outlineLevel="0" collapsed="false">
      <c r="B190" s="15" t="s">
        <v>415</v>
      </c>
      <c r="C190" s="46" t="s">
        <v>427</v>
      </c>
      <c r="D190" s="46" t="s">
        <v>428</v>
      </c>
      <c r="E190" s="46" t="s">
        <v>429</v>
      </c>
      <c r="F190" s="46" t="s">
        <v>430</v>
      </c>
    </row>
    <row r="191" customFormat="false" ht="25.5" hidden="false" customHeight="true" outlineLevel="0" collapsed="false">
      <c r="B191" s="15" t="s">
        <v>415</v>
      </c>
      <c r="C191" s="46" t="s">
        <v>431</v>
      </c>
      <c r="D191" s="46" t="s">
        <v>428</v>
      </c>
      <c r="E191" s="46" t="s">
        <v>432</v>
      </c>
      <c r="F191" s="46" t="s">
        <v>433</v>
      </c>
    </row>
    <row r="193" customFormat="false" ht="15" hidden="false" customHeight="true" outlineLevel="0" collapsed="false">
      <c r="B193" s="47" t="s">
        <v>434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49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.43"/>
    <col collapsed="false" customWidth="true" hidden="false" outlineLevel="0" max="2" min="2" style="1" width="26"/>
    <col collapsed="false" customWidth="true" hidden="false" outlineLevel="0" max="3" min="3" style="1" width="7.5"/>
    <col collapsed="false" customWidth="true" hidden="false" outlineLevel="0" max="5" min="5" style="1" width="11"/>
    <col collapsed="false" customWidth="true" hidden="false" outlineLevel="0" max="6" min="6" style="1" width="7.5"/>
    <col collapsed="false" customWidth="true" hidden="false" outlineLevel="0" max="11" min="7" style="1" width="12"/>
    <col collapsed="false" customWidth="true" hidden="false" outlineLevel="0" max="12" min="12" style="1" width="10"/>
    <col collapsed="false" customWidth="true" hidden="false" outlineLevel="0" max="13" min="13" style="1" width="12"/>
    <col collapsed="false" customWidth="true" hidden="true" outlineLevel="0" max="14" min="14" style="1" width="7"/>
  </cols>
  <sheetData>
    <row r="1" customFormat="false" ht="17.25" hidden="false" customHeight="true" outlineLevel="0" collapsed="false">
      <c r="A1" s="11" t="s">
        <v>435</v>
      </c>
    </row>
    <row r="2" customFormat="false" ht="15" hidden="false" customHeight="true" outlineLevel="0" collapsed="false">
      <c r="B2" s="36" t="s">
        <v>436</v>
      </c>
    </row>
    <row r="4" customFormat="false" ht="15" hidden="false" customHeight="true" outlineLevel="0" collapsed="false">
      <c r="B4" s="3" t="s">
        <v>437</v>
      </c>
      <c r="C4" s="3"/>
      <c r="D4" s="3"/>
      <c r="E4" s="48" t="n">
        <f aca="false">CH_ResynDate</f>
        <v>46753</v>
      </c>
      <c r="F4" s="3"/>
      <c r="G4" s="49" t="s">
        <v>438</v>
      </c>
      <c r="H4" s="3"/>
      <c r="I4" s="3"/>
      <c r="J4" s="3"/>
      <c r="K4" s="3"/>
      <c r="L4" s="3"/>
      <c r="M4" s="3"/>
      <c r="N4" s="3"/>
    </row>
    <row r="5" customFormat="false" ht="15" hidden="false" customHeight="true" outlineLevel="0" collapsed="false">
      <c r="B5" s="13" t="s">
        <v>439</v>
      </c>
      <c r="C5" s="50" t="n">
        <v>46204</v>
      </c>
      <c r="E5" s="13" t="s">
        <v>440</v>
      </c>
      <c r="G5" s="51" t="n">
        <f aca="false">OCAF</f>
        <v>0.025</v>
      </c>
      <c r="H5" s="13" t="s">
        <v>441</v>
      </c>
      <c r="J5" s="26" t="n">
        <f aca="false">ROUNDDOWN(YEARFRAC($C$5,CH_ResynDate),0)</f>
        <v>1</v>
      </c>
      <c r="K5" s="13" t="s">
        <v>442</v>
      </c>
      <c r="M5" s="52" t="n">
        <f aca="false">IF($J$5&lt;=0,1,(1+$G$5*OCAFHaircut)*(1+OCAF*OCAFHaircut)^($J$5-1))</f>
        <v>1.01875</v>
      </c>
    </row>
    <row r="6" customFormat="false" ht="15" hidden="false" customHeight="true" outlineLevel="0" collapsed="false">
      <c r="B6" s="40" t="s">
        <v>173</v>
      </c>
      <c r="C6" s="40" t="s">
        <v>174</v>
      </c>
      <c r="D6" s="40" t="s">
        <v>175</v>
      </c>
      <c r="E6" s="40" t="s">
        <v>176</v>
      </c>
      <c r="F6" s="40" t="s">
        <v>443</v>
      </c>
      <c r="G6" s="40" t="s">
        <v>444</v>
      </c>
      <c r="H6" s="40" t="s">
        <v>177</v>
      </c>
      <c r="I6" s="40" t="s">
        <v>178</v>
      </c>
      <c r="J6" s="40" t="s">
        <v>179</v>
      </c>
      <c r="K6" s="40" t="s">
        <v>445</v>
      </c>
      <c r="L6" s="40" t="s">
        <v>446</v>
      </c>
      <c r="M6" s="40" t="s">
        <v>447</v>
      </c>
      <c r="N6" s="40" t="s">
        <v>448</v>
      </c>
    </row>
    <row r="7" customFormat="false" ht="15" hidden="false" customHeight="true" outlineLevel="0" collapsed="false">
      <c r="B7" s="13" t="s">
        <v>180</v>
      </c>
      <c r="C7" s="53" t="n">
        <v>8</v>
      </c>
      <c r="D7" s="53" t="n">
        <v>682</v>
      </c>
      <c r="E7" s="54" t="n">
        <v>885</v>
      </c>
      <c r="F7" s="53" t="n">
        <v>127</v>
      </c>
      <c r="G7" s="41" t="n">
        <f aca="false">E7*$M$5</f>
        <v>901.59375</v>
      </c>
      <c r="H7" s="41" t="n">
        <f aca="false">G7*(1+PostRehabUplift)</f>
        <v>991.753125</v>
      </c>
      <c r="I7" s="55" t="n">
        <v>1088</v>
      </c>
      <c r="J7" s="55" t="n">
        <v>1223</v>
      </c>
      <c r="K7" s="55"/>
      <c r="L7" s="56" t="str">
        <f aca="false">IF(H7&lt;=MIN(I7,J7),"PASS","FAIL")</f>
        <v>PASS</v>
      </c>
      <c r="M7" s="55" t="n">
        <v>814</v>
      </c>
      <c r="N7" s="36" t="s">
        <v>449</v>
      </c>
    </row>
    <row r="8" customFormat="false" ht="15" hidden="false" customHeight="true" outlineLevel="0" collapsed="false">
      <c r="B8" s="13" t="s">
        <v>181</v>
      </c>
      <c r="C8" s="53" t="n">
        <v>32</v>
      </c>
      <c r="D8" s="53" t="n">
        <v>750</v>
      </c>
      <c r="E8" s="54" t="n">
        <v>961</v>
      </c>
      <c r="F8" s="53" t="n">
        <v>107</v>
      </c>
      <c r="G8" s="41" t="n">
        <f aca="false">E8*$M$5</f>
        <v>979.01875</v>
      </c>
      <c r="H8" s="41" t="n">
        <f aca="false">G8*(1+PostRehabUplift)</f>
        <v>1076.920625</v>
      </c>
      <c r="I8" s="55" t="n">
        <v>1216</v>
      </c>
      <c r="J8" s="55" t="n">
        <v>1423</v>
      </c>
      <c r="K8" s="55"/>
      <c r="L8" s="56" t="str">
        <f aca="false">IF(H8&lt;=MIN(I8,J8),"PASS","FAIL")</f>
        <v>PASS</v>
      </c>
      <c r="M8" s="55" t="n">
        <v>884</v>
      </c>
      <c r="N8" s="36" t="s">
        <v>449</v>
      </c>
    </row>
    <row r="9" customFormat="false" ht="15" hidden="false" customHeight="true" outlineLevel="0" collapsed="false">
      <c r="B9" s="13" t="s">
        <v>182</v>
      </c>
      <c r="C9" s="53" t="n">
        <v>4</v>
      </c>
      <c r="D9" s="53" t="n">
        <v>990</v>
      </c>
      <c r="E9" s="54" t="n">
        <v>1100</v>
      </c>
      <c r="F9" s="53" t="n">
        <v>153</v>
      </c>
      <c r="G9" s="41" t="n">
        <f aca="false">E9*$M$5</f>
        <v>1120.625</v>
      </c>
      <c r="H9" s="41" t="n">
        <f aca="false">G9*(1+PostRehabUplift)</f>
        <v>1232.6875</v>
      </c>
      <c r="I9" s="55" t="n">
        <v>1422</v>
      </c>
      <c r="J9" s="55" t="n">
        <v>1857</v>
      </c>
      <c r="K9" s="55"/>
      <c r="L9" s="56" t="str">
        <f aca="false">IF(H9&lt;=MIN(I9,J9),"PASS","FAIL")</f>
        <v>PASS</v>
      </c>
      <c r="M9" s="55" t="n">
        <v>1012</v>
      </c>
      <c r="N9" s="36" t="s">
        <v>449</v>
      </c>
    </row>
    <row r="10" customFormat="false" ht="15" hidden="false" customHeight="true" outlineLevel="0" collapsed="false">
      <c r="B10" s="13" t="s">
        <v>183</v>
      </c>
      <c r="C10" s="53" t="n">
        <v>40</v>
      </c>
      <c r="D10" s="53" t="n">
        <v>1010</v>
      </c>
      <c r="E10" s="54" t="n">
        <v>1113</v>
      </c>
      <c r="F10" s="53" t="n">
        <v>149</v>
      </c>
      <c r="G10" s="41" t="n">
        <f aca="false">E10*$M$5</f>
        <v>1133.86875</v>
      </c>
      <c r="H10" s="41" t="n">
        <f aca="false">G10*(1+PostRehabUplift)</f>
        <v>1247.255625</v>
      </c>
      <c r="I10" s="55" t="n">
        <v>1422</v>
      </c>
      <c r="J10" s="55" t="n">
        <v>1861</v>
      </c>
      <c r="K10" s="55"/>
      <c r="L10" s="56" t="str">
        <f aca="false">IF(H10&lt;=MIN(I10,J10),"PASS","FAIL")</f>
        <v>PASS</v>
      </c>
      <c r="M10" s="55" t="n">
        <v>1024</v>
      </c>
      <c r="N10" s="36" t="s">
        <v>449</v>
      </c>
    </row>
    <row r="11" customFormat="false" ht="15" hidden="false" customHeight="true" outlineLevel="0" collapsed="false">
      <c r="B11" s="19" t="s">
        <v>450</v>
      </c>
      <c r="C11" s="42" t="n">
        <f aca="false">SUM(C7:C10)</f>
        <v>84</v>
      </c>
      <c r="D11" s="42" t="n">
        <f aca="false">SUMPRODUCT(C7:C10,D7:D10)</f>
        <v>73816</v>
      </c>
      <c r="E11" s="57" t="n">
        <f aca="false">SUMPRODUCT($C7:$C10,E7:E10)</f>
        <v>86752</v>
      </c>
      <c r="G11" s="57" t="n">
        <f aca="false">SUMPRODUCT($C7:$C10,G7:G10)</f>
        <v>88378.6</v>
      </c>
      <c r="H11" s="57" t="n">
        <f aca="false">SUMPRODUCT($C7:$C10,H7:H10)</f>
        <v>97216.46</v>
      </c>
      <c r="L11" s="58" t="str">
        <f aca="false">IF(COUNTIF(L7:L10,"FAIL")=0,"PASS",COUNTIF(L7:L10,"FAIL")&amp;" FAIL")</f>
        <v>PASS</v>
      </c>
      <c r="M11" s="57" t="n">
        <f aca="false">SUMPRODUCT($C7:$C10,M7:M10)</f>
        <v>79808</v>
      </c>
    </row>
    <row r="12" customFormat="false" ht="15" hidden="false" customHeight="true" outlineLevel="0" collapsed="false">
      <c r="B12" s="36" t="s">
        <v>451</v>
      </c>
      <c r="C12" s="47" t="str">
        <f aca="false">IF(C11=CH_Units,"OK","MISMATCH")</f>
        <v>OK</v>
      </c>
    </row>
    <row r="14" customFormat="false" ht="15" hidden="false" customHeight="true" outlineLevel="0" collapsed="false">
      <c r="B14" s="3" t="s">
        <v>452</v>
      </c>
      <c r="C14" s="3"/>
      <c r="D14" s="3"/>
      <c r="E14" s="48" t="n">
        <f aca="false">NZ_ResynDate</f>
        <v>47119</v>
      </c>
      <c r="F14" s="3"/>
      <c r="G14" s="49" t="s">
        <v>453</v>
      </c>
      <c r="H14" s="3"/>
      <c r="I14" s="3"/>
      <c r="J14" s="3"/>
      <c r="K14" s="3"/>
      <c r="L14" s="3"/>
      <c r="M14" s="3"/>
      <c r="N14" s="3"/>
    </row>
    <row r="15" customFormat="false" ht="15" hidden="false" customHeight="true" outlineLevel="0" collapsed="false">
      <c r="B15" s="13" t="s">
        <v>439</v>
      </c>
      <c r="C15" s="50" t="n">
        <v>46023</v>
      </c>
      <c r="E15" s="13" t="s">
        <v>440</v>
      </c>
      <c r="G15" s="59" t="n">
        <v>0.098</v>
      </c>
      <c r="H15" s="13" t="s">
        <v>441</v>
      </c>
      <c r="J15" s="26" t="n">
        <f aca="false">ROUNDDOWN(YEARFRAC($C$15,NZ_ResynDate),0)</f>
        <v>3</v>
      </c>
      <c r="K15" s="13" t="s">
        <v>442</v>
      </c>
      <c r="M15" s="52" t="n">
        <f aca="false">IF($J$15&lt;=0,1,(1+$G$15*OCAFHaircut)*(1+OCAF*OCAFHaircut)^($J$15-1))</f>
        <v>1.11413365234375</v>
      </c>
    </row>
    <row r="16" customFormat="false" ht="15" hidden="false" customHeight="true" outlineLevel="0" collapsed="false">
      <c r="B16" s="40" t="s">
        <v>173</v>
      </c>
      <c r="C16" s="40" t="s">
        <v>174</v>
      </c>
      <c r="D16" s="40" t="s">
        <v>175</v>
      </c>
      <c r="E16" s="40" t="s">
        <v>176</v>
      </c>
      <c r="F16" s="40" t="s">
        <v>443</v>
      </c>
      <c r="G16" s="40" t="s">
        <v>444</v>
      </c>
      <c r="H16" s="40" t="s">
        <v>177</v>
      </c>
      <c r="I16" s="40" t="s">
        <v>178</v>
      </c>
      <c r="J16" s="40" t="s">
        <v>179</v>
      </c>
      <c r="K16" s="40" t="s">
        <v>445</v>
      </c>
      <c r="L16" s="40" t="s">
        <v>446</v>
      </c>
      <c r="M16" s="40" t="s">
        <v>447</v>
      </c>
      <c r="N16" s="40" t="s">
        <v>448</v>
      </c>
    </row>
    <row r="17" customFormat="false" ht="15" hidden="false" customHeight="true" outlineLevel="0" collapsed="false">
      <c r="B17" s="13" t="s">
        <v>180</v>
      </c>
      <c r="C17" s="53" t="n">
        <v>12</v>
      </c>
      <c r="D17" s="53" t="n">
        <v>529</v>
      </c>
      <c r="E17" s="54" t="n">
        <v>875</v>
      </c>
      <c r="F17" s="53" t="n">
        <v>101</v>
      </c>
      <c r="G17" s="41" t="n">
        <f aca="false">E17*$M$15</f>
        <v>974.866945800781</v>
      </c>
      <c r="H17" s="41" t="n">
        <f aca="false">G17*(1+PostRehabUplift)</f>
        <v>1072.35364038086</v>
      </c>
      <c r="I17" s="55" t="n">
        <v>1088</v>
      </c>
      <c r="J17" s="55" t="n">
        <v>1249</v>
      </c>
      <c r="K17" s="55"/>
      <c r="L17" s="56" t="str">
        <f aca="false">IF(H17&lt;=MIN(I17,J17),"PASS","FAIL")</f>
        <v>PASS</v>
      </c>
      <c r="M17" s="55" t="n">
        <v>875</v>
      </c>
      <c r="N17" s="36" t="s">
        <v>449</v>
      </c>
    </row>
    <row r="18" customFormat="false" ht="15" hidden="false" customHeight="true" outlineLevel="0" collapsed="false">
      <c r="B18" s="13" t="s">
        <v>181</v>
      </c>
      <c r="C18" s="53" t="n">
        <v>64</v>
      </c>
      <c r="D18" s="53" t="n">
        <v>676</v>
      </c>
      <c r="E18" s="54" t="n">
        <v>924</v>
      </c>
      <c r="F18" s="53" t="n">
        <v>109</v>
      </c>
      <c r="G18" s="41" t="n">
        <f aca="false">E18*$M$15</f>
        <v>1029.45949476563</v>
      </c>
      <c r="H18" s="41" t="n">
        <f aca="false">G18*(1+PostRehabUplift)</f>
        <v>1132.40544424219</v>
      </c>
      <c r="I18" s="55" t="n">
        <v>1216</v>
      </c>
      <c r="J18" s="55" t="n">
        <v>1421</v>
      </c>
      <c r="K18" s="55"/>
      <c r="L18" s="56" t="str">
        <f aca="false">IF(H18&lt;=MIN(I18,J18),"PASS","FAIL")</f>
        <v>PASS</v>
      </c>
      <c r="M18" s="55" t="n">
        <v>924</v>
      </c>
      <c r="N18" s="36" t="s">
        <v>449</v>
      </c>
    </row>
    <row r="19" customFormat="false" ht="15" hidden="false" customHeight="true" outlineLevel="0" collapsed="false">
      <c r="B19" s="13" t="s">
        <v>182</v>
      </c>
      <c r="C19" s="53" t="n">
        <v>24</v>
      </c>
      <c r="D19" s="53" t="n">
        <v>900</v>
      </c>
      <c r="E19" s="54" t="n">
        <v>1144</v>
      </c>
      <c r="F19" s="53" t="n">
        <v>128</v>
      </c>
      <c r="G19" s="41" t="n">
        <f aca="false">E19*$M$15</f>
        <v>1274.56889828125</v>
      </c>
      <c r="H19" s="41" t="n">
        <f aca="false">G19*(1+PostRehabUplift)</f>
        <v>1402.02578810938</v>
      </c>
      <c r="I19" s="55" t="n">
        <v>1422</v>
      </c>
      <c r="J19" s="55" t="n">
        <v>1882</v>
      </c>
      <c r="K19" s="55"/>
      <c r="L19" s="56" t="str">
        <f aca="false">IF(H19&lt;=MIN(I19,J19),"PASS","FAIL")</f>
        <v>PASS</v>
      </c>
      <c r="M19" s="55" t="n">
        <v>1144</v>
      </c>
      <c r="N19" s="36" t="s">
        <v>449</v>
      </c>
    </row>
    <row r="20" customFormat="false" ht="15" hidden="false" customHeight="true" outlineLevel="0" collapsed="false">
      <c r="B20" s="19" t="s">
        <v>450</v>
      </c>
      <c r="C20" s="42" t="n">
        <f aca="false">SUM(C17:C19)</f>
        <v>100</v>
      </c>
      <c r="D20" s="42" t="n">
        <f aca="false">SUMPRODUCT(C17:C19,D17:D19)</f>
        <v>71212</v>
      </c>
      <c r="E20" s="57" t="n">
        <f aca="false">SUMPRODUCT($C17:$C19,E17:E19)</f>
        <v>97092</v>
      </c>
      <c r="G20" s="57" t="n">
        <f aca="false">SUMPRODUCT($C17:$C19,G17:G19)</f>
        <v>108173.464573359</v>
      </c>
      <c r="H20" s="57" t="n">
        <f aca="false">SUMPRODUCT($C17:$C19,H17:H19)</f>
        <v>118990.811030695</v>
      </c>
      <c r="L20" s="58" t="str">
        <f aca="false">IF(COUNTIF(L17:L19,"FAIL")=0,"PASS",COUNTIF(L17:L19,"FAIL")&amp;" FAIL")</f>
        <v>PASS</v>
      </c>
      <c r="M20" s="57" t="n">
        <f aca="false">SUMPRODUCT($C17:$C19,M17:M19)</f>
        <v>97092</v>
      </c>
    </row>
    <row r="21" customFormat="false" ht="15" hidden="false" customHeight="true" outlineLevel="0" collapsed="false">
      <c r="B21" s="36" t="s">
        <v>451</v>
      </c>
      <c r="C21" s="47" t="str">
        <f aca="false">IF(C20=NZ_Units,"OK","MISMATCH")</f>
        <v>OK</v>
      </c>
    </row>
    <row r="23" customFormat="false" ht="15" hidden="false" customHeight="true" outlineLevel="0" collapsed="false">
      <c r="B23" s="3" t="s">
        <v>454</v>
      </c>
      <c r="C23" s="3"/>
      <c r="D23" s="3"/>
      <c r="E23" s="48" t="n">
        <f aca="false">LOM_ResynDate</f>
        <v>47119</v>
      </c>
      <c r="F23" s="3"/>
      <c r="G23" s="49" t="s">
        <v>455</v>
      </c>
      <c r="H23" s="3"/>
      <c r="I23" s="3"/>
      <c r="J23" s="3"/>
      <c r="K23" s="3"/>
      <c r="L23" s="3"/>
      <c r="M23" s="3"/>
      <c r="N23" s="3"/>
    </row>
    <row r="24" customFormat="false" ht="15" hidden="false" customHeight="true" outlineLevel="0" collapsed="false">
      <c r="B24" s="13" t="s">
        <v>439</v>
      </c>
      <c r="C24" s="50" t="n">
        <v>46113</v>
      </c>
      <c r="E24" s="13" t="s">
        <v>440</v>
      </c>
      <c r="G24" s="51" t="n">
        <f aca="false">OCAF</f>
        <v>0.025</v>
      </c>
      <c r="H24" s="13" t="s">
        <v>441</v>
      </c>
      <c r="J24" s="26" t="n">
        <f aca="false">ROUNDDOWN(YEARFRAC($C$24,LOM_ResynDate),0)</f>
        <v>2</v>
      </c>
      <c r="K24" s="13" t="s">
        <v>442</v>
      </c>
      <c r="M24" s="52" t="n">
        <f aca="false">IF($J$24&lt;=0,1,(1+$G$24*OCAFHaircut)*(1+OCAF*OCAFHaircut)^($J$24-1))</f>
        <v>1.0378515625</v>
      </c>
    </row>
    <row r="25" customFormat="false" ht="15" hidden="false" customHeight="true" outlineLevel="0" collapsed="false">
      <c r="B25" s="40" t="s">
        <v>173</v>
      </c>
      <c r="C25" s="40" t="s">
        <v>174</v>
      </c>
      <c r="D25" s="40" t="s">
        <v>175</v>
      </c>
      <c r="E25" s="40" t="s">
        <v>176</v>
      </c>
      <c r="F25" s="40" t="s">
        <v>443</v>
      </c>
      <c r="G25" s="40" t="s">
        <v>444</v>
      </c>
      <c r="H25" s="40" t="s">
        <v>177</v>
      </c>
      <c r="I25" s="40" t="s">
        <v>178</v>
      </c>
      <c r="J25" s="40" t="s">
        <v>179</v>
      </c>
      <c r="K25" s="40" t="s">
        <v>445</v>
      </c>
      <c r="L25" s="40" t="s">
        <v>446</v>
      </c>
      <c r="M25" s="40" t="s">
        <v>447</v>
      </c>
      <c r="N25" s="40" t="s">
        <v>448</v>
      </c>
    </row>
    <row r="26" customFormat="false" ht="15" hidden="false" customHeight="true" outlineLevel="0" collapsed="false">
      <c r="B26" s="13" t="s">
        <v>181</v>
      </c>
      <c r="C26" s="53" t="n">
        <v>19</v>
      </c>
      <c r="D26" s="53" t="n">
        <v>716</v>
      </c>
      <c r="E26" s="54" t="n">
        <v>931</v>
      </c>
      <c r="F26" s="53" t="n">
        <v>71</v>
      </c>
      <c r="G26" s="41" t="n">
        <f aca="false">E26*$M$24</f>
        <v>966.2398046875</v>
      </c>
      <c r="H26" s="41" t="n">
        <f aca="false">G26*(1+PostRehabUplift)</f>
        <v>1062.86378515625</v>
      </c>
      <c r="I26" s="55" t="n">
        <v>1065</v>
      </c>
      <c r="J26" s="55" t="n">
        <v>1204</v>
      </c>
      <c r="K26" s="55"/>
      <c r="L26" s="56" t="str">
        <f aca="false">IF(H26&lt;=MIN(I26,J26),"PASS","FAIL")</f>
        <v>PASS</v>
      </c>
      <c r="M26" s="55" t="n">
        <v>864</v>
      </c>
      <c r="N26" s="36" t="s">
        <v>449</v>
      </c>
    </row>
    <row r="27" customFormat="false" ht="15" hidden="false" customHeight="true" outlineLevel="0" collapsed="false">
      <c r="B27" s="13" t="s">
        <v>182</v>
      </c>
      <c r="C27" s="53" t="n">
        <v>50</v>
      </c>
      <c r="D27" s="53" t="n">
        <v>822</v>
      </c>
      <c r="E27" s="54" t="n">
        <v>1060</v>
      </c>
      <c r="F27" s="53" t="n">
        <v>96</v>
      </c>
      <c r="G27" s="41" t="n">
        <f aca="false">E27*$M$24</f>
        <v>1100.12265625</v>
      </c>
      <c r="H27" s="41" t="n">
        <f aca="false">G27*(1+PostRehabUplift)</f>
        <v>1210.134921875</v>
      </c>
      <c r="I27" s="55" t="n">
        <v>1326</v>
      </c>
      <c r="J27" s="55" t="n">
        <v>1584</v>
      </c>
      <c r="K27" s="55"/>
      <c r="L27" s="56" t="str">
        <f aca="false">IF(H27&lt;=MIN(I27,J27),"PASS","FAIL")</f>
        <v>PASS</v>
      </c>
      <c r="M27" s="55" t="n">
        <v>984</v>
      </c>
      <c r="N27" s="36" t="s">
        <v>449</v>
      </c>
    </row>
    <row r="28" customFormat="false" ht="15" hidden="false" customHeight="true" outlineLevel="0" collapsed="false">
      <c r="B28" s="13" t="s">
        <v>187</v>
      </c>
      <c r="C28" s="53" t="n">
        <v>50</v>
      </c>
      <c r="D28" s="53" t="n">
        <v>948</v>
      </c>
      <c r="E28" s="54" t="n">
        <v>1202</v>
      </c>
      <c r="F28" s="53" t="n">
        <v>108</v>
      </c>
      <c r="G28" s="41" t="n">
        <f aca="false">E28*$M$24</f>
        <v>1247.497578125</v>
      </c>
      <c r="H28" s="41" t="n">
        <f aca="false">G28*(1+PostRehabUplift)</f>
        <v>1372.2473359375</v>
      </c>
      <c r="I28" s="55" t="n">
        <v>1404</v>
      </c>
      <c r="J28" s="55" t="n">
        <v>1587</v>
      </c>
      <c r="K28" s="55"/>
      <c r="L28" s="56" t="str">
        <f aca="false">IF(H28&lt;=MIN(I28,J28),"PASS","FAIL")</f>
        <v>PASS</v>
      </c>
      <c r="M28" s="55" t="n">
        <v>1116</v>
      </c>
      <c r="N28" s="36" t="s">
        <v>449</v>
      </c>
    </row>
    <row r="29" customFormat="false" ht="15" hidden="false" customHeight="true" outlineLevel="0" collapsed="false">
      <c r="B29" s="19" t="s">
        <v>450</v>
      </c>
      <c r="C29" s="42" t="n">
        <f aca="false">SUM(C26:C28)</f>
        <v>119</v>
      </c>
      <c r="D29" s="42" t="n">
        <f aca="false">SUMPRODUCT(C26:C28,D26:D28)</f>
        <v>102104</v>
      </c>
      <c r="E29" s="57" t="n">
        <f aca="false">SUMPRODUCT($C26:$C28,E26:E28)</f>
        <v>130789</v>
      </c>
      <c r="G29" s="57" t="n">
        <f aca="false">SUMPRODUCT($C26:$C28,G26:G28)</f>
        <v>135739.568007813</v>
      </c>
      <c r="H29" s="57" t="n">
        <f aca="false">SUMPRODUCT($C26:$C28,H26:H28)</f>
        <v>149313.524808594</v>
      </c>
      <c r="L29" s="58" t="str">
        <f aca="false">IF(COUNTIF(L26:L28,"FAIL")=0,"PASS",COUNTIF(L26:L28,"FAIL")&amp;" FAIL")</f>
        <v>PASS</v>
      </c>
      <c r="M29" s="57" t="n">
        <f aca="false">SUMPRODUCT($C26:$C28,M26:M28)</f>
        <v>121416</v>
      </c>
    </row>
    <row r="30" customFormat="false" ht="15" hidden="false" customHeight="true" outlineLevel="0" collapsed="false">
      <c r="B30" s="36" t="s">
        <v>451</v>
      </c>
      <c r="C30" s="47" t="str">
        <f aca="false">IF(C29=LOM_Units,"OK","MISMATCH")</f>
        <v>OK</v>
      </c>
    </row>
    <row r="32" customFormat="false" ht="15" hidden="false" customHeight="true" outlineLevel="0" collapsed="false">
      <c r="B32" s="3" t="s">
        <v>456</v>
      </c>
      <c r="C32" s="3"/>
      <c r="D32" s="3"/>
      <c r="E32" s="48" t="n">
        <f aca="false">SA_ResynDate</f>
        <v>46357</v>
      </c>
      <c r="F32" s="3"/>
      <c r="G32" s="49" t="s">
        <v>457</v>
      </c>
      <c r="H32" s="3"/>
      <c r="I32" s="3"/>
      <c r="J32" s="3"/>
      <c r="K32" s="3"/>
      <c r="L32" s="3"/>
      <c r="M32" s="3"/>
      <c r="N32" s="3"/>
    </row>
    <row r="33" customFormat="false" ht="15" hidden="false" customHeight="true" outlineLevel="0" collapsed="false">
      <c r="B33" s="13" t="s">
        <v>439</v>
      </c>
      <c r="C33" s="50" t="n">
        <v>46143</v>
      </c>
      <c r="E33" s="13" t="s">
        <v>440</v>
      </c>
      <c r="G33" s="51" t="n">
        <f aca="false">OCAF</f>
        <v>0.025</v>
      </c>
      <c r="H33" s="13" t="s">
        <v>441</v>
      </c>
      <c r="J33" s="26" t="n">
        <f aca="false">ROUNDDOWN(YEARFRAC($C$33,SA_ResynDate),0)</f>
        <v>0</v>
      </c>
      <c r="K33" s="13" t="s">
        <v>442</v>
      </c>
      <c r="M33" s="52" t="n">
        <f aca="false">IF($J$33&lt;=0,1,(1+$G$33*OCAFHaircut)*(1+OCAF*OCAFHaircut)^($J$33-1))</f>
        <v>1</v>
      </c>
    </row>
    <row r="34" customFormat="false" ht="15" hidden="false" customHeight="true" outlineLevel="0" collapsed="false">
      <c r="B34" s="40" t="s">
        <v>173</v>
      </c>
      <c r="C34" s="40" t="s">
        <v>174</v>
      </c>
      <c r="D34" s="40" t="s">
        <v>175</v>
      </c>
      <c r="E34" s="40" t="s">
        <v>176</v>
      </c>
      <c r="F34" s="40" t="s">
        <v>443</v>
      </c>
      <c r="G34" s="40" t="s">
        <v>444</v>
      </c>
      <c r="H34" s="40" t="s">
        <v>177</v>
      </c>
      <c r="I34" s="40" t="s">
        <v>178</v>
      </c>
      <c r="J34" s="40" t="s">
        <v>179</v>
      </c>
      <c r="K34" s="40" t="s">
        <v>445</v>
      </c>
      <c r="L34" s="40" t="s">
        <v>446</v>
      </c>
      <c r="M34" s="40" t="s">
        <v>447</v>
      </c>
      <c r="N34" s="40" t="s">
        <v>448</v>
      </c>
    </row>
    <row r="35" customFormat="false" ht="15" hidden="false" customHeight="true" outlineLevel="0" collapsed="false">
      <c r="B35" s="13" t="s">
        <v>180</v>
      </c>
      <c r="C35" s="53" t="n">
        <v>49</v>
      </c>
      <c r="D35" s="53" t="n">
        <v>656</v>
      </c>
      <c r="E35" s="54" t="n">
        <v>942</v>
      </c>
      <c r="F35" s="53" t="n">
        <v>0</v>
      </c>
      <c r="G35" s="41" t="n">
        <f aca="false">E35*$M$33</f>
        <v>942</v>
      </c>
      <c r="H35" s="41" t="n">
        <f aca="false">G35*(1+PostRehabUplift)</f>
        <v>1036.2</v>
      </c>
      <c r="I35" s="55" t="n">
        <v>1176</v>
      </c>
      <c r="J35" s="55" t="n">
        <v>1470</v>
      </c>
      <c r="K35" s="55" t="n">
        <v>1063</v>
      </c>
      <c r="L35" s="56" t="str">
        <f aca="false">IF(H35&lt;=MIN(I35,J35),"PASS","FAIL")</f>
        <v>PASS</v>
      </c>
      <c r="M35" s="55" t="n">
        <v>875</v>
      </c>
      <c r="N35" s="36" t="s">
        <v>449</v>
      </c>
    </row>
    <row r="36" customFormat="false" ht="15" hidden="false" customHeight="true" outlineLevel="0" collapsed="false">
      <c r="B36" s="13" t="s">
        <v>181</v>
      </c>
      <c r="C36" s="53" t="n">
        <v>28</v>
      </c>
      <c r="D36" s="53" t="n">
        <v>806</v>
      </c>
      <c r="E36" s="54" t="n">
        <v>1011</v>
      </c>
      <c r="F36" s="53" t="n">
        <v>0</v>
      </c>
      <c r="G36" s="41" t="n">
        <f aca="false">E36*$M$33</f>
        <v>1011</v>
      </c>
      <c r="H36" s="41" t="n">
        <f aca="false">G36*(1+PostRehabUplift)</f>
        <v>1112.1</v>
      </c>
      <c r="I36" s="55" t="n">
        <v>1321</v>
      </c>
      <c r="J36" s="55" t="n">
        <v>1650</v>
      </c>
      <c r="K36" s="55" t="n">
        <v>1276</v>
      </c>
      <c r="L36" s="56" t="str">
        <f aca="false">IF(H36&lt;=MIN(I36,J36),"PASS","FAIL")</f>
        <v>PASS</v>
      </c>
      <c r="M36" s="55" t="n">
        <v>940</v>
      </c>
      <c r="N36" s="36" t="s">
        <v>449</v>
      </c>
    </row>
    <row r="37" customFormat="false" ht="15" hidden="false" customHeight="true" outlineLevel="0" collapsed="false">
      <c r="B37" s="13" t="s">
        <v>458</v>
      </c>
      <c r="C37" s="53" t="n">
        <v>25</v>
      </c>
      <c r="D37" s="53" t="n">
        <v>903</v>
      </c>
      <c r="E37" s="54" t="n">
        <v>1049</v>
      </c>
      <c r="F37" s="53" t="n">
        <v>0</v>
      </c>
      <c r="G37" s="41" t="n">
        <f aca="false">E37*$M$33</f>
        <v>1049</v>
      </c>
      <c r="H37" s="41" t="n">
        <f aca="false">G37*(1+PostRehabUplift)</f>
        <v>1153.9</v>
      </c>
      <c r="I37" s="55" t="n">
        <v>1321</v>
      </c>
      <c r="J37" s="55" t="n">
        <v>1650</v>
      </c>
      <c r="K37" s="55" t="n">
        <v>1276</v>
      </c>
      <c r="L37" s="56" t="str">
        <f aca="false">IF(H37&lt;=MIN(I37,J37),"PASS","FAIL")</f>
        <v>PASS</v>
      </c>
      <c r="M37" s="55" t="n">
        <v>975</v>
      </c>
      <c r="N37" s="36" t="s">
        <v>449</v>
      </c>
    </row>
    <row r="38" customFormat="false" ht="15" hidden="false" customHeight="true" outlineLevel="0" collapsed="false">
      <c r="B38" s="13" t="s">
        <v>183</v>
      </c>
      <c r="C38" s="53" t="n">
        <v>21</v>
      </c>
      <c r="D38" s="53" t="n">
        <v>903</v>
      </c>
      <c r="E38" s="54" t="n">
        <v>1184</v>
      </c>
      <c r="F38" s="53" t="n">
        <v>0</v>
      </c>
      <c r="G38" s="41" t="n">
        <f aca="false">E38*$M$33</f>
        <v>1184</v>
      </c>
      <c r="H38" s="41" t="n">
        <f aca="false">G38*(1+PostRehabUplift)</f>
        <v>1302.4</v>
      </c>
      <c r="I38" s="55" t="n">
        <v>1499</v>
      </c>
      <c r="J38" s="55" t="n">
        <v>2070</v>
      </c>
      <c r="K38" s="55" t="n">
        <v>1474</v>
      </c>
      <c r="L38" s="56" t="str">
        <f aca="false">IF(H38&lt;=MIN(I38,J38),"PASS","FAIL")</f>
        <v>PASS</v>
      </c>
      <c r="M38" s="55" t="n">
        <v>1100</v>
      </c>
      <c r="N38" s="36" t="s">
        <v>449</v>
      </c>
    </row>
    <row r="39" customFormat="false" ht="15" hidden="false" customHeight="true" outlineLevel="0" collapsed="false">
      <c r="B39" s="13" t="s">
        <v>459</v>
      </c>
      <c r="C39" s="53" t="n">
        <v>1</v>
      </c>
      <c r="D39" s="53" t="n">
        <v>795</v>
      </c>
      <c r="E39" s="54" t="n">
        <v>769</v>
      </c>
      <c r="F39" s="53" t="n">
        <v>0</v>
      </c>
      <c r="G39" s="41" t="n">
        <f aca="false">E39*$M$33</f>
        <v>769</v>
      </c>
      <c r="H39" s="41" t="n">
        <f aca="false">G39*(1+PostRehabUplift)</f>
        <v>845.9</v>
      </c>
      <c r="I39" s="55" t="n">
        <v>1176</v>
      </c>
      <c r="J39" s="55" t="n">
        <v>1470</v>
      </c>
      <c r="K39" s="55" t="n">
        <v>886</v>
      </c>
      <c r="L39" s="56" t="str">
        <f aca="false">IF(H39&lt;=K39,"PASS","FAIL")</f>
        <v>PASS</v>
      </c>
      <c r="M39" s="55" t="n">
        <v>769</v>
      </c>
      <c r="N39" s="36" t="s">
        <v>460</v>
      </c>
    </row>
    <row r="40" customFormat="false" ht="15" hidden="false" customHeight="true" outlineLevel="0" collapsed="false">
      <c r="B40" s="13" t="s">
        <v>461</v>
      </c>
      <c r="C40" s="53" t="n">
        <v>1</v>
      </c>
      <c r="D40" s="53" t="n">
        <v>795</v>
      </c>
      <c r="E40" s="54" t="n">
        <v>649</v>
      </c>
      <c r="F40" s="53" t="n">
        <v>0</v>
      </c>
      <c r="G40" s="41" t="n">
        <f aca="false">E40*$M$33</f>
        <v>649</v>
      </c>
      <c r="H40" s="41" t="n">
        <f aca="false">G40*(1+PostRehabUplift)</f>
        <v>713.9</v>
      </c>
      <c r="I40" s="55" t="n">
        <v>1176</v>
      </c>
      <c r="J40" s="55" t="n">
        <v>1470</v>
      </c>
      <c r="K40" s="55" t="n">
        <v>1063</v>
      </c>
      <c r="L40" s="56" t="str">
        <f aca="false">IF(H40&lt;=K40,"PASS","FAIL")</f>
        <v>PASS</v>
      </c>
      <c r="M40" s="55" t="n">
        <v>649</v>
      </c>
      <c r="N40" s="36" t="s">
        <v>460</v>
      </c>
    </row>
    <row r="41" customFormat="false" ht="15" hidden="false" customHeight="true" outlineLevel="0" collapsed="false">
      <c r="B41" s="13" t="s">
        <v>462</v>
      </c>
      <c r="C41" s="53" t="n">
        <v>2</v>
      </c>
      <c r="D41" s="53" t="n">
        <v>806</v>
      </c>
      <c r="E41" s="54" t="n">
        <v>630</v>
      </c>
      <c r="F41" s="53" t="n">
        <v>0</v>
      </c>
      <c r="G41" s="41" t="n">
        <f aca="false">E41*$M$33</f>
        <v>630</v>
      </c>
      <c r="H41" s="41" t="n">
        <f aca="false">G41*(1+PostRehabUplift)</f>
        <v>693</v>
      </c>
      <c r="I41" s="55" t="n">
        <v>1321</v>
      </c>
      <c r="J41" s="55" t="n">
        <v>1650</v>
      </c>
      <c r="K41" s="55" t="n">
        <v>1063</v>
      </c>
      <c r="L41" s="56" t="str">
        <f aca="false">IF(H41&lt;=K41,"PASS","FAIL")</f>
        <v>PASS</v>
      </c>
      <c r="M41" s="55" t="n">
        <v>630</v>
      </c>
      <c r="N41" s="36" t="s">
        <v>460</v>
      </c>
    </row>
    <row r="42" customFormat="false" ht="15" hidden="false" customHeight="true" outlineLevel="0" collapsed="false">
      <c r="B42" s="13" t="s">
        <v>463</v>
      </c>
      <c r="C42" s="53" t="n">
        <v>18</v>
      </c>
      <c r="D42" s="53" t="n">
        <v>806</v>
      </c>
      <c r="E42" s="54" t="n">
        <v>647.88</v>
      </c>
      <c r="F42" s="53" t="n">
        <v>0</v>
      </c>
      <c r="G42" s="41" t="n">
        <f aca="false">E42*$M$33</f>
        <v>647.88</v>
      </c>
      <c r="H42" s="41" t="n">
        <f aca="false">G42*(1+PostRehabUplift)</f>
        <v>712.668</v>
      </c>
      <c r="I42" s="55" t="n">
        <v>1321</v>
      </c>
      <c r="J42" s="55" t="n">
        <v>1650</v>
      </c>
      <c r="K42" s="55" t="n">
        <v>1276</v>
      </c>
      <c r="L42" s="56" t="str">
        <f aca="false">IF(H42&lt;=K42,"PASS","FAIL")</f>
        <v>PASS</v>
      </c>
      <c r="M42" s="55" t="n">
        <v>647.88</v>
      </c>
      <c r="N42" s="36" t="s">
        <v>460</v>
      </c>
    </row>
    <row r="43" customFormat="false" ht="15" hidden="false" customHeight="true" outlineLevel="0" collapsed="false">
      <c r="B43" s="13" t="s">
        <v>464</v>
      </c>
      <c r="C43" s="53" t="n">
        <v>3</v>
      </c>
      <c r="D43" s="53" t="n">
        <v>903</v>
      </c>
      <c r="E43" s="54" t="n">
        <v>650</v>
      </c>
      <c r="F43" s="53" t="n">
        <v>0</v>
      </c>
      <c r="G43" s="41" t="n">
        <f aca="false">E43*$M$33</f>
        <v>650</v>
      </c>
      <c r="H43" s="41" t="n">
        <f aca="false">G43*(1+PostRehabUplift)</f>
        <v>715</v>
      </c>
      <c r="I43" s="55" t="n">
        <v>1321</v>
      </c>
      <c r="J43" s="55" t="n">
        <v>1650</v>
      </c>
      <c r="K43" s="55" t="n">
        <v>1063</v>
      </c>
      <c r="L43" s="56" t="str">
        <f aca="false">IF(H43&lt;=K43,"PASS","FAIL")</f>
        <v>PASS</v>
      </c>
      <c r="M43" s="55" t="n">
        <v>650</v>
      </c>
      <c r="N43" s="36" t="s">
        <v>460</v>
      </c>
    </row>
    <row r="44" customFormat="false" ht="15" hidden="false" customHeight="true" outlineLevel="0" collapsed="false">
      <c r="B44" s="13" t="s">
        <v>465</v>
      </c>
      <c r="C44" s="53" t="n">
        <v>20</v>
      </c>
      <c r="D44" s="53" t="n">
        <v>903</v>
      </c>
      <c r="E44" s="54" t="n">
        <v>668.5</v>
      </c>
      <c r="F44" s="53" t="n">
        <v>0</v>
      </c>
      <c r="G44" s="41" t="n">
        <f aca="false">E44*$M$33</f>
        <v>668.5</v>
      </c>
      <c r="H44" s="41" t="n">
        <f aca="false">G44*(1+PostRehabUplift)</f>
        <v>735.35</v>
      </c>
      <c r="I44" s="55" t="n">
        <v>1321</v>
      </c>
      <c r="J44" s="55" t="n">
        <v>1650</v>
      </c>
      <c r="K44" s="55" t="n">
        <v>1276</v>
      </c>
      <c r="L44" s="56" t="str">
        <f aca="false">IF(H44&lt;=K44,"PASS","FAIL")</f>
        <v>PASS</v>
      </c>
      <c r="M44" s="55" t="n">
        <v>668.5</v>
      </c>
      <c r="N44" s="36" t="s">
        <v>460</v>
      </c>
    </row>
    <row r="45" customFormat="false" ht="15" hidden="false" customHeight="true" outlineLevel="0" collapsed="false">
      <c r="B45" s="13" t="s">
        <v>466</v>
      </c>
      <c r="C45" s="53" t="n">
        <v>5</v>
      </c>
      <c r="D45" s="53" t="n">
        <v>903</v>
      </c>
      <c r="E45" s="54" t="n">
        <v>705</v>
      </c>
      <c r="F45" s="53" t="n">
        <v>0</v>
      </c>
      <c r="G45" s="41" t="n">
        <f aca="false">E45*$M$33</f>
        <v>705</v>
      </c>
      <c r="H45" s="41" t="n">
        <f aca="false">G45*(1+PostRehabUplift)</f>
        <v>775.5</v>
      </c>
      <c r="I45" s="55" t="n">
        <v>1499</v>
      </c>
      <c r="J45" s="55" t="n">
        <v>2070</v>
      </c>
      <c r="K45" s="55" t="n">
        <v>1228</v>
      </c>
      <c r="L45" s="56" t="str">
        <f aca="false">IF(H45&lt;=K45,"PASS","FAIL")</f>
        <v>PASS</v>
      </c>
      <c r="M45" s="55" t="n">
        <v>705</v>
      </c>
      <c r="N45" s="36" t="s">
        <v>460</v>
      </c>
    </row>
    <row r="46" customFormat="false" ht="15" hidden="false" customHeight="true" outlineLevel="0" collapsed="false">
      <c r="B46" s="13" t="s">
        <v>467</v>
      </c>
      <c r="C46" s="53" t="n">
        <v>29</v>
      </c>
      <c r="D46" s="53" t="n">
        <v>903</v>
      </c>
      <c r="E46" s="54" t="n">
        <v>705</v>
      </c>
      <c r="F46" s="53" t="n">
        <v>0</v>
      </c>
      <c r="G46" s="41" t="n">
        <f aca="false">E46*$M$33</f>
        <v>705</v>
      </c>
      <c r="H46" s="41" t="n">
        <f aca="false">G46*(1+PostRehabUplift)</f>
        <v>775.5</v>
      </c>
      <c r="I46" s="55" t="n">
        <v>1499</v>
      </c>
      <c r="J46" s="55" t="n">
        <v>2070</v>
      </c>
      <c r="K46" s="55" t="n">
        <v>1474</v>
      </c>
      <c r="L46" s="56" t="str">
        <f aca="false">IF(H46&lt;=K46,"PASS","FAIL")</f>
        <v>PASS</v>
      </c>
      <c r="M46" s="55" t="n">
        <v>705</v>
      </c>
      <c r="N46" s="36" t="s">
        <v>460</v>
      </c>
    </row>
    <row r="47" customFormat="false" ht="15" hidden="false" customHeight="true" outlineLevel="0" collapsed="false">
      <c r="B47" s="13" t="s">
        <v>199</v>
      </c>
      <c r="C47" s="53" t="n">
        <v>2</v>
      </c>
      <c r="D47" s="53" t="n">
        <v>795</v>
      </c>
      <c r="E47" s="54" t="n">
        <v>672</v>
      </c>
      <c r="F47" s="53" t="n">
        <v>0</v>
      </c>
      <c r="G47" s="41" t="n">
        <f aca="false">E47*$M$33</f>
        <v>672</v>
      </c>
      <c r="H47" s="41" t="n">
        <f aca="false">G47*(1+PostRehabUplift)</f>
        <v>739.2</v>
      </c>
      <c r="I47" s="55" t="n">
        <v>1176</v>
      </c>
      <c r="J47" s="55" t="n">
        <v>1470</v>
      </c>
      <c r="K47" s="55" t="n">
        <v>1063</v>
      </c>
      <c r="L47" s="60" t="s">
        <v>468</v>
      </c>
      <c r="M47" s="55" t="n">
        <v>672</v>
      </c>
      <c r="N47" s="36" t="s">
        <v>469</v>
      </c>
    </row>
    <row r="48" customFormat="false" ht="15" hidden="false" customHeight="true" outlineLevel="0" collapsed="false">
      <c r="B48" s="19" t="s">
        <v>450</v>
      </c>
      <c r="C48" s="42" t="n">
        <f aca="false">SUM(C35:C47)</f>
        <v>204</v>
      </c>
      <c r="D48" s="42" t="n">
        <f aca="false">SUMPRODUCT(C35:C47,D35:D47)</f>
        <v>167021</v>
      </c>
      <c r="E48" s="57" t="n">
        <f aca="false">SUMPRODUCT($C35:$C47,E35:E47)</f>
        <v>180528.84</v>
      </c>
      <c r="G48" s="57" t="n">
        <f aca="false">SUMPRODUCT($C35:$C47,G35:G47)</f>
        <v>180528.84</v>
      </c>
      <c r="H48" s="57" t="n">
        <f aca="false">SUMPRODUCT($C35:$C47,H35:H47)</f>
        <v>198581.724</v>
      </c>
      <c r="L48" s="58" t="str">
        <f aca="false">IF(COUNTIF(L35:L47,"FAIL")=0,"PASS",COUNTIF(L35:L47,"FAIL")&amp;" FAIL")</f>
        <v>PASS</v>
      </c>
      <c r="M48" s="57" t="n">
        <f aca="false">SUMPRODUCT($C35:$C47,M35:M47)</f>
        <v>171643.84</v>
      </c>
    </row>
    <row r="49" customFormat="false" ht="15" hidden="false" customHeight="true" outlineLevel="0" collapsed="false">
      <c r="B49" s="36" t="s">
        <v>451</v>
      </c>
      <c r="C49" s="47" t="str">
        <f aca="false">IF(C48=SA_Units,"OK","MISMATCH")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4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.43"/>
    <col collapsed="false" customWidth="true" hidden="false" outlineLevel="0" max="2" min="2" style="1" width="38"/>
    <col collapsed="false" customWidth="true" hidden="false" outlineLevel="0" max="7" min="3" style="1" width="14.9"/>
    <col collapsed="false" customWidth="true" hidden="false" outlineLevel="0" max="8" min="8" style="1" width="2"/>
  </cols>
  <sheetData>
    <row r="1" customFormat="false" ht="17.25" hidden="false" customHeight="true" outlineLevel="0" collapsed="false">
      <c r="A1" s="11" t="s">
        <v>470</v>
      </c>
    </row>
    <row r="2" customFormat="false" ht="15" hidden="false" customHeight="true" outlineLevel="0" collapsed="false">
      <c r="B2" s="36" t="s">
        <v>471</v>
      </c>
    </row>
    <row r="3" customFormat="false" ht="15" hidden="false" customHeight="true" outlineLevel="0" collapsed="false">
      <c r="B3" s="3"/>
      <c r="C3" s="3" t="s">
        <v>20</v>
      </c>
      <c r="D3" s="3" t="s">
        <v>21</v>
      </c>
      <c r="E3" s="3" t="s">
        <v>22</v>
      </c>
      <c r="F3" s="3" t="s">
        <v>23</v>
      </c>
      <c r="G3" s="3" t="s">
        <v>472</v>
      </c>
    </row>
    <row r="5" customFormat="false" ht="15" hidden="false" customHeight="true" outlineLevel="0" collapsed="false">
      <c r="B5" s="13" t="s">
        <v>473</v>
      </c>
      <c r="C5" s="37" t="n">
        <f aca="false">SUMPRODUCT((CH_MixTier="HAP")*CH_MixCount*CH_MixPR)*12</f>
        <v>1166597.52</v>
      </c>
      <c r="D5" s="37" t="n">
        <f aca="false">SUMPRODUCT((NZ_MixTier="HAP")*NZ_MixCount*NZ_MixPR)*12</f>
        <v>1427889.73236834</v>
      </c>
      <c r="E5" s="37" t="n">
        <f aca="false">SUMPRODUCT((LOM_MixTier="HAP")*LOM_MixCount*LOM_MixPR)*12</f>
        <v>1791762.29770313</v>
      </c>
      <c r="F5" s="37" t="n">
        <f aca="false">SUMPRODUCT((SA_MixTier="HAP")*SA_MixCount*SA_MixPR)*12</f>
        <v>1657326</v>
      </c>
      <c r="G5" s="37" t="n">
        <f aca="false">SUM(C5:F5)</f>
        <v>6043575.55007147</v>
      </c>
    </row>
    <row r="6" customFormat="false" ht="15" hidden="false" customHeight="true" outlineLevel="0" collapsed="false">
      <c r="B6" s="13" t="s">
        <v>474</v>
      </c>
      <c r="C6" s="37" t="n">
        <f aca="false">SUMPRODUCT((CH_MixTier="LIHTC")*CH_MixCount*CH_MixPR)*12</f>
        <v>0</v>
      </c>
      <c r="D6" s="37" t="n">
        <f aca="false">SUMPRODUCT((NZ_MixTier="LIHTC")*NZ_MixCount*NZ_MixPR)*12</f>
        <v>0</v>
      </c>
      <c r="E6" s="37" t="n">
        <f aca="false">SUMPRODUCT((LOM_MixTier="LIHTC")*LOM_MixCount*LOM_MixPR)*12</f>
        <v>0</v>
      </c>
      <c r="F6" s="37" t="n">
        <f aca="false">SUMPRODUCT((SA_MixTier="LIHTC")*SA_MixCount*SA_MixPR)*12</f>
        <v>707913.888</v>
      </c>
      <c r="G6" s="37" t="n">
        <f aca="false">SUM(C6:F6)</f>
        <v>707913.888</v>
      </c>
    </row>
    <row r="7" customFormat="false" ht="15" hidden="false" customHeight="true" outlineLevel="0" collapsed="false">
      <c r="B7" s="13" t="s">
        <v>475</v>
      </c>
      <c r="C7" s="37" t="n">
        <f aca="false">SUMPRODUCT((CH_MixTier="MKT")*CH_MixCount*CH_MixPR)*12</f>
        <v>0</v>
      </c>
      <c r="D7" s="37" t="n">
        <f aca="false">SUMPRODUCT((NZ_MixTier="MKT")*NZ_MixCount*NZ_MixPR)*12</f>
        <v>0</v>
      </c>
      <c r="E7" s="37" t="n">
        <f aca="false">SUMPRODUCT((LOM_MixTier="MKT")*LOM_MixCount*LOM_MixPR)*12</f>
        <v>0</v>
      </c>
      <c r="F7" s="37" t="n">
        <f aca="false">SUMPRODUCT((SA_MixTier="MKT")*SA_MixCount*SA_MixPR)*12</f>
        <v>17740.8</v>
      </c>
      <c r="G7" s="37" t="n">
        <f aca="false">SUM(C7:F7)</f>
        <v>17740.8</v>
      </c>
    </row>
    <row r="8" customFormat="false" ht="15" hidden="false" customHeight="true" outlineLevel="0" collapsed="false">
      <c r="B8" s="19" t="s">
        <v>476</v>
      </c>
      <c r="C8" s="21" t="n">
        <f aca="false">SUM(C5:C7)</f>
        <v>1166597.52</v>
      </c>
      <c r="D8" s="21" t="n">
        <f aca="false">SUM(D5:D7)</f>
        <v>1427889.73236834</v>
      </c>
      <c r="E8" s="21" t="n">
        <f aca="false">SUM(E5:E7)</f>
        <v>1791762.29770313</v>
      </c>
      <c r="F8" s="21" t="n">
        <f aca="false">SUM(F5:F7)</f>
        <v>2382980.688</v>
      </c>
      <c r="G8" s="21" t="n">
        <f aca="false">SUM(C8:F8)</f>
        <v>6769230.23807147</v>
      </c>
    </row>
    <row r="9" customFormat="false" ht="15" hidden="false" customHeight="true" outlineLevel="0" collapsed="false">
      <c r="B9" s="13" t="s">
        <v>477</v>
      </c>
      <c r="C9" s="61" t="n">
        <v>13095</v>
      </c>
      <c r="D9" s="61" t="n">
        <v>14577</v>
      </c>
      <c r="E9" s="61" t="n">
        <v>12732</v>
      </c>
      <c r="F9" s="61" t="n">
        <v>34962</v>
      </c>
      <c r="G9" s="37" t="n">
        <f aca="false">SUM(C9:F9)</f>
        <v>75366</v>
      </c>
    </row>
    <row r="11" customFormat="false" ht="15" hidden="false" customHeight="true" outlineLevel="0" collapsed="false">
      <c r="B11" s="13" t="s">
        <v>478</v>
      </c>
      <c r="C11" s="59" t="n">
        <v>0.0357</v>
      </c>
      <c r="D11" s="59" t="n">
        <v>0.02</v>
      </c>
      <c r="E11" s="59" t="n">
        <v>0.0756</v>
      </c>
      <c r="F11" s="59" t="n">
        <v>0.0931</v>
      </c>
    </row>
    <row r="12" customFormat="false" ht="15" hidden="false" customHeight="true" outlineLevel="0" collapsed="false">
      <c r="B12" s="13" t="s">
        <v>479</v>
      </c>
      <c r="C12" s="62" t="s">
        <v>376</v>
      </c>
      <c r="D12" s="62" t="s">
        <v>376</v>
      </c>
      <c r="E12" s="62" t="s">
        <v>376</v>
      </c>
      <c r="F12" s="59" t="n">
        <v>0.0931</v>
      </c>
    </row>
    <row r="13" customFormat="false" ht="15" hidden="false" customHeight="true" outlineLevel="0" collapsed="false">
      <c r="B13" s="13" t="s">
        <v>480</v>
      </c>
      <c r="C13" s="37" t="n">
        <f aca="false">-(C5*C11+0)</f>
        <v>-41647.531464</v>
      </c>
      <c r="D13" s="37" t="n">
        <f aca="false">-(D5*D11+0)</f>
        <v>-28557.7946473669</v>
      </c>
      <c r="E13" s="37" t="n">
        <f aca="false">-(E5*E11+0)</f>
        <v>-135457.229706356</v>
      </c>
      <c r="F13" s="37" t="n">
        <f aca="false">-(F5*F11+(F6+F7)*F12)</f>
        <v>-221855.5020528</v>
      </c>
      <c r="G13" s="37" t="n">
        <f aca="false">SUM(C13:F13)</f>
        <v>-427518.057870523</v>
      </c>
    </row>
    <row r="15" customFormat="false" ht="15" hidden="false" customHeight="true" outlineLevel="0" collapsed="false">
      <c r="B15" s="19" t="s">
        <v>481</v>
      </c>
      <c r="C15" s="21" t="n">
        <f aca="false">SUM(C8:C9)+C13</f>
        <v>1138044.988536</v>
      </c>
      <c r="D15" s="21" t="n">
        <f aca="false">SUM(D8:D9)+D13</f>
        <v>1413908.93772098</v>
      </c>
      <c r="E15" s="21" t="n">
        <f aca="false">SUM(E8:E9)+E13</f>
        <v>1669037.06799677</v>
      </c>
      <c r="F15" s="21" t="n">
        <f aca="false">SUM(F8:F9)+F13</f>
        <v>2196087.1859472</v>
      </c>
      <c r="G15" s="21" t="n">
        <f aca="false">SUM(C15:F15)</f>
        <v>6417078.18020095</v>
      </c>
    </row>
    <row r="17" customFormat="false" ht="15" hidden="false" customHeight="true" outlineLevel="0" collapsed="false">
      <c r="B17" s="63" t="s">
        <v>482</v>
      </c>
    </row>
    <row r="18" customFormat="false" ht="15" hidden="false" customHeight="true" outlineLevel="0" collapsed="false">
      <c r="B18" s="13" t="s">
        <v>483</v>
      </c>
      <c r="C18" s="37" t="n">
        <f aca="false">MgmtFeePct*C15</f>
        <v>45521.79954144</v>
      </c>
      <c r="D18" s="37" t="n">
        <f aca="false">MgmtFeePct*D15</f>
        <v>56556.3575088391</v>
      </c>
      <c r="E18" s="37" t="n">
        <f aca="false">MgmtFeePct*E15</f>
        <v>66761.4827198708</v>
      </c>
      <c r="F18" s="37" t="n">
        <f aca="false">MgmtFeePct*F15</f>
        <v>87843.487437888</v>
      </c>
      <c r="G18" s="37" t="n">
        <f aca="false">SUM(C18:F18)</f>
        <v>256683.127208038</v>
      </c>
    </row>
    <row r="19" customFormat="false" ht="15" hidden="false" customHeight="true" outlineLevel="0" collapsed="false">
      <c r="B19" s="13" t="s">
        <v>484</v>
      </c>
      <c r="C19" s="37" t="n">
        <f aca="false">(CH_OpexAdmin-CH_MgmtFeeCell)*(1+ExpGrowth)^CH_InflYears</f>
        <v>163492.1163</v>
      </c>
      <c r="D19" s="37" t="n">
        <f aca="false">(NZ_OpexAdmin-NZ_MgmtFeeCell)*(1+ExpGrowth)^NZ_InflYears</f>
        <v>184096.088598</v>
      </c>
      <c r="E19" s="37" t="n">
        <f aca="false">(LOM_OpexAdmin-LOM_MgmtFeeCell)*(1+ExpGrowth)^LOM_InflYears</f>
        <v>175065.79267</v>
      </c>
      <c r="F19" s="37" t="n">
        <f aca="false">(SA_OpexAdmin-SA_MgmtFeeCell)*(1+ExpGrowth)^SA_InflYears</f>
        <v>247995</v>
      </c>
      <c r="G19" s="37" t="n">
        <f aca="false">SUM(C19:F19)</f>
        <v>770648.997568</v>
      </c>
    </row>
    <row r="20" customFormat="false" ht="15" hidden="false" customHeight="true" outlineLevel="0" collapsed="false">
      <c r="B20" s="13" t="s">
        <v>224</v>
      </c>
      <c r="C20" s="37" t="n">
        <f aca="false">CH_OpexUtil*(1+ExpGrowth)^CH_InflYears</f>
        <v>137600.8518</v>
      </c>
      <c r="D20" s="37" t="n">
        <f aca="false">NZ_OpexUtil*(1+ExpGrowth)^NZ_InflYears</f>
        <v>72790.916378</v>
      </c>
      <c r="E20" s="37" t="n">
        <f aca="false">LOM_OpexUtil*(1+ExpGrowth)^LOM_InflYears</f>
        <v>134399.957365</v>
      </c>
      <c r="F20" s="37" t="n">
        <f aca="false">SA_OpexUtil*(1+ExpGrowth)^SA_InflYears</f>
        <v>346747</v>
      </c>
      <c r="G20" s="37" t="n">
        <f aca="false">SUM(C20:F20)</f>
        <v>691538.725543</v>
      </c>
    </row>
    <row r="21" customFormat="false" ht="15" hidden="false" customHeight="true" outlineLevel="0" collapsed="false">
      <c r="B21" s="13" t="s">
        <v>485</v>
      </c>
      <c r="C21" s="37" t="n">
        <f aca="false">CH_OpexOM*(1+ExpGrowth)^CH_InflYears</f>
        <v>349669.4573</v>
      </c>
      <c r="D21" s="37" t="n">
        <f aca="false">NZ_OpexOM*(1+ExpGrowth)^NZ_InflYears</f>
        <v>400028.778341</v>
      </c>
      <c r="E21" s="37" t="n">
        <f aca="false">LOM_OpexOM*(1+ExpGrowth)^LOM_InflYears</f>
        <v>409497.257796</v>
      </c>
      <c r="F21" s="37" t="n">
        <f aca="false">SA_OpexOM*(1+ExpGrowth)^SA_InflYears</f>
        <v>415840</v>
      </c>
      <c r="G21" s="37" t="n">
        <f aca="false">SUM(C21:F21)</f>
        <v>1575035.493437</v>
      </c>
    </row>
    <row r="22" customFormat="false" ht="15" hidden="false" customHeight="true" outlineLevel="0" collapsed="false">
      <c r="B22" s="13" t="s">
        <v>486</v>
      </c>
      <c r="C22" s="37" t="n">
        <f aca="false">(CH_OpexTI-CH_InsExp)*(1+ExpGrowth)^CH_InflYears</f>
        <v>74675.6901</v>
      </c>
      <c r="D22" s="37" t="n">
        <f aca="false">(NZ_OpexTI-NZ_InsExp)*(1+ExpGrowth)^NZ_InflYears</f>
        <v>84935.484256</v>
      </c>
      <c r="E22" s="37" t="n">
        <f aca="false">(LOM_OpexTI-LOM_InsExp)*(1+ExpGrowth)^LOM_InflYears</f>
        <v>64905.798346</v>
      </c>
      <c r="F22" s="37" t="n">
        <f aca="false">(SA_OpexTI-SA_InsExp)*(1+ExpGrowth)^SA_InflYears</f>
        <v>100168</v>
      </c>
      <c r="G22" s="37" t="n">
        <f aca="false">SUM(C22:F22)</f>
        <v>324684.972702</v>
      </c>
    </row>
    <row r="23" customFormat="false" ht="15" hidden="false" customHeight="true" outlineLevel="0" collapsed="false">
      <c r="B23" s="13" t="s">
        <v>487</v>
      </c>
      <c r="C23" s="37" t="n">
        <f aca="false">CH_InsExp*(1+InsGrowth)^CH_InflYears</f>
        <v>98737.4736</v>
      </c>
      <c r="D23" s="37" t="n">
        <f aca="false">NZ_InsExp*(1+InsGrowth)^NZ_InflYears</f>
        <v>105204.825312</v>
      </c>
      <c r="E23" s="37" t="n">
        <f aca="false">LOM_InsExp*(1+InsGrowth)^LOM_InflYears</f>
        <v>205310.911128</v>
      </c>
      <c r="F23" s="37" t="n">
        <f aca="false">SA_InsExp*(1+InsGrowth)^SA_InflYears</f>
        <v>272022</v>
      </c>
      <c r="G23" s="37" t="n">
        <f aca="false">SUM(C23:F23)</f>
        <v>681275.21004</v>
      </c>
    </row>
    <row r="24" customFormat="false" ht="15" hidden="false" customHeight="true" outlineLevel="0" collapsed="false">
      <c r="B24" s="19" t="s">
        <v>488</v>
      </c>
      <c r="C24" s="21" t="n">
        <f aca="false">SUM(C18:C23)</f>
        <v>869697.38864144</v>
      </c>
      <c r="D24" s="21" t="n">
        <f aca="false">SUM(D18:D23)</f>
        <v>903612.450393839</v>
      </c>
      <c r="E24" s="21" t="n">
        <f aca="false">SUM(E18:E23)</f>
        <v>1055941.20002487</v>
      </c>
      <c r="F24" s="21" t="n">
        <f aca="false">SUM(F18:F23)</f>
        <v>1470615.48743789</v>
      </c>
      <c r="G24" s="21" t="n">
        <f aca="false">SUM(C24:F24)</f>
        <v>4299866.52649804</v>
      </c>
    </row>
    <row r="26" customFormat="false" ht="15" hidden="false" customHeight="true" outlineLevel="0" collapsed="false">
      <c r="B26" s="19" t="s">
        <v>489</v>
      </c>
      <c r="C26" s="21" t="n">
        <f aca="false">C15-C24</f>
        <v>268347.59989456</v>
      </c>
      <c r="D26" s="21" t="n">
        <f aca="false">D15-D24</f>
        <v>510296.487327138</v>
      </c>
      <c r="E26" s="21" t="n">
        <f aca="false">E15-E24</f>
        <v>613095.867971898</v>
      </c>
      <c r="F26" s="21" t="n">
        <f aca="false">F15-F24</f>
        <v>725471.698509312</v>
      </c>
      <c r="G26" s="21" t="n">
        <f aca="false">SUM(C26:F26)</f>
        <v>2117211.65370291</v>
      </c>
    </row>
    <row r="28" customFormat="false" ht="15" hidden="false" customHeight="true" outlineLevel="0" collapsed="false">
      <c r="B28" s="13" t="s">
        <v>490</v>
      </c>
      <c r="C28" s="37" t="n">
        <f aca="false">CH_Reserves*(1+ExpGrowth)^CH_InflYears</f>
        <v>31190.46</v>
      </c>
      <c r="D28" s="37" t="n">
        <f aca="false">NZ_Reserves*(1+ExpGrowth)^NZ_InflYears</f>
        <v>38245.445</v>
      </c>
      <c r="E28" s="37" t="n">
        <f aca="false">LOM_Reserves*(1+ExpGrowth)^LOM_InflYears</f>
        <v>45512.07955</v>
      </c>
      <c r="F28" s="37" t="n">
        <f aca="false">SA_Reserves*(1+ExpGrowth)^SA_InflYears</f>
        <v>71400</v>
      </c>
      <c r="G28" s="37" t="n">
        <f aca="false">SUM(C28:F28)</f>
        <v>186347.98455</v>
      </c>
    </row>
    <row r="29" customFormat="false" ht="15" hidden="false" customHeight="true" outlineLevel="0" collapsed="false">
      <c r="B29" s="19" t="s">
        <v>491</v>
      </c>
      <c r="C29" s="21" t="n">
        <f aca="false">C26-C28</f>
        <v>237157.13989456</v>
      </c>
      <c r="D29" s="21" t="n">
        <f aca="false">D26-D28</f>
        <v>472051.042327138</v>
      </c>
      <c r="E29" s="21" t="n">
        <f aca="false">E26-E28</f>
        <v>567583.788421898</v>
      </c>
      <c r="F29" s="21" t="n">
        <f aca="false">F26-F28</f>
        <v>654071.698509312</v>
      </c>
      <c r="G29" s="21" t="n">
        <f aca="false">SUM(C29:F29)</f>
        <v>1930863.66915291</v>
      </c>
    </row>
    <row r="31" customFormat="false" ht="15" hidden="false" customHeight="true" outlineLevel="0" collapsed="false">
      <c r="B31" s="63" t="s">
        <v>492</v>
      </c>
    </row>
    <row r="32" customFormat="false" ht="15" hidden="false" customHeight="true" outlineLevel="0" collapsed="false">
      <c r="B32" s="13" t="s">
        <v>493</v>
      </c>
      <c r="C32" s="64" t="n">
        <f aca="false">C24/C15</f>
        <v>0.764202994962645</v>
      </c>
      <c r="D32" s="64" t="n">
        <f aca="false">D24/D15</f>
        <v>0.639088152204721</v>
      </c>
      <c r="E32" s="64" t="n">
        <f aca="false">E24/E15</f>
        <v>0.632664918156818</v>
      </c>
      <c r="F32" s="64" t="n">
        <f aca="false">F24/F15</f>
        <v>0.669652597059161</v>
      </c>
    </row>
    <row r="33" customFormat="false" ht="15" hidden="false" customHeight="true" outlineLevel="0" collapsed="false">
      <c r="B33" s="13" t="s">
        <v>494</v>
      </c>
      <c r="C33" s="64" t="n">
        <f aca="false">C26/C15</f>
        <v>0.235797005037355</v>
      </c>
      <c r="D33" s="64" t="n">
        <f aca="false">D26/D15</f>
        <v>0.360911847795279</v>
      </c>
      <c r="E33" s="64" t="n">
        <f aca="false">E26/E15</f>
        <v>0.367335081843182</v>
      </c>
      <c r="F33" s="64" t="n">
        <f aca="false">F26/F15</f>
        <v>0.330347402940839</v>
      </c>
    </row>
    <row r="34" customFormat="false" ht="15" hidden="false" customHeight="true" outlineLevel="0" collapsed="false">
      <c r="B34" s="13" t="s">
        <v>495</v>
      </c>
      <c r="C34" s="65" t="n">
        <f aca="false">C24/CH_Units</f>
        <v>10353.5403409695</v>
      </c>
      <c r="D34" s="65" t="n">
        <f aca="false">D24/NZ_Units</f>
        <v>9036.12450393839</v>
      </c>
      <c r="E34" s="65" t="n">
        <f aca="false">E24/LOM_Units</f>
        <v>8873.45546239387</v>
      </c>
      <c r="F34" s="65" t="n">
        <f aca="false">F24/SA_Units</f>
        <v>7208.89944822494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2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.43"/>
    <col collapsed="false" customWidth="true" hidden="false" outlineLevel="0" max="2" min="2" style="1" width="34"/>
    <col collapsed="false" customWidth="true" hidden="false" outlineLevel="0" max="6" min="3" style="1" width="13"/>
    <col collapsed="false" customWidth="true" hidden="false" outlineLevel="0" max="7" min="7" style="1" width="10"/>
    <col collapsed="false" customWidth="true" hidden="false" outlineLevel="0" max="8" min="8" style="1" width="2"/>
  </cols>
  <sheetData>
    <row r="1" customFormat="false" ht="17.25" hidden="false" customHeight="true" outlineLevel="0" collapsed="false">
      <c r="A1" s="11" t="s">
        <v>496</v>
      </c>
    </row>
    <row r="2" customFormat="false" ht="15" hidden="false" customHeight="true" outlineLevel="0" collapsed="false">
      <c r="B2" s="36" t="s">
        <v>497</v>
      </c>
    </row>
    <row r="4" customFormat="false" ht="15" hidden="false" customHeight="true" outlineLevel="0" collapsed="false">
      <c r="B4" s="3" t="s">
        <v>498</v>
      </c>
      <c r="C4" s="3" t="s">
        <v>151</v>
      </c>
      <c r="D4" s="3" t="s">
        <v>152</v>
      </c>
      <c r="E4" s="3" t="s">
        <v>499</v>
      </c>
      <c r="F4" s="3" t="s">
        <v>500</v>
      </c>
      <c r="G4" s="3" t="s">
        <v>501</v>
      </c>
    </row>
    <row r="5" customFormat="false" ht="15" hidden="false" customHeight="true" outlineLevel="0" collapsed="false">
      <c r="B5" s="63" t="s">
        <v>502</v>
      </c>
    </row>
    <row r="6" customFormat="false" ht="15" hidden="false" customHeight="true" outlineLevel="0" collapsed="false">
      <c r="B6" s="13" t="s">
        <v>503</v>
      </c>
      <c r="C6" s="37" t="n">
        <v>175</v>
      </c>
      <c r="D6" s="37" t="n">
        <v>0</v>
      </c>
      <c r="E6" s="37" t="n">
        <v>865.5</v>
      </c>
      <c r="F6" s="61" t="n">
        <v>866</v>
      </c>
      <c r="G6" s="65" t="n">
        <f aca="false">F6/CH_Units</f>
        <v>10.3095238095238</v>
      </c>
    </row>
    <row r="7" customFormat="false" ht="15" hidden="false" customHeight="true" outlineLevel="0" collapsed="false">
      <c r="B7" s="13" t="s">
        <v>504</v>
      </c>
      <c r="C7" s="37" t="n">
        <v>0</v>
      </c>
      <c r="D7" s="37" t="n">
        <v>6226</v>
      </c>
      <c r="E7" s="37" t="n">
        <v>1500</v>
      </c>
      <c r="F7" s="61" t="n">
        <v>1500</v>
      </c>
      <c r="G7" s="65" t="n">
        <f aca="false">F7/CH_Units</f>
        <v>17.8571428571429</v>
      </c>
    </row>
    <row r="8" customFormat="false" ht="15" hidden="false" customHeight="true" outlineLevel="0" collapsed="false">
      <c r="B8" s="13" t="s">
        <v>505</v>
      </c>
      <c r="C8" s="37" t="n">
        <v>97415</v>
      </c>
      <c r="D8" s="37" t="n">
        <v>97491</v>
      </c>
      <c r="E8" s="37" t="n">
        <v>22963.2</v>
      </c>
      <c r="F8" s="61" t="n">
        <v>22963</v>
      </c>
      <c r="G8" s="65" t="n">
        <f aca="false">F8/CH_Units</f>
        <v>273.369047619048</v>
      </c>
    </row>
    <row r="9" customFormat="false" ht="15" hidden="false" customHeight="true" outlineLevel="0" collapsed="false">
      <c r="B9" s="13" t="s">
        <v>506</v>
      </c>
      <c r="C9" s="37" t="n">
        <v>22147</v>
      </c>
      <c r="D9" s="37" t="n">
        <v>19547</v>
      </c>
      <c r="E9" s="37" t="n">
        <v>19547</v>
      </c>
      <c r="F9" s="61" t="n">
        <v>19547</v>
      </c>
      <c r="G9" s="65" t="n">
        <f aca="false">F9/CH_Units</f>
        <v>232.702380952381</v>
      </c>
    </row>
    <row r="10" customFormat="false" ht="15" hidden="false" customHeight="true" outlineLevel="0" collapsed="false">
      <c r="B10" s="13" t="s">
        <v>483</v>
      </c>
      <c r="C10" s="37" t="n">
        <v>36538</v>
      </c>
      <c r="D10" s="37" t="n">
        <v>35892</v>
      </c>
      <c r="E10" s="37" t="n">
        <v>40082.712</v>
      </c>
      <c r="F10" s="66" t="n">
        <f aca="false">'Rev+Expenses'!C18</f>
        <v>45521.79954144</v>
      </c>
      <c r="G10" s="65" t="n">
        <f aca="false">F10/CH_Units</f>
        <v>541.926185017143</v>
      </c>
    </row>
    <row r="11" customFormat="false" ht="15" hidden="false" customHeight="true" outlineLevel="0" collapsed="false">
      <c r="B11" s="13" t="s">
        <v>507</v>
      </c>
      <c r="C11" s="37" t="n">
        <v>0</v>
      </c>
      <c r="D11" s="37" t="n">
        <v>0</v>
      </c>
      <c r="E11" s="37" t="n">
        <v>60500</v>
      </c>
      <c r="F11" s="61" t="n">
        <v>60500</v>
      </c>
      <c r="G11" s="65" t="n">
        <f aca="false">F11/CH_Units</f>
        <v>720.238095238095</v>
      </c>
    </row>
    <row r="12" customFormat="false" ht="15" hidden="false" customHeight="true" outlineLevel="0" collapsed="false">
      <c r="B12" s="13" t="s">
        <v>508</v>
      </c>
      <c r="C12" s="37" t="n">
        <v>6288</v>
      </c>
      <c r="D12" s="37" t="n">
        <v>9368</v>
      </c>
      <c r="E12" s="37" t="n">
        <v>5000</v>
      </c>
      <c r="F12" s="61" t="n">
        <v>5000</v>
      </c>
      <c r="G12" s="65" t="n">
        <f aca="false">F12/CH_Units</f>
        <v>59.5238095238095</v>
      </c>
    </row>
    <row r="13" customFormat="false" ht="15" hidden="false" customHeight="true" outlineLevel="0" collapsed="false">
      <c r="B13" s="13" t="s">
        <v>509</v>
      </c>
      <c r="C13" s="37" t="n">
        <v>9900</v>
      </c>
      <c r="D13" s="37" t="n">
        <v>10188</v>
      </c>
      <c r="E13" s="37" t="n">
        <v>7500</v>
      </c>
      <c r="F13" s="61" t="n">
        <v>7500</v>
      </c>
      <c r="G13" s="65" t="n">
        <f aca="false">F13/CH_Units</f>
        <v>89.2857142857143</v>
      </c>
    </row>
    <row r="14" customFormat="false" ht="15" hidden="false" customHeight="true" outlineLevel="0" collapsed="false">
      <c r="B14" s="13" t="s">
        <v>510</v>
      </c>
      <c r="C14" s="37" t="n">
        <v>32446</v>
      </c>
      <c r="D14" s="37" t="n">
        <v>33552</v>
      </c>
      <c r="E14" s="37" t="n">
        <v>31230.72</v>
      </c>
      <c r="F14" s="61" t="n">
        <v>31231</v>
      </c>
      <c r="G14" s="65" t="n">
        <f aca="false">F14/CH_Units</f>
        <v>371.797619047619</v>
      </c>
    </row>
    <row r="15" customFormat="false" ht="15" hidden="false" customHeight="true" outlineLevel="0" collapsed="false">
      <c r="B15" s="13" t="s">
        <v>511</v>
      </c>
      <c r="C15" s="37" t="n">
        <v>27494</v>
      </c>
      <c r="D15" s="37" t="n">
        <v>9031</v>
      </c>
      <c r="E15" s="37" t="n">
        <v>5000</v>
      </c>
      <c r="F15" s="61" t="n">
        <v>5000</v>
      </c>
      <c r="G15" s="65" t="n">
        <f aca="false">F15/CH_Units</f>
        <v>59.5238095238095</v>
      </c>
    </row>
    <row r="16" customFormat="false" ht="15" hidden="false" customHeight="true" outlineLevel="0" collapsed="false">
      <c r="B16" s="19" t="s">
        <v>512</v>
      </c>
      <c r="C16" s="38" t="n">
        <f aca="false">SUM(C6:C15)</f>
        <v>232403</v>
      </c>
      <c r="D16" s="38" t="n">
        <f aca="false">SUM(D6:D15)</f>
        <v>221295</v>
      </c>
      <c r="E16" s="38" t="n">
        <f aca="false">SUM(E6:E15)</f>
        <v>194189.132</v>
      </c>
      <c r="F16" s="38" t="n">
        <f aca="false">SUM(F6:F15)</f>
        <v>199628.79954144</v>
      </c>
      <c r="G16" s="65" t="n">
        <f aca="false">F16/CH_Units</f>
        <v>2376.53332787429</v>
      </c>
    </row>
    <row r="17" customFormat="false" ht="15" hidden="false" customHeight="true" outlineLevel="0" collapsed="false">
      <c r="B17" s="63" t="s">
        <v>513</v>
      </c>
    </row>
    <row r="18" customFormat="false" ht="15" hidden="false" customHeight="true" outlineLevel="0" collapsed="false">
      <c r="B18" s="13" t="s">
        <v>514</v>
      </c>
      <c r="C18" s="37" t="n">
        <v>19230</v>
      </c>
      <c r="D18" s="37" t="n">
        <v>20100</v>
      </c>
      <c r="E18" s="37" t="n">
        <v>20100</v>
      </c>
      <c r="F18" s="61" t="n">
        <v>20100</v>
      </c>
      <c r="G18" s="65" t="n">
        <f aca="false">F18/CH_Units</f>
        <v>239.285714285714</v>
      </c>
    </row>
    <row r="19" customFormat="false" ht="15" hidden="false" customHeight="true" outlineLevel="0" collapsed="false">
      <c r="B19" s="13" t="s">
        <v>515</v>
      </c>
      <c r="C19" s="37" t="n">
        <v>0</v>
      </c>
      <c r="D19" s="37" t="n">
        <v>0</v>
      </c>
      <c r="E19" s="37" t="n">
        <v>0</v>
      </c>
      <c r="F19" s="61" t="n">
        <v>0</v>
      </c>
      <c r="G19" s="65" t="n">
        <f aca="false">F19/CH_Units</f>
        <v>0</v>
      </c>
    </row>
    <row r="20" customFormat="false" ht="15" hidden="false" customHeight="true" outlineLevel="0" collapsed="false">
      <c r="B20" s="13" t="s">
        <v>516</v>
      </c>
      <c r="C20" s="37" t="n">
        <v>100722</v>
      </c>
      <c r="D20" s="37" t="n">
        <v>109602</v>
      </c>
      <c r="E20" s="37" t="n">
        <v>109602</v>
      </c>
      <c r="F20" s="61" t="n">
        <v>109602</v>
      </c>
      <c r="G20" s="65" t="n">
        <f aca="false">F20/CH_Units</f>
        <v>1304.78571428571</v>
      </c>
    </row>
    <row r="21" customFormat="false" ht="15" hidden="false" customHeight="true" outlineLevel="0" collapsed="false">
      <c r="B21" s="13" t="s">
        <v>517</v>
      </c>
      <c r="C21" s="37" t="n">
        <v>0</v>
      </c>
      <c r="D21" s="37" t="n">
        <v>0</v>
      </c>
      <c r="E21" s="37" t="n">
        <v>0</v>
      </c>
      <c r="F21" s="61" t="n">
        <v>0</v>
      </c>
      <c r="G21" s="65" t="n">
        <f aca="false">F21/CH_Units</f>
        <v>0</v>
      </c>
    </row>
    <row r="22" customFormat="false" ht="15" hidden="false" customHeight="true" outlineLevel="0" collapsed="false">
      <c r="B22" s="19" t="s">
        <v>518</v>
      </c>
      <c r="C22" s="38" t="n">
        <f aca="false">SUM(C18:C21)</f>
        <v>119952</v>
      </c>
      <c r="D22" s="38" t="n">
        <f aca="false">SUM(D18:D21)</f>
        <v>129702</v>
      </c>
      <c r="E22" s="38" t="n">
        <f aca="false">SUM(E18:E21)</f>
        <v>129702</v>
      </c>
      <c r="F22" s="38" t="n">
        <f aca="false">SUM(F18:F21)</f>
        <v>129702</v>
      </c>
      <c r="G22" s="65" t="n">
        <f aca="false">F22/CH_Units</f>
        <v>1544.07142857143</v>
      </c>
    </row>
    <row r="23" customFormat="false" ht="15" hidden="false" customHeight="true" outlineLevel="0" collapsed="false">
      <c r="B23" s="63" t="s">
        <v>519</v>
      </c>
    </row>
    <row r="24" customFormat="false" ht="15" hidden="false" customHeight="true" outlineLevel="0" collapsed="false">
      <c r="B24" s="13" t="s">
        <v>520</v>
      </c>
      <c r="C24" s="37" t="n">
        <v>139997</v>
      </c>
      <c r="D24" s="37" t="n">
        <v>102132</v>
      </c>
      <c r="E24" s="37" t="n">
        <v>96636.8</v>
      </c>
      <c r="F24" s="61" t="n">
        <v>96637</v>
      </c>
      <c r="G24" s="65" t="n">
        <f aca="false">F24/CH_Units</f>
        <v>1150.44047619048</v>
      </c>
    </row>
    <row r="25" customFormat="false" ht="15" hidden="false" customHeight="true" outlineLevel="0" collapsed="false">
      <c r="B25" s="13" t="s">
        <v>521</v>
      </c>
      <c r="C25" s="37" t="n">
        <v>79805</v>
      </c>
      <c r="D25" s="37" t="n">
        <v>49224</v>
      </c>
      <c r="E25" s="37" t="n">
        <v>42000</v>
      </c>
      <c r="F25" s="61" t="n">
        <v>42000</v>
      </c>
      <c r="G25" s="65" t="n">
        <f aca="false">F25/CH_Units</f>
        <v>500</v>
      </c>
    </row>
    <row r="26" customFormat="false" ht="15" hidden="false" customHeight="true" outlineLevel="0" collapsed="false">
      <c r="B26" s="13" t="s">
        <v>522</v>
      </c>
      <c r="C26" s="37" t="n">
        <v>176549</v>
      </c>
      <c r="D26" s="37" t="n">
        <v>116549</v>
      </c>
      <c r="E26" s="37" t="n">
        <v>42000</v>
      </c>
      <c r="F26" s="61" t="n">
        <v>42000</v>
      </c>
      <c r="G26" s="65" t="n">
        <f aca="false">F26/CH_Units</f>
        <v>500</v>
      </c>
    </row>
    <row r="27" customFormat="false" ht="15" hidden="false" customHeight="true" outlineLevel="0" collapsed="false">
      <c r="B27" s="13" t="s">
        <v>523</v>
      </c>
      <c r="C27" s="37" t="n">
        <v>28949</v>
      </c>
      <c r="D27" s="37" t="n">
        <v>21372</v>
      </c>
      <c r="E27" s="37" t="n">
        <v>21372</v>
      </c>
      <c r="F27" s="61" t="n">
        <v>21372</v>
      </c>
      <c r="G27" s="65" t="n">
        <f aca="false">F27/CH_Units</f>
        <v>254.428571428571</v>
      </c>
    </row>
    <row r="28" customFormat="false" ht="15" hidden="false" customHeight="true" outlineLevel="0" collapsed="false">
      <c r="B28" s="13" t="s">
        <v>524</v>
      </c>
      <c r="C28" s="37" t="n">
        <v>111722</v>
      </c>
      <c r="D28" s="37" t="n">
        <v>120088</v>
      </c>
      <c r="E28" s="37" t="n">
        <v>120088</v>
      </c>
      <c r="F28" s="61" t="n">
        <v>120088</v>
      </c>
      <c r="G28" s="65" t="n">
        <f aca="false">F28/CH_Units</f>
        <v>1429.61904761905</v>
      </c>
    </row>
    <row r="29" customFormat="false" ht="15" hidden="false" customHeight="true" outlineLevel="0" collapsed="false">
      <c r="B29" s="13" t="s">
        <v>525</v>
      </c>
      <c r="C29" s="37" t="n">
        <v>1825</v>
      </c>
      <c r="D29" s="37" t="n">
        <v>18851</v>
      </c>
      <c r="E29" s="37" t="n">
        <v>7500</v>
      </c>
      <c r="F29" s="61" t="n">
        <v>7500</v>
      </c>
      <c r="G29" s="65" t="n">
        <f aca="false">F29/CH_Units</f>
        <v>89.2857142857143</v>
      </c>
    </row>
    <row r="30" customFormat="false" ht="15" hidden="false" customHeight="true" outlineLevel="0" collapsed="false">
      <c r="B30" s="13" t="s">
        <v>526</v>
      </c>
      <c r="C30" s="37" t="n">
        <v>0</v>
      </c>
      <c r="D30" s="37" t="n">
        <v>330</v>
      </c>
      <c r="E30" s="37" t="n">
        <v>0</v>
      </c>
      <c r="F30" s="61" t="n">
        <v>0</v>
      </c>
      <c r="G30" s="65" t="n">
        <f aca="false">F30/CH_Units</f>
        <v>0</v>
      </c>
    </row>
    <row r="31" customFormat="false" ht="15" hidden="false" customHeight="true" outlineLevel="0" collapsed="false">
      <c r="B31" s="19" t="s">
        <v>527</v>
      </c>
      <c r="C31" s="38" t="n">
        <f aca="false">SUM(C24:C30)</f>
        <v>538847</v>
      </c>
      <c r="D31" s="38" t="n">
        <f aca="false">SUM(D24:D30)</f>
        <v>428546</v>
      </c>
      <c r="E31" s="38" t="n">
        <f aca="false">SUM(E24:E30)</f>
        <v>329596.8</v>
      </c>
      <c r="F31" s="38" t="n">
        <f aca="false">SUM(F24:F30)</f>
        <v>329597</v>
      </c>
      <c r="G31" s="65" t="n">
        <f aca="false">F31/CH_Units</f>
        <v>3923.77380952381</v>
      </c>
    </row>
    <row r="32" customFormat="false" ht="15" hidden="false" customHeight="true" outlineLevel="0" collapsed="false">
      <c r="B32" s="63" t="s">
        <v>528</v>
      </c>
    </row>
    <row r="33" customFormat="false" ht="15" hidden="false" customHeight="true" outlineLevel="0" collapsed="false">
      <c r="B33" s="13" t="s">
        <v>529</v>
      </c>
      <c r="C33" s="37" t="n">
        <v>33198</v>
      </c>
      <c r="D33" s="37" t="n">
        <v>30384</v>
      </c>
      <c r="E33" s="37" t="n">
        <v>33198.37</v>
      </c>
      <c r="F33" s="61" t="n">
        <v>33198</v>
      </c>
      <c r="G33" s="65" t="n">
        <f aca="false">F33/CH_Units</f>
        <v>395.214285714286</v>
      </c>
    </row>
    <row r="34" customFormat="false" ht="15" hidden="false" customHeight="true" outlineLevel="0" collapsed="false">
      <c r="B34" s="13" t="s">
        <v>530</v>
      </c>
      <c r="C34" s="37" t="n">
        <v>18421</v>
      </c>
      <c r="D34" s="37" t="n">
        <v>16333</v>
      </c>
      <c r="E34" s="37" t="n">
        <v>13777.65</v>
      </c>
      <c r="F34" s="61" t="n">
        <v>13778</v>
      </c>
      <c r="G34" s="65" t="n">
        <f aca="false">F34/CH_Units</f>
        <v>164.02380952381</v>
      </c>
    </row>
    <row r="35" customFormat="false" ht="15" hidden="false" customHeight="true" outlineLevel="0" collapsed="false">
      <c r="B35" s="13" t="s">
        <v>487</v>
      </c>
      <c r="C35" s="37" t="n">
        <v>92566</v>
      </c>
      <c r="D35" s="37" t="n">
        <v>87876</v>
      </c>
      <c r="E35" s="37" t="n">
        <v>79504</v>
      </c>
      <c r="F35" s="61" t="n">
        <v>87876</v>
      </c>
      <c r="G35" s="65" t="n">
        <f aca="false">F35/CH_Units</f>
        <v>1046.14285714286</v>
      </c>
    </row>
    <row r="36" customFormat="false" ht="15" hidden="false" customHeight="true" outlineLevel="0" collapsed="false">
      <c r="B36" s="13" t="s">
        <v>531</v>
      </c>
      <c r="C36" s="37" t="n">
        <v>677</v>
      </c>
      <c r="D36" s="37" t="n">
        <v>3368</v>
      </c>
      <c r="E36" s="37" t="n">
        <v>5403</v>
      </c>
      <c r="F36" s="61" t="n">
        <v>5403</v>
      </c>
      <c r="G36" s="65" t="n">
        <f aca="false">F36/CH_Units</f>
        <v>64.3214285714286</v>
      </c>
    </row>
    <row r="37" customFormat="false" ht="15" hidden="false" customHeight="true" outlineLevel="0" collapsed="false">
      <c r="B37" s="13" t="s">
        <v>532</v>
      </c>
      <c r="C37" s="37" t="n">
        <v>13035</v>
      </c>
      <c r="D37" s="37" t="n">
        <v>16160</v>
      </c>
      <c r="E37" s="37" t="n">
        <v>18010</v>
      </c>
      <c r="F37" s="61" t="n">
        <v>18010</v>
      </c>
      <c r="G37" s="65" t="n">
        <f aca="false">F37/CH_Units</f>
        <v>214.404761904762</v>
      </c>
    </row>
    <row r="38" customFormat="false" ht="15" hidden="false" customHeight="true" outlineLevel="0" collapsed="false">
      <c r="B38" s="13" t="s">
        <v>533</v>
      </c>
      <c r="C38" s="37" t="n">
        <v>760</v>
      </c>
      <c r="D38" s="37" t="n">
        <v>0</v>
      </c>
      <c r="E38" s="37" t="n">
        <v>0</v>
      </c>
      <c r="F38" s="61" t="n">
        <v>0</v>
      </c>
      <c r="G38" s="65" t="n">
        <f aca="false">F38/CH_Units</f>
        <v>0</v>
      </c>
    </row>
    <row r="39" customFormat="false" ht="15" hidden="false" customHeight="true" outlineLevel="0" collapsed="false">
      <c r="B39" s="19" t="s">
        <v>534</v>
      </c>
      <c r="C39" s="38" t="n">
        <f aca="false">SUM(C33:C38)</f>
        <v>158657</v>
      </c>
      <c r="D39" s="38" t="n">
        <f aca="false">SUM(D33:D38)</f>
        <v>154121</v>
      </c>
      <c r="E39" s="38" t="n">
        <f aca="false">SUM(E33:E38)</f>
        <v>149893.02</v>
      </c>
      <c r="F39" s="38" t="n">
        <f aca="false">SUM(F33:F38)</f>
        <v>158265</v>
      </c>
      <c r="G39" s="65" t="n">
        <f aca="false">F39/CH_Units</f>
        <v>1884.10714285714</v>
      </c>
    </row>
    <row r="40" customFormat="false" ht="15" hidden="false" customHeight="true" outlineLevel="0" collapsed="false">
      <c r="B40" s="19" t="s">
        <v>535</v>
      </c>
      <c r="C40" s="21" t="n">
        <f aca="false">C16+C22+C31+C39</f>
        <v>1049859</v>
      </c>
      <c r="D40" s="21" t="n">
        <f aca="false">D16+D22+D31+D39</f>
        <v>933664</v>
      </c>
      <c r="E40" s="21" t="n">
        <f aca="false">E16+E22+E31+E39</f>
        <v>803380.952</v>
      </c>
      <c r="F40" s="21" t="n">
        <f aca="false">F16+F22+F31+F39</f>
        <v>817192.79954144</v>
      </c>
      <c r="G40" s="65" t="n">
        <f aca="false">F40/CH_Units</f>
        <v>9728.48570882667</v>
      </c>
    </row>
    <row r="41" customFormat="false" ht="15" hidden="false" customHeight="true" outlineLevel="0" collapsed="false">
      <c r="B41" s="13" t="s">
        <v>490</v>
      </c>
      <c r="C41" s="37" t="n">
        <v>18937</v>
      </c>
      <c r="D41" s="37" t="n">
        <v>18937</v>
      </c>
      <c r="E41" s="37" t="n">
        <v>25200</v>
      </c>
      <c r="F41" s="37" t="n">
        <f aca="false">MAX(ReserveFloorFamily*CH_Units,25200)</f>
        <v>29400</v>
      </c>
      <c r="G41" s="65" t="n">
        <f aca="false">F41/CH_Units</f>
        <v>350</v>
      </c>
    </row>
    <row r="42" customFormat="false" ht="15" hidden="false" customHeight="true" outlineLevel="0" collapsed="false">
      <c r="B42" s="36" t="s">
        <v>536</v>
      </c>
      <c r="C42" s="47" t="str">
        <f aca="false">IF(G40&gt;=OpexMinPU,"PASS","FAIL")</f>
        <v>PASS</v>
      </c>
    </row>
    <row r="44" customFormat="false" ht="15" hidden="false" customHeight="true" outlineLevel="0" collapsed="false">
      <c r="B44" s="3" t="s">
        <v>537</v>
      </c>
      <c r="C44" s="3" t="s">
        <v>151</v>
      </c>
      <c r="D44" s="3" t="s">
        <v>152</v>
      </c>
      <c r="E44" s="3" t="s">
        <v>499</v>
      </c>
      <c r="F44" s="3" t="s">
        <v>500</v>
      </c>
      <c r="G44" s="3" t="s">
        <v>501</v>
      </c>
    </row>
    <row r="45" customFormat="false" ht="15" hidden="false" customHeight="true" outlineLevel="0" collapsed="false">
      <c r="B45" s="63" t="s">
        <v>502</v>
      </c>
    </row>
    <row r="46" customFormat="false" ht="15" hidden="false" customHeight="true" outlineLevel="0" collapsed="false">
      <c r="B46" s="13" t="s">
        <v>503</v>
      </c>
      <c r="C46" s="37" t="n">
        <v>767</v>
      </c>
      <c r="D46" s="37" t="n">
        <v>831</v>
      </c>
      <c r="E46" s="37" t="n">
        <v>831</v>
      </c>
      <c r="F46" s="61" t="n">
        <v>831</v>
      </c>
      <c r="G46" s="65" t="n">
        <f aca="false">F46/NZ_Units</f>
        <v>8.31</v>
      </c>
    </row>
    <row r="47" customFormat="false" ht="15" hidden="false" customHeight="true" outlineLevel="0" collapsed="false">
      <c r="B47" s="13" t="s">
        <v>504</v>
      </c>
      <c r="C47" s="37" t="n">
        <v>0</v>
      </c>
      <c r="D47" s="37" t="n">
        <v>7639</v>
      </c>
      <c r="E47" s="37" t="n">
        <v>1500</v>
      </c>
      <c r="F47" s="61" t="n">
        <v>1500</v>
      </c>
      <c r="G47" s="65" t="n">
        <f aca="false">F47/NZ_Units</f>
        <v>15</v>
      </c>
    </row>
    <row r="48" customFormat="false" ht="15" hidden="false" customHeight="true" outlineLevel="0" collapsed="false">
      <c r="B48" s="13" t="s">
        <v>505</v>
      </c>
      <c r="C48" s="37" t="n">
        <v>110511</v>
      </c>
      <c r="D48" s="37" t="n">
        <v>106484</v>
      </c>
      <c r="E48" s="37" t="n">
        <v>26956.8</v>
      </c>
      <c r="F48" s="61" t="n">
        <v>26957</v>
      </c>
      <c r="G48" s="65" t="n">
        <f aca="false">F48/NZ_Units</f>
        <v>269.57</v>
      </c>
    </row>
    <row r="49" customFormat="false" ht="15" hidden="false" customHeight="true" outlineLevel="0" collapsed="false">
      <c r="B49" s="13" t="s">
        <v>506</v>
      </c>
      <c r="C49" s="37" t="n">
        <v>30878</v>
      </c>
      <c r="D49" s="37" t="n">
        <v>24732</v>
      </c>
      <c r="E49" s="37" t="n">
        <v>24732</v>
      </c>
      <c r="F49" s="61" t="n">
        <v>24732</v>
      </c>
      <c r="G49" s="65" t="n">
        <f aca="false">F49/NZ_Units</f>
        <v>247.32</v>
      </c>
    </row>
    <row r="50" customFormat="false" ht="15" hidden="false" customHeight="true" outlineLevel="0" collapsed="false">
      <c r="B50" s="13" t="s">
        <v>483</v>
      </c>
      <c r="C50" s="37" t="n">
        <v>41719</v>
      </c>
      <c r="D50" s="37" t="n">
        <v>41464</v>
      </c>
      <c r="E50" s="37" t="n">
        <v>47980.347472</v>
      </c>
      <c r="F50" s="66" t="n">
        <f aca="false">'Rev+Expenses'!D18</f>
        <v>56556.3575088391</v>
      </c>
      <c r="G50" s="65" t="n">
        <f aca="false">F50/NZ_Units</f>
        <v>565.563575088391</v>
      </c>
    </row>
    <row r="51" customFormat="false" ht="15" hidden="false" customHeight="true" outlineLevel="0" collapsed="false">
      <c r="B51" s="13" t="s">
        <v>507</v>
      </c>
      <c r="C51" s="37" t="n">
        <v>0</v>
      </c>
      <c r="D51" s="37" t="n">
        <v>0</v>
      </c>
      <c r="E51" s="37" t="n">
        <v>59739.967</v>
      </c>
      <c r="F51" s="61" t="n">
        <v>59740</v>
      </c>
      <c r="G51" s="65" t="n">
        <f aca="false">F51/NZ_Units</f>
        <v>597.4</v>
      </c>
    </row>
    <row r="52" customFormat="false" ht="15" hidden="false" customHeight="true" outlineLevel="0" collapsed="false">
      <c r="B52" s="13" t="s">
        <v>508</v>
      </c>
      <c r="C52" s="37" t="n">
        <v>10402</v>
      </c>
      <c r="D52" s="37" t="n">
        <v>4692</v>
      </c>
      <c r="E52" s="37" t="n">
        <v>4692</v>
      </c>
      <c r="F52" s="61" t="n">
        <v>4692</v>
      </c>
      <c r="G52" s="65" t="n">
        <f aca="false">F52/NZ_Units</f>
        <v>46.92</v>
      </c>
    </row>
    <row r="53" customFormat="false" ht="15" hidden="false" customHeight="true" outlineLevel="0" collapsed="false">
      <c r="B53" s="13" t="s">
        <v>509</v>
      </c>
      <c r="C53" s="37" t="n">
        <v>9900</v>
      </c>
      <c r="D53" s="37" t="n">
        <v>10188</v>
      </c>
      <c r="E53" s="37" t="n">
        <v>7500</v>
      </c>
      <c r="F53" s="61" t="n">
        <v>7500</v>
      </c>
      <c r="G53" s="65" t="n">
        <f aca="false">F53/NZ_Units</f>
        <v>75</v>
      </c>
    </row>
    <row r="54" customFormat="false" ht="15" hidden="false" customHeight="true" outlineLevel="0" collapsed="false">
      <c r="B54" s="13" t="s">
        <v>510</v>
      </c>
      <c r="C54" s="37" t="n">
        <v>43022</v>
      </c>
      <c r="D54" s="37" t="n">
        <v>38220</v>
      </c>
      <c r="E54" s="37" t="n">
        <v>37522.17432</v>
      </c>
      <c r="F54" s="61" t="n">
        <v>37522</v>
      </c>
      <c r="G54" s="65" t="n">
        <f aca="false">F54/NZ_Units</f>
        <v>375.22</v>
      </c>
    </row>
    <row r="55" customFormat="false" ht="15" hidden="false" customHeight="true" outlineLevel="0" collapsed="false">
      <c r="B55" s="13" t="s">
        <v>511</v>
      </c>
      <c r="C55" s="37" t="n">
        <v>31495</v>
      </c>
      <c r="D55" s="37" t="n">
        <v>11584</v>
      </c>
      <c r="E55" s="37" t="n">
        <v>5000</v>
      </c>
      <c r="F55" s="61" t="n">
        <v>5000</v>
      </c>
      <c r="G55" s="65" t="n">
        <f aca="false">F55/NZ_Units</f>
        <v>50</v>
      </c>
    </row>
    <row r="56" customFormat="false" ht="15" hidden="false" customHeight="true" outlineLevel="0" collapsed="false">
      <c r="B56" s="19" t="s">
        <v>512</v>
      </c>
      <c r="C56" s="38" t="n">
        <f aca="false">SUM(C46:C55)</f>
        <v>278694</v>
      </c>
      <c r="D56" s="38" t="n">
        <f aca="false">SUM(D46:D55)</f>
        <v>245834</v>
      </c>
      <c r="E56" s="38" t="n">
        <f aca="false">SUM(E46:E55)</f>
        <v>216454.288792</v>
      </c>
      <c r="F56" s="38" t="n">
        <f aca="false">SUM(F46:F55)</f>
        <v>225030.357508839</v>
      </c>
      <c r="G56" s="65" t="n">
        <f aca="false">F56/NZ_Units</f>
        <v>2250.30357508839</v>
      </c>
    </row>
    <row r="57" customFormat="false" ht="15" hidden="false" customHeight="true" outlineLevel="0" collapsed="false">
      <c r="B57" s="63" t="s">
        <v>513</v>
      </c>
    </row>
    <row r="58" customFormat="false" ht="15" hidden="false" customHeight="true" outlineLevel="0" collapsed="false">
      <c r="B58" s="13" t="s">
        <v>514</v>
      </c>
      <c r="C58" s="37" t="n">
        <v>17531</v>
      </c>
      <c r="D58" s="37" t="n">
        <v>17455</v>
      </c>
      <c r="E58" s="37" t="n">
        <v>17455</v>
      </c>
      <c r="F58" s="61" t="n">
        <v>17455</v>
      </c>
      <c r="G58" s="65" t="n">
        <f aca="false">F58/NZ_Units</f>
        <v>174.55</v>
      </c>
    </row>
    <row r="59" customFormat="false" ht="15" hidden="false" customHeight="true" outlineLevel="0" collapsed="false">
      <c r="B59" s="13" t="s">
        <v>515</v>
      </c>
      <c r="C59" s="37" t="n">
        <v>0</v>
      </c>
      <c r="D59" s="37" t="n">
        <v>0</v>
      </c>
      <c r="E59" s="37" t="n">
        <v>0</v>
      </c>
      <c r="F59" s="61" t="n">
        <v>0</v>
      </c>
      <c r="G59" s="65" t="n">
        <f aca="false">F59/NZ_Units</f>
        <v>0</v>
      </c>
    </row>
    <row r="60" customFormat="false" ht="15" hidden="false" customHeight="true" outlineLevel="0" collapsed="false">
      <c r="B60" s="13" t="s">
        <v>516</v>
      </c>
      <c r="C60" s="37" t="n">
        <v>47780</v>
      </c>
      <c r="D60" s="37" t="n">
        <v>49159</v>
      </c>
      <c r="E60" s="37" t="n">
        <v>49159</v>
      </c>
      <c r="F60" s="61" t="n">
        <v>49159</v>
      </c>
      <c r="G60" s="65" t="n">
        <f aca="false">F60/NZ_Units</f>
        <v>491.59</v>
      </c>
    </row>
    <row r="61" customFormat="false" ht="15" hidden="false" customHeight="true" outlineLevel="0" collapsed="false">
      <c r="B61" s="13" t="s">
        <v>517</v>
      </c>
      <c r="C61" s="37" t="n">
        <v>0</v>
      </c>
      <c r="D61" s="37" t="n">
        <v>0</v>
      </c>
      <c r="E61" s="37" t="n">
        <v>0</v>
      </c>
      <c r="F61" s="61" t="n">
        <v>0</v>
      </c>
      <c r="G61" s="65" t="n">
        <f aca="false">F61/NZ_Units</f>
        <v>0</v>
      </c>
    </row>
    <row r="62" customFormat="false" ht="15" hidden="false" customHeight="true" outlineLevel="0" collapsed="false">
      <c r="B62" s="19" t="s">
        <v>518</v>
      </c>
      <c r="C62" s="38" t="n">
        <f aca="false">SUM(C58:C61)</f>
        <v>65311</v>
      </c>
      <c r="D62" s="38" t="n">
        <f aca="false">SUM(D58:D61)</f>
        <v>66614</v>
      </c>
      <c r="E62" s="38" t="n">
        <f aca="false">SUM(E58:E61)</f>
        <v>66614</v>
      </c>
      <c r="F62" s="38" t="n">
        <f aca="false">SUM(F58:F61)</f>
        <v>66614</v>
      </c>
      <c r="G62" s="65" t="n">
        <f aca="false">F62/NZ_Units</f>
        <v>666.14</v>
      </c>
    </row>
    <row r="63" customFormat="false" ht="15" hidden="false" customHeight="true" outlineLevel="0" collapsed="false">
      <c r="B63" s="63" t="s">
        <v>519</v>
      </c>
    </row>
    <row r="64" customFormat="false" ht="15" hidden="false" customHeight="true" outlineLevel="0" collapsed="false">
      <c r="B64" s="13" t="s">
        <v>520</v>
      </c>
      <c r="C64" s="37" t="n">
        <v>161403</v>
      </c>
      <c r="D64" s="37" t="n">
        <v>123664</v>
      </c>
      <c r="E64" s="37" t="n">
        <v>113443.2</v>
      </c>
      <c r="F64" s="61" t="n">
        <v>113443</v>
      </c>
      <c r="G64" s="65" t="n">
        <f aca="false">F64/NZ_Units</f>
        <v>1134.43</v>
      </c>
    </row>
    <row r="65" customFormat="false" ht="15" hidden="false" customHeight="true" outlineLevel="0" collapsed="false">
      <c r="B65" s="13" t="s">
        <v>521</v>
      </c>
      <c r="C65" s="37" t="n">
        <v>68767</v>
      </c>
      <c r="D65" s="37" t="n">
        <v>49064</v>
      </c>
      <c r="E65" s="37" t="n">
        <v>50000</v>
      </c>
      <c r="F65" s="61" t="n">
        <v>50000</v>
      </c>
      <c r="G65" s="65" t="n">
        <f aca="false">F65/NZ_Units</f>
        <v>500</v>
      </c>
    </row>
    <row r="66" customFormat="false" ht="15" hidden="false" customHeight="true" outlineLevel="0" collapsed="false">
      <c r="B66" s="13" t="s">
        <v>522</v>
      </c>
      <c r="C66" s="37" t="n">
        <v>143289</v>
      </c>
      <c r="D66" s="37" t="n">
        <v>99477</v>
      </c>
      <c r="E66" s="37" t="n">
        <v>50000</v>
      </c>
      <c r="F66" s="61" t="n">
        <v>50000</v>
      </c>
      <c r="G66" s="65" t="n">
        <f aca="false">F66/NZ_Units</f>
        <v>500</v>
      </c>
    </row>
    <row r="67" customFormat="false" ht="15" hidden="false" customHeight="true" outlineLevel="0" collapsed="false">
      <c r="B67" s="13" t="s">
        <v>523</v>
      </c>
      <c r="C67" s="37" t="n">
        <v>22356</v>
      </c>
      <c r="D67" s="37" t="n">
        <v>26832</v>
      </c>
      <c r="E67" s="37" t="n">
        <v>26832</v>
      </c>
      <c r="F67" s="61" t="n">
        <v>26832</v>
      </c>
      <c r="G67" s="65" t="n">
        <f aca="false">F67/NZ_Units</f>
        <v>268.32</v>
      </c>
    </row>
    <row r="68" customFormat="false" ht="15" hidden="false" customHeight="true" outlineLevel="0" collapsed="false">
      <c r="B68" s="13" t="s">
        <v>524</v>
      </c>
      <c r="C68" s="37" t="n">
        <v>112892</v>
      </c>
      <c r="D68" s="37" t="n">
        <v>118308</v>
      </c>
      <c r="E68" s="37" t="n">
        <v>118308</v>
      </c>
      <c r="F68" s="61" t="n">
        <v>118308</v>
      </c>
      <c r="G68" s="65" t="n">
        <f aca="false">F68/NZ_Units</f>
        <v>1183.08</v>
      </c>
    </row>
    <row r="69" customFormat="false" ht="15" hidden="false" customHeight="true" outlineLevel="0" collapsed="false">
      <c r="B69" s="13" t="s">
        <v>525</v>
      </c>
      <c r="C69" s="37" t="n">
        <v>3059</v>
      </c>
      <c r="D69" s="37" t="n">
        <v>16789</v>
      </c>
      <c r="E69" s="37" t="n">
        <v>7500</v>
      </c>
      <c r="F69" s="61" t="n">
        <v>7500</v>
      </c>
      <c r="G69" s="65" t="n">
        <f aca="false">F69/NZ_Units</f>
        <v>75</v>
      </c>
    </row>
    <row r="70" customFormat="false" ht="15" hidden="false" customHeight="true" outlineLevel="0" collapsed="false">
      <c r="B70" s="13" t="s">
        <v>526</v>
      </c>
      <c r="C70" s="37" t="n">
        <v>0</v>
      </c>
      <c r="D70" s="37" t="n">
        <v>1607</v>
      </c>
      <c r="E70" s="37" t="n">
        <v>0</v>
      </c>
      <c r="F70" s="61" t="n">
        <v>0</v>
      </c>
      <c r="G70" s="65" t="n">
        <f aca="false">F70/NZ_Units</f>
        <v>0</v>
      </c>
    </row>
    <row r="71" customFormat="false" ht="15" hidden="false" customHeight="true" outlineLevel="0" collapsed="false">
      <c r="B71" s="19" t="s">
        <v>527</v>
      </c>
      <c r="C71" s="38" t="n">
        <f aca="false">SUM(C64:C70)</f>
        <v>511766</v>
      </c>
      <c r="D71" s="38" t="n">
        <f aca="false">SUM(D64:D70)</f>
        <v>435741</v>
      </c>
      <c r="E71" s="38" t="n">
        <f aca="false">SUM(E64:E70)</f>
        <v>366083.2</v>
      </c>
      <c r="F71" s="38" t="n">
        <f aca="false">SUM(F64:F70)</f>
        <v>366083</v>
      </c>
      <c r="G71" s="65" t="n">
        <f aca="false">F71/NZ_Units</f>
        <v>3660.83</v>
      </c>
    </row>
    <row r="72" customFormat="false" ht="15" hidden="false" customHeight="true" outlineLevel="0" collapsed="false">
      <c r="B72" s="63" t="s">
        <v>528</v>
      </c>
    </row>
    <row r="73" customFormat="false" ht="15" hidden="false" customHeight="true" outlineLevel="0" collapsed="false">
      <c r="B73" s="13" t="s">
        <v>529</v>
      </c>
      <c r="C73" s="37" t="n">
        <v>36503</v>
      </c>
      <c r="D73" s="37" t="n">
        <v>35004</v>
      </c>
      <c r="E73" s="37" t="n">
        <v>36503.15</v>
      </c>
      <c r="F73" s="61" t="n">
        <v>36399</v>
      </c>
      <c r="G73" s="65" t="n">
        <f aca="false">F73/NZ_Units</f>
        <v>363.99</v>
      </c>
    </row>
    <row r="74" customFormat="false" ht="15" hidden="false" customHeight="true" outlineLevel="0" collapsed="false">
      <c r="B74" s="13" t="s">
        <v>530</v>
      </c>
      <c r="C74" s="37" t="n">
        <v>21956</v>
      </c>
      <c r="D74" s="37" t="n">
        <v>18489</v>
      </c>
      <c r="E74" s="37" t="n">
        <v>15310.7074755</v>
      </c>
      <c r="F74" s="61" t="n">
        <v>15311</v>
      </c>
      <c r="G74" s="65" t="n">
        <f aca="false">F74/NZ_Units</f>
        <v>153.11</v>
      </c>
    </row>
    <row r="75" customFormat="false" ht="15" hidden="false" customHeight="true" outlineLevel="0" collapsed="false">
      <c r="B75" s="13" t="s">
        <v>487</v>
      </c>
      <c r="C75" s="37" t="n">
        <v>95099</v>
      </c>
      <c r="D75" s="37" t="n">
        <v>88332</v>
      </c>
      <c r="E75" s="37" t="n">
        <v>79892</v>
      </c>
      <c r="F75" s="61" t="n">
        <v>88332</v>
      </c>
      <c r="G75" s="65" t="n">
        <f aca="false">F75/NZ_Units</f>
        <v>883.32</v>
      </c>
    </row>
    <row r="76" customFormat="false" ht="15" hidden="false" customHeight="true" outlineLevel="0" collapsed="false">
      <c r="B76" s="13" t="s">
        <v>531</v>
      </c>
      <c r="C76" s="37" t="n">
        <v>7300</v>
      </c>
      <c r="D76" s="37" t="n">
        <v>3902</v>
      </c>
      <c r="E76" s="37" t="n">
        <v>6004.19901</v>
      </c>
      <c r="F76" s="61" t="n">
        <v>6004</v>
      </c>
      <c r="G76" s="65" t="n">
        <f aca="false">F76/NZ_Units</f>
        <v>60.04</v>
      </c>
    </row>
    <row r="77" customFormat="false" ht="15" hidden="false" customHeight="true" outlineLevel="0" collapsed="false">
      <c r="B77" s="13" t="s">
        <v>532</v>
      </c>
      <c r="C77" s="37" t="n">
        <v>8197</v>
      </c>
      <c r="D77" s="37" t="n">
        <v>17472</v>
      </c>
      <c r="E77" s="37" t="n">
        <v>20013.9967</v>
      </c>
      <c r="F77" s="61" t="n">
        <v>20014</v>
      </c>
      <c r="G77" s="65" t="n">
        <f aca="false">F77/NZ_Units</f>
        <v>200.14</v>
      </c>
    </row>
    <row r="78" customFormat="false" ht="15" hidden="false" customHeight="true" outlineLevel="0" collapsed="false">
      <c r="B78" s="13" t="s">
        <v>533</v>
      </c>
      <c r="C78" s="37" t="n">
        <v>875</v>
      </c>
      <c r="D78" s="37" t="n">
        <v>0</v>
      </c>
      <c r="E78" s="37" t="n">
        <v>0</v>
      </c>
      <c r="F78" s="61" t="n">
        <v>0</v>
      </c>
      <c r="G78" s="65" t="n">
        <f aca="false">F78/NZ_Units</f>
        <v>0</v>
      </c>
    </row>
    <row r="79" customFormat="false" ht="15" hidden="false" customHeight="true" outlineLevel="0" collapsed="false">
      <c r="B79" s="19" t="s">
        <v>534</v>
      </c>
      <c r="C79" s="38" t="n">
        <f aca="false">SUM(C73:C78)</f>
        <v>169930</v>
      </c>
      <c r="D79" s="38" t="n">
        <f aca="false">SUM(D73:D78)</f>
        <v>163199</v>
      </c>
      <c r="E79" s="38" t="n">
        <f aca="false">SUM(E73:E78)</f>
        <v>157724.0531855</v>
      </c>
      <c r="F79" s="38" t="n">
        <f aca="false">SUM(F73:F78)</f>
        <v>166060</v>
      </c>
      <c r="G79" s="65" t="n">
        <f aca="false">F79/NZ_Units</f>
        <v>1660.6</v>
      </c>
    </row>
    <row r="80" customFormat="false" ht="15" hidden="false" customHeight="true" outlineLevel="0" collapsed="false">
      <c r="B80" s="19" t="s">
        <v>535</v>
      </c>
      <c r="C80" s="21" t="n">
        <f aca="false">C56+C62+C71+C79</f>
        <v>1025701</v>
      </c>
      <c r="D80" s="21" t="n">
        <f aca="false">D56+D62+D71+D79</f>
        <v>911388</v>
      </c>
      <c r="E80" s="21" t="n">
        <f aca="false">E56+E62+E71+E79</f>
        <v>806875.5419775</v>
      </c>
      <c r="F80" s="21" t="n">
        <f aca="false">F56+F62+F71+F79</f>
        <v>823787.357508839</v>
      </c>
      <c r="G80" s="65" t="n">
        <f aca="false">F80/NZ_Units</f>
        <v>8237.87357508839</v>
      </c>
    </row>
    <row r="81" customFormat="false" ht="15" hidden="false" customHeight="true" outlineLevel="0" collapsed="false">
      <c r="B81" s="13" t="s">
        <v>490</v>
      </c>
      <c r="C81" s="37" t="n">
        <v>30480</v>
      </c>
      <c r="D81" s="37" t="n">
        <v>30480</v>
      </c>
      <c r="E81" s="37" t="n">
        <v>30000</v>
      </c>
      <c r="F81" s="37" t="n">
        <f aca="false">MAX(ReserveFloorFamily*NZ_Units,30000)</f>
        <v>35000</v>
      </c>
      <c r="G81" s="65" t="n">
        <f aca="false">F81/NZ_Units</f>
        <v>350</v>
      </c>
    </row>
    <row r="82" customFormat="false" ht="15" hidden="false" customHeight="true" outlineLevel="0" collapsed="false">
      <c r="B82" s="36" t="s">
        <v>536</v>
      </c>
      <c r="C82" s="47" t="str">
        <f aca="false">IF(G80&gt;=OpexMinPU,"PASS","FAIL")</f>
        <v>PASS</v>
      </c>
    </row>
    <row r="84" customFormat="false" ht="15" hidden="false" customHeight="true" outlineLevel="0" collapsed="false">
      <c r="B84" s="3" t="s">
        <v>538</v>
      </c>
      <c r="C84" s="3" t="s">
        <v>151</v>
      </c>
      <c r="D84" s="3" t="s">
        <v>152</v>
      </c>
      <c r="E84" s="3" t="s">
        <v>499</v>
      </c>
      <c r="F84" s="3" t="s">
        <v>500</v>
      </c>
      <c r="G84" s="3" t="s">
        <v>501</v>
      </c>
    </row>
    <row r="85" customFormat="false" ht="15" hidden="false" customHeight="true" outlineLevel="0" collapsed="false">
      <c r="B85" s="63" t="s">
        <v>502</v>
      </c>
    </row>
    <row r="86" customFormat="false" ht="15" hidden="false" customHeight="true" outlineLevel="0" collapsed="false">
      <c r="B86" s="13" t="s">
        <v>503</v>
      </c>
      <c r="C86" s="37" t="n">
        <v>179</v>
      </c>
      <c r="D86" s="37" t="n">
        <v>250</v>
      </c>
      <c r="E86" s="37" t="n">
        <v>250</v>
      </c>
      <c r="F86" s="61" t="n">
        <v>250</v>
      </c>
      <c r="G86" s="65" t="n">
        <f aca="false">F86/LOM_Units</f>
        <v>2.10084033613445</v>
      </c>
    </row>
    <row r="87" customFormat="false" ht="15" hidden="false" customHeight="true" outlineLevel="0" collapsed="false">
      <c r="B87" s="13" t="s">
        <v>504</v>
      </c>
      <c r="C87" s="37" t="n">
        <v>0</v>
      </c>
      <c r="D87" s="37" t="n">
        <v>8207</v>
      </c>
      <c r="E87" s="37" t="n">
        <v>2000</v>
      </c>
      <c r="F87" s="61" t="n">
        <v>2000</v>
      </c>
      <c r="G87" s="65" t="n">
        <f aca="false">F87/LOM_Units</f>
        <v>16.8067226890756</v>
      </c>
    </row>
    <row r="88" customFormat="false" ht="15" hidden="false" customHeight="true" outlineLevel="0" collapsed="false">
      <c r="B88" s="13" t="s">
        <v>505</v>
      </c>
      <c r="C88" s="37" t="n">
        <v>69037</v>
      </c>
      <c r="D88" s="37" t="n">
        <v>100146</v>
      </c>
      <c r="E88" s="37" t="n">
        <v>33280</v>
      </c>
      <c r="F88" s="61" t="n">
        <v>33280</v>
      </c>
      <c r="G88" s="65" t="n">
        <f aca="false">F88/LOM_Units</f>
        <v>279.663865546218</v>
      </c>
    </row>
    <row r="89" customFormat="false" ht="15" hidden="false" customHeight="true" outlineLevel="0" collapsed="false">
      <c r="B89" s="13" t="s">
        <v>506</v>
      </c>
      <c r="C89" s="37" t="n">
        <v>17433</v>
      </c>
      <c r="D89" s="37" t="n">
        <v>17624</v>
      </c>
      <c r="E89" s="37" t="n">
        <v>17624</v>
      </c>
      <c r="F89" s="61" t="n">
        <v>17624</v>
      </c>
      <c r="G89" s="65" t="n">
        <f aca="false">F89/LOM_Units</f>
        <v>148.100840336134</v>
      </c>
    </row>
    <row r="90" customFormat="false" ht="15" hidden="false" customHeight="true" outlineLevel="0" collapsed="false">
      <c r="B90" s="13" t="s">
        <v>483</v>
      </c>
      <c r="C90" s="37" t="n">
        <v>53402</v>
      </c>
      <c r="D90" s="37" t="n">
        <v>50128</v>
      </c>
      <c r="E90" s="37" t="n">
        <v>60279.904</v>
      </c>
      <c r="F90" s="66" t="n">
        <f aca="false">'Rev+Expenses'!E18</f>
        <v>66761.4827198708</v>
      </c>
      <c r="G90" s="65" t="n">
        <f aca="false">F90/LOM_Units</f>
        <v>561.020863192191</v>
      </c>
    </row>
    <row r="91" customFormat="false" ht="15" hidden="false" customHeight="true" outlineLevel="0" collapsed="false">
      <c r="B91" s="13" t="s">
        <v>507</v>
      </c>
      <c r="C91" s="37" t="n">
        <v>0</v>
      </c>
      <c r="D91" s="37" t="n">
        <v>0</v>
      </c>
      <c r="E91" s="37" t="n">
        <v>55166.8</v>
      </c>
      <c r="F91" s="61" t="n">
        <v>55167</v>
      </c>
      <c r="G91" s="65" t="n">
        <f aca="false">F91/LOM_Units</f>
        <v>463.588235294118</v>
      </c>
    </row>
    <row r="92" customFormat="false" ht="15" hidden="false" customHeight="true" outlineLevel="0" collapsed="false">
      <c r="B92" s="13" t="s">
        <v>508</v>
      </c>
      <c r="C92" s="37" t="n">
        <v>3190</v>
      </c>
      <c r="D92" s="37" t="n">
        <v>3000</v>
      </c>
      <c r="E92" s="37" t="n">
        <v>3000</v>
      </c>
      <c r="F92" s="61" t="n">
        <v>3000</v>
      </c>
      <c r="G92" s="65" t="n">
        <f aca="false">F92/LOM_Units</f>
        <v>25.2100840336134</v>
      </c>
    </row>
    <row r="93" customFormat="false" ht="15" hidden="false" customHeight="true" outlineLevel="0" collapsed="false">
      <c r="B93" s="13" t="s">
        <v>509</v>
      </c>
      <c r="C93" s="37" t="n">
        <v>9900</v>
      </c>
      <c r="D93" s="37" t="n">
        <v>10188</v>
      </c>
      <c r="E93" s="37" t="n">
        <v>7500</v>
      </c>
      <c r="F93" s="61" t="n">
        <v>7500</v>
      </c>
      <c r="G93" s="65" t="n">
        <f aca="false">F93/LOM_Units</f>
        <v>63.0252100840336</v>
      </c>
    </row>
    <row r="94" customFormat="false" ht="15" hidden="false" customHeight="true" outlineLevel="0" collapsed="false">
      <c r="B94" s="13" t="s">
        <v>510</v>
      </c>
      <c r="C94" s="37" t="n">
        <v>47870</v>
      </c>
      <c r="D94" s="37" t="n">
        <v>37187</v>
      </c>
      <c r="E94" s="37" t="n">
        <v>31389.36</v>
      </c>
      <c r="F94" s="61" t="n">
        <v>31389</v>
      </c>
      <c r="G94" s="65" t="n">
        <f aca="false">F94/LOM_Units</f>
        <v>263.773109243698</v>
      </c>
    </row>
    <row r="95" customFormat="false" ht="15" hidden="false" customHeight="true" outlineLevel="0" collapsed="false">
      <c r="B95" s="13" t="s">
        <v>511</v>
      </c>
      <c r="C95" s="37" t="n">
        <v>26080</v>
      </c>
      <c r="D95" s="37" t="n">
        <v>24746</v>
      </c>
      <c r="E95" s="37" t="n">
        <v>10000</v>
      </c>
      <c r="F95" s="61" t="n">
        <v>10000</v>
      </c>
      <c r="G95" s="65" t="n">
        <f aca="false">F95/LOM_Units</f>
        <v>84.0336134453782</v>
      </c>
    </row>
    <row r="96" customFormat="false" ht="15" hidden="false" customHeight="true" outlineLevel="0" collapsed="false">
      <c r="B96" s="19" t="s">
        <v>512</v>
      </c>
      <c r="C96" s="38" t="n">
        <f aca="false">SUM(C86:C95)</f>
        <v>227091</v>
      </c>
      <c r="D96" s="38" t="n">
        <f aca="false">SUM(D86:D95)</f>
        <v>251476</v>
      </c>
      <c r="E96" s="38" t="n">
        <f aca="false">SUM(E86:E95)</f>
        <v>220490.064</v>
      </c>
      <c r="F96" s="38" t="n">
        <f aca="false">SUM(F86:F95)</f>
        <v>226971.482719871</v>
      </c>
      <c r="G96" s="65" t="n">
        <f aca="false">F96/LOM_Units</f>
        <v>1907.32338420059</v>
      </c>
    </row>
    <row r="97" customFormat="false" ht="15" hidden="false" customHeight="true" outlineLevel="0" collapsed="false">
      <c r="B97" s="63" t="s">
        <v>513</v>
      </c>
    </row>
    <row r="98" customFormat="false" ht="15" hidden="false" customHeight="true" outlineLevel="0" collapsed="false">
      <c r="B98" s="13" t="s">
        <v>514</v>
      </c>
      <c r="C98" s="37" t="n">
        <v>11491</v>
      </c>
      <c r="D98" s="37" t="n">
        <v>12622</v>
      </c>
      <c r="E98" s="37" t="n">
        <v>12622</v>
      </c>
      <c r="F98" s="61" t="n">
        <v>12622</v>
      </c>
      <c r="G98" s="65" t="n">
        <f aca="false">F98/LOM_Units</f>
        <v>106.067226890756</v>
      </c>
    </row>
    <row r="99" customFormat="false" ht="15" hidden="false" customHeight="true" outlineLevel="0" collapsed="false">
      <c r="B99" s="13" t="s">
        <v>515</v>
      </c>
      <c r="C99" s="37" t="n">
        <v>43693</v>
      </c>
      <c r="D99" s="37" t="n">
        <v>44484</v>
      </c>
      <c r="E99" s="37" t="n">
        <v>44484</v>
      </c>
      <c r="F99" s="61" t="n">
        <v>44484</v>
      </c>
      <c r="G99" s="65" t="n">
        <f aca="false">F99/LOM_Units</f>
        <v>373.81512605042</v>
      </c>
    </row>
    <row r="100" customFormat="false" ht="15" hidden="false" customHeight="true" outlineLevel="0" collapsed="false">
      <c r="B100" s="13" t="s">
        <v>516</v>
      </c>
      <c r="C100" s="37" t="n">
        <v>58597</v>
      </c>
      <c r="D100" s="37" t="n">
        <v>65889</v>
      </c>
      <c r="E100" s="37" t="n">
        <v>65889</v>
      </c>
      <c r="F100" s="61" t="n">
        <v>65889</v>
      </c>
      <c r="G100" s="65" t="n">
        <f aca="false">F100/LOM_Units</f>
        <v>553.689075630252</v>
      </c>
    </row>
    <row r="101" customFormat="false" ht="15" hidden="false" customHeight="true" outlineLevel="0" collapsed="false">
      <c r="B101" s="13" t="s">
        <v>517</v>
      </c>
      <c r="C101" s="37" t="n">
        <v>0</v>
      </c>
      <c r="D101" s="37" t="n">
        <v>0</v>
      </c>
      <c r="E101" s="37" t="n">
        <v>0</v>
      </c>
      <c r="F101" s="61" t="n">
        <v>0</v>
      </c>
      <c r="G101" s="65" t="n">
        <f aca="false">F101/LOM_Units</f>
        <v>0</v>
      </c>
    </row>
    <row r="102" customFormat="false" ht="15" hidden="false" customHeight="true" outlineLevel="0" collapsed="false">
      <c r="B102" s="19" t="s">
        <v>518</v>
      </c>
      <c r="C102" s="38" t="n">
        <f aca="false">SUM(C98:C101)</f>
        <v>113781</v>
      </c>
      <c r="D102" s="38" t="n">
        <f aca="false">SUM(D98:D101)</f>
        <v>122995</v>
      </c>
      <c r="E102" s="38" t="n">
        <f aca="false">SUM(E98:E101)</f>
        <v>122995</v>
      </c>
      <c r="F102" s="38" t="n">
        <f aca="false">SUM(F98:F101)</f>
        <v>122995</v>
      </c>
      <c r="G102" s="65" t="n">
        <f aca="false">F102/LOM_Units</f>
        <v>1033.57142857143</v>
      </c>
    </row>
    <row r="103" customFormat="false" ht="15" hidden="false" customHeight="true" outlineLevel="0" collapsed="false">
      <c r="B103" s="63" t="s">
        <v>519</v>
      </c>
    </row>
    <row r="104" customFormat="false" ht="15" hidden="false" customHeight="true" outlineLevel="0" collapsed="false">
      <c r="B104" s="13" t="s">
        <v>520</v>
      </c>
      <c r="C104" s="37" t="n">
        <v>97446</v>
      </c>
      <c r="D104" s="37" t="n">
        <v>132660</v>
      </c>
      <c r="E104" s="37" t="n">
        <v>78208</v>
      </c>
      <c r="F104" s="61" t="n">
        <v>78208</v>
      </c>
      <c r="G104" s="65" t="n">
        <f aca="false">F104/LOM_Units</f>
        <v>657.210084033614</v>
      </c>
    </row>
    <row r="105" customFormat="false" ht="15" hidden="false" customHeight="true" outlineLevel="0" collapsed="false">
      <c r="B105" s="13" t="s">
        <v>521</v>
      </c>
      <c r="C105" s="37" t="n">
        <v>68307</v>
      </c>
      <c r="D105" s="37" t="n">
        <v>44616</v>
      </c>
      <c r="E105" s="37" t="n">
        <v>59500</v>
      </c>
      <c r="F105" s="61" t="n">
        <v>59500</v>
      </c>
      <c r="G105" s="65" t="n">
        <f aca="false">F105/LOM_Units</f>
        <v>500</v>
      </c>
    </row>
    <row r="106" customFormat="false" ht="15" hidden="false" customHeight="true" outlineLevel="0" collapsed="false">
      <c r="B106" s="13" t="s">
        <v>522</v>
      </c>
      <c r="C106" s="37" t="n">
        <v>166834</v>
      </c>
      <c r="D106" s="37" t="n">
        <v>110200</v>
      </c>
      <c r="E106" s="37" t="n">
        <v>59500</v>
      </c>
      <c r="F106" s="61" t="n">
        <v>59500</v>
      </c>
      <c r="G106" s="65" t="n">
        <f aca="false">F106/LOM_Units</f>
        <v>500</v>
      </c>
    </row>
    <row r="107" customFormat="false" ht="15" hidden="false" customHeight="true" outlineLevel="0" collapsed="false">
      <c r="B107" s="13" t="s">
        <v>523</v>
      </c>
      <c r="C107" s="37" t="n">
        <v>49459</v>
      </c>
      <c r="D107" s="37" t="n">
        <v>48000</v>
      </c>
      <c r="E107" s="37" t="n">
        <v>48000</v>
      </c>
      <c r="F107" s="61" t="n">
        <v>48000</v>
      </c>
      <c r="G107" s="65" t="n">
        <f aca="false">F107/LOM_Units</f>
        <v>403.361344537815</v>
      </c>
    </row>
    <row r="108" customFormat="false" ht="15" hidden="false" customHeight="true" outlineLevel="0" collapsed="false">
      <c r="B108" s="13" t="s">
        <v>524</v>
      </c>
      <c r="C108" s="37" t="n">
        <v>104524</v>
      </c>
      <c r="D108" s="37" t="n">
        <v>122040</v>
      </c>
      <c r="E108" s="37" t="n">
        <v>122040</v>
      </c>
      <c r="F108" s="61" t="n">
        <v>122040</v>
      </c>
      <c r="G108" s="65" t="n">
        <f aca="false">F108/LOM_Units</f>
        <v>1025.5462184874</v>
      </c>
    </row>
    <row r="109" customFormat="false" ht="15" hidden="false" customHeight="true" outlineLevel="0" collapsed="false">
      <c r="B109" s="13" t="s">
        <v>525</v>
      </c>
      <c r="C109" s="37" t="n">
        <v>8186</v>
      </c>
      <c r="D109" s="37" t="n">
        <v>20200</v>
      </c>
      <c r="E109" s="37" t="n">
        <v>7500</v>
      </c>
      <c r="F109" s="61" t="n">
        <v>7500</v>
      </c>
      <c r="G109" s="65" t="n">
        <f aca="false">F109/LOM_Units</f>
        <v>63.0252100840336</v>
      </c>
    </row>
    <row r="110" customFormat="false" ht="15" hidden="false" customHeight="true" outlineLevel="0" collapsed="false">
      <c r="B110" s="13" t="s">
        <v>526</v>
      </c>
      <c r="C110" s="37" t="n">
        <v>0</v>
      </c>
      <c r="D110" s="37" t="n">
        <v>500</v>
      </c>
      <c r="E110" s="37" t="n">
        <v>0</v>
      </c>
      <c r="F110" s="61" t="n">
        <v>0</v>
      </c>
      <c r="G110" s="65" t="n">
        <f aca="false">F110/LOM_Units</f>
        <v>0</v>
      </c>
    </row>
    <row r="111" customFormat="false" ht="15" hidden="false" customHeight="true" outlineLevel="0" collapsed="false">
      <c r="B111" s="19" t="s">
        <v>527</v>
      </c>
      <c r="C111" s="38" t="n">
        <f aca="false">SUM(C104:C110)</f>
        <v>494756</v>
      </c>
      <c r="D111" s="38" t="n">
        <f aca="false">SUM(D104:D110)</f>
        <v>478216</v>
      </c>
      <c r="E111" s="38" t="n">
        <f aca="false">SUM(E104:E110)</f>
        <v>374748</v>
      </c>
      <c r="F111" s="38" t="n">
        <f aca="false">SUM(F104:F110)</f>
        <v>374748</v>
      </c>
      <c r="G111" s="65" t="n">
        <f aca="false">F111/LOM_Units</f>
        <v>3149.14285714286</v>
      </c>
    </row>
    <row r="112" customFormat="false" ht="15" hidden="false" customHeight="true" outlineLevel="0" collapsed="false">
      <c r="B112" s="63" t="s">
        <v>528</v>
      </c>
    </row>
    <row r="113" customFormat="false" ht="15" hidden="false" customHeight="true" outlineLevel="0" collapsed="false">
      <c r="B113" s="13" t="s">
        <v>529</v>
      </c>
      <c r="C113" s="37" t="n">
        <v>24984</v>
      </c>
      <c r="D113" s="37" t="n">
        <v>25044</v>
      </c>
      <c r="E113" s="37" t="n">
        <v>24983.99</v>
      </c>
      <c r="F113" s="61" t="n">
        <v>24984</v>
      </c>
      <c r="G113" s="65" t="n">
        <f aca="false">F113/LOM_Units</f>
        <v>209.949579831933</v>
      </c>
    </row>
    <row r="114" customFormat="false" ht="15" hidden="false" customHeight="true" outlineLevel="0" collapsed="false">
      <c r="B114" s="13" t="s">
        <v>530</v>
      </c>
      <c r="C114" s="37" t="n">
        <v>14372</v>
      </c>
      <c r="D114" s="37" t="n">
        <v>19754</v>
      </c>
      <c r="E114" s="37" t="n">
        <v>12749.0922</v>
      </c>
      <c r="F114" s="61" t="n">
        <v>12749</v>
      </c>
      <c r="G114" s="65" t="n">
        <f aca="false">F114/LOM_Units</f>
        <v>107.134453781513</v>
      </c>
    </row>
    <row r="115" customFormat="false" ht="15" hidden="false" customHeight="true" outlineLevel="0" collapsed="false">
      <c r="B115" s="13" t="s">
        <v>487</v>
      </c>
      <c r="C115" s="37" t="n">
        <v>179405</v>
      </c>
      <c r="D115" s="37" t="n">
        <v>172383</v>
      </c>
      <c r="E115" s="37" t="n">
        <v>156423</v>
      </c>
      <c r="F115" s="61" t="n">
        <v>172383</v>
      </c>
      <c r="G115" s="65" t="n">
        <f aca="false">F115/LOM_Units</f>
        <v>1448.59663865546</v>
      </c>
    </row>
    <row r="116" customFormat="false" ht="15" hidden="false" customHeight="true" outlineLevel="0" collapsed="false">
      <c r="B116" s="13" t="s">
        <v>531</v>
      </c>
      <c r="C116" s="37" t="n">
        <v>3006</v>
      </c>
      <c r="D116" s="37" t="n">
        <v>4200</v>
      </c>
      <c r="E116" s="37" t="n">
        <v>4999.644</v>
      </c>
      <c r="F116" s="61" t="n">
        <v>5000</v>
      </c>
      <c r="G116" s="65" t="n">
        <f aca="false">F116/LOM_Units</f>
        <v>42.0168067226891</v>
      </c>
    </row>
    <row r="117" customFormat="false" ht="15" hidden="false" customHeight="true" outlineLevel="0" collapsed="false">
      <c r="B117" s="13" t="s">
        <v>532</v>
      </c>
      <c r="C117" s="37" t="n">
        <v>11689</v>
      </c>
      <c r="D117" s="37" t="n">
        <v>16858</v>
      </c>
      <c r="E117" s="37" t="n">
        <v>16665.48</v>
      </c>
      <c r="F117" s="61" t="n">
        <v>16665</v>
      </c>
      <c r="G117" s="65" t="n">
        <f aca="false">F117/LOM_Units</f>
        <v>140.042016806723</v>
      </c>
    </row>
    <row r="118" customFormat="false" ht="15" hidden="false" customHeight="true" outlineLevel="0" collapsed="false">
      <c r="B118" s="13" t="s">
        <v>533</v>
      </c>
      <c r="C118" s="37" t="n">
        <v>744</v>
      </c>
      <c r="D118" s="37" t="n">
        <v>0</v>
      </c>
      <c r="E118" s="37" t="n">
        <v>0</v>
      </c>
      <c r="F118" s="61" t="n">
        <v>0</v>
      </c>
      <c r="G118" s="65" t="n">
        <f aca="false">F118/LOM_Units</f>
        <v>0</v>
      </c>
    </row>
    <row r="119" customFormat="false" ht="15" hidden="false" customHeight="true" outlineLevel="0" collapsed="false">
      <c r="B119" s="19" t="s">
        <v>534</v>
      </c>
      <c r="C119" s="38" t="n">
        <f aca="false">SUM(C113:C118)</f>
        <v>234200</v>
      </c>
      <c r="D119" s="38" t="n">
        <f aca="false">SUM(D113:D118)</f>
        <v>238239</v>
      </c>
      <c r="E119" s="38" t="n">
        <f aca="false">SUM(E113:E118)</f>
        <v>215821.2062</v>
      </c>
      <c r="F119" s="38" t="n">
        <f aca="false">SUM(F113:F118)</f>
        <v>231781</v>
      </c>
      <c r="G119" s="65" t="n">
        <f aca="false">F119/LOM_Units</f>
        <v>1947.73949579832</v>
      </c>
    </row>
    <row r="120" customFormat="false" ht="15" hidden="false" customHeight="true" outlineLevel="0" collapsed="false">
      <c r="B120" s="19" t="s">
        <v>535</v>
      </c>
      <c r="C120" s="21" t="n">
        <f aca="false">C96+C102+C111+C119</f>
        <v>1069828</v>
      </c>
      <c r="D120" s="21" t="n">
        <f aca="false">D96+D102+D111+D119</f>
        <v>1090926</v>
      </c>
      <c r="E120" s="21" t="n">
        <f aca="false">E96+E102+E111+E119</f>
        <v>934054.2702</v>
      </c>
      <c r="F120" s="21" t="n">
        <f aca="false">F96+F102+F111+F119</f>
        <v>956495.482719871</v>
      </c>
      <c r="G120" s="65" t="n">
        <f aca="false">F120/LOM_Units</f>
        <v>8037.7771657132</v>
      </c>
    </row>
    <row r="121" customFormat="false" ht="15" hidden="false" customHeight="true" outlineLevel="0" collapsed="false">
      <c r="B121" s="13" t="s">
        <v>490</v>
      </c>
      <c r="C121" s="37" t="n">
        <v>11652</v>
      </c>
      <c r="D121" s="37" t="n">
        <v>11652</v>
      </c>
      <c r="E121" s="37" t="n">
        <v>35700</v>
      </c>
      <c r="F121" s="37" t="n">
        <f aca="false">MAX(ReserveFloorFamily*LOM_Units,35700)</f>
        <v>41650</v>
      </c>
      <c r="G121" s="65" t="n">
        <f aca="false">F121/LOM_Units</f>
        <v>350</v>
      </c>
    </row>
    <row r="122" customFormat="false" ht="15" hidden="false" customHeight="true" outlineLevel="0" collapsed="false">
      <c r="B122" s="36" t="s">
        <v>536</v>
      </c>
      <c r="C122" s="47" t="str">
        <f aca="false">IF(G120&gt;=OpexMinPU,"PASS","FAIL")</f>
        <v>PASS</v>
      </c>
    </row>
    <row r="124" customFormat="false" ht="15" hidden="false" customHeight="true" outlineLevel="0" collapsed="false">
      <c r="B124" s="3" t="s">
        <v>539</v>
      </c>
      <c r="C124" s="3" t="s">
        <v>151</v>
      </c>
      <c r="D124" s="3" t="s">
        <v>152</v>
      </c>
      <c r="E124" s="3" t="s">
        <v>499</v>
      </c>
      <c r="F124" s="3" t="s">
        <v>500</v>
      </c>
      <c r="G124" s="3" t="s">
        <v>501</v>
      </c>
    </row>
    <row r="125" customFormat="false" ht="15" hidden="false" customHeight="true" outlineLevel="0" collapsed="false">
      <c r="B125" s="63" t="s">
        <v>502</v>
      </c>
    </row>
    <row r="126" customFormat="false" ht="15" hidden="false" customHeight="true" outlineLevel="0" collapsed="false">
      <c r="B126" s="13" t="s">
        <v>503</v>
      </c>
      <c r="C126" s="37" t="n">
        <v>0</v>
      </c>
      <c r="D126" s="37" t="n">
        <v>0</v>
      </c>
      <c r="E126" s="37" t="n">
        <v>2000</v>
      </c>
      <c r="F126" s="61" t="n">
        <v>2000</v>
      </c>
      <c r="G126" s="65" t="n">
        <f aca="false">F126/SA_Units</f>
        <v>9.80392156862745</v>
      </c>
    </row>
    <row r="127" customFormat="false" ht="15" hidden="false" customHeight="true" outlineLevel="0" collapsed="false">
      <c r="B127" s="13" t="s">
        <v>504</v>
      </c>
      <c r="C127" s="37" t="n">
        <v>0</v>
      </c>
      <c r="D127" s="37" t="n">
        <v>12000</v>
      </c>
      <c r="E127" s="37" t="n">
        <v>5000</v>
      </c>
      <c r="F127" s="61" t="n">
        <v>5000</v>
      </c>
      <c r="G127" s="65" t="n">
        <f aca="false">F127/SA_Units</f>
        <v>24.5098039215686</v>
      </c>
    </row>
    <row r="128" customFormat="false" ht="15" hidden="false" customHeight="true" outlineLevel="0" collapsed="false">
      <c r="B128" s="13" t="s">
        <v>505</v>
      </c>
      <c r="C128" s="37" t="n">
        <v>116738</v>
      </c>
      <c r="D128" s="37" t="n">
        <v>133768</v>
      </c>
      <c r="E128" s="37" t="n">
        <v>70159.232</v>
      </c>
      <c r="F128" s="61" t="n">
        <v>70159</v>
      </c>
      <c r="G128" s="65" t="n">
        <f aca="false">F128/SA_Units</f>
        <v>343.916666666667</v>
      </c>
    </row>
    <row r="129" customFormat="false" ht="15" hidden="false" customHeight="true" outlineLevel="0" collapsed="false">
      <c r="B129" s="13" t="s">
        <v>506</v>
      </c>
      <c r="C129" s="37" t="n">
        <v>21665</v>
      </c>
      <c r="D129" s="37" t="n">
        <v>21628</v>
      </c>
      <c r="E129" s="37" t="n">
        <v>21109.5</v>
      </c>
      <c r="F129" s="61" t="n">
        <v>21110</v>
      </c>
      <c r="G129" s="65" t="n">
        <f aca="false">F129/SA_Units</f>
        <v>103.480392156863</v>
      </c>
    </row>
    <row r="130" customFormat="false" ht="15" hidden="false" customHeight="true" outlineLevel="0" collapsed="false">
      <c r="B130" s="13" t="s">
        <v>483</v>
      </c>
      <c r="C130" s="37" t="n">
        <v>69599</v>
      </c>
      <c r="D130" s="37" t="n">
        <v>76819</v>
      </c>
      <c r="E130" s="37" t="n">
        <v>81502.3856</v>
      </c>
      <c r="F130" s="66" t="n">
        <f aca="false">'Rev+Expenses'!F18</f>
        <v>87843.487437888</v>
      </c>
      <c r="G130" s="65" t="n">
        <f aca="false">F130/SA_Units</f>
        <v>430.605330577882</v>
      </c>
    </row>
    <row r="131" customFormat="false" ht="15" hidden="false" customHeight="true" outlineLevel="0" collapsed="false">
      <c r="B131" s="13" t="s">
        <v>507</v>
      </c>
      <c r="C131" s="37" t="n">
        <v>0</v>
      </c>
      <c r="D131" s="37" t="n">
        <v>0</v>
      </c>
      <c r="E131" s="37" t="n">
        <v>57000</v>
      </c>
      <c r="F131" s="61" t="n">
        <v>57000</v>
      </c>
      <c r="G131" s="65" t="n">
        <f aca="false">F131/SA_Units</f>
        <v>279.411764705882</v>
      </c>
    </row>
    <row r="132" customFormat="false" ht="15" hidden="false" customHeight="true" outlineLevel="0" collapsed="false">
      <c r="B132" s="13" t="s">
        <v>508</v>
      </c>
      <c r="C132" s="37" t="n">
        <v>13387</v>
      </c>
      <c r="D132" s="37" t="n">
        <v>5004</v>
      </c>
      <c r="E132" s="37" t="n">
        <v>10626</v>
      </c>
      <c r="F132" s="61" t="n">
        <v>10626</v>
      </c>
      <c r="G132" s="65" t="n">
        <f aca="false">F132/SA_Units</f>
        <v>52.0882352941176</v>
      </c>
    </row>
    <row r="133" customFormat="false" ht="15" hidden="false" customHeight="true" outlineLevel="0" collapsed="false">
      <c r="B133" s="13" t="s">
        <v>509</v>
      </c>
      <c r="C133" s="37" t="n">
        <v>9900</v>
      </c>
      <c r="D133" s="37" t="n">
        <v>10188</v>
      </c>
      <c r="E133" s="37" t="n">
        <v>7500</v>
      </c>
      <c r="F133" s="61" t="n">
        <v>7500</v>
      </c>
      <c r="G133" s="65" t="n">
        <f aca="false">F133/SA_Units</f>
        <v>36.7647058823529</v>
      </c>
    </row>
    <row r="134" customFormat="false" ht="15" hidden="false" customHeight="true" outlineLevel="0" collapsed="false">
      <c r="B134" s="13" t="s">
        <v>510</v>
      </c>
      <c r="C134" s="37" t="n">
        <v>69035</v>
      </c>
      <c r="D134" s="37" t="n">
        <v>58800</v>
      </c>
      <c r="E134" s="37" t="n">
        <v>64599.94</v>
      </c>
      <c r="F134" s="61" t="n">
        <v>64600</v>
      </c>
      <c r="G134" s="65" t="n">
        <f aca="false">F134/SA_Units</f>
        <v>316.666666666667</v>
      </c>
    </row>
    <row r="135" customFormat="false" ht="15" hidden="false" customHeight="true" outlineLevel="0" collapsed="false">
      <c r="B135" s="13" t="s">
        <v>511</v>
      </c>
      <c r="C135" s="37" t="n">
        <v>40113</v>
      </c>
      <c r="D135" s="37" t="n">
        <v>13393</v>
      </c>
      <c r="E135" s="37" t="n">
        <v>10000</v>
      </c>
      <c r="F135" s="61" t="n">
        <v>10000</v>
      </c>
      <c r="G135" s="65" t="n">
        <f aca="false">F135/SA_Units</f>
        <v>49.0196078431373</v>
      </c>
    </row>
    <row r="136" customFormat="false" ht="15" hidden="false" customHeight="true" outlineLevel="0" collapsed="false">
      <c r="B136" s="19" t="s">
        <v>512</v>
      </c>
      <c r="C136" s="38" t="n">
        <f aca="false">SUM(C126:C135)</f>
        <v>340437</v>
      </c>
      <c r="D136" s="38" t="n">
        <f aca="false">SUM(D126:D135)</f>
        <v>331600</v>
      </c>
      <c r="E136" s="38" t="n">
        <f aca="false">SUM(E126:E135)</f>
        <v>329497.0576</v>
      </c>
      <c r="F136" s="38" t="n">
        <f aca="false">SUM(F126:F135)</f>
        <v>335838.487437888</v>
      </c>
      <c r="G136" s="65" t="n">
        <f aca="false">F136/SA_Units</f>
        <v>1646.26709528377</v>
      </c>
    </row>
    <row r="137" customFormat="false" ht="15" hidden="false" customHeight="true" outlineLevel="0" collapsed="false">
      <c r="B137" s="63" t="s">
        <v>513</v>
      </c>
    </row>
    <row r="138" customFormat="false" ht="15" hidden="false" customHeight="true" outlineLevel="0" collapsed="false">
      <c r="B138" s="13" t="s">
        <v>514</v>
      </c>
      <c r="C138" s="37" t="n">
        <v>236503</v>
      </c>
      <c r="D138" s="37" t="n">
        <v>241274</v>
      </c>
      <c r="E138" s="37" t="n">
        <v>241274</v>
      </c>
      <c r="F138" s="61" t="n">
        <v>241274</v>
      </c>
      <c r="G138" s="65" t="n">
        <f aca="false">F138/SA_Units</f>
        <v>1182.71568627451</v>
      </c>
    </row>
    <row r="139" customFormat="false" ht="15" hidden="false" customHeight="true" outlineLevel="0" collapsed="false">
      <c r="B139" s="13" t="s">
        <v>515</v>
      </c>
      <c r="C139" s="37" t="n">
        <v>583</v>
      </c>
      <c r="D139" s="37" t="n">
        <v>618</v>
      </c>
      <c r="E139" s="37" t="n">
        <v>618</v>
      </c>
      <c r="F139" s="61" t="n">
        <v>618</v>
      </c>
      <c r="G139" s="65" t="n">
        <f aca="false">F139/SA_Units</f>
        <v>3.02941176470588</v>
      </c>
    </row>
    <row r="140" customFormat="false" ht="15" hidden="false" customHeight="true" outlineLevel="0" collapsed="false">
      <c r="B140" s="13" t="s">
        <v>516</v>
      </c>
      <c r="C140" s="37" t="n">
        <v>105025</v>
      </c>
      <c r="D140" s="37" t="n">
        <v>104855</v>
      </c>
      <c r="E140" s="37" t="n">
        <v>104855</v>
      </c>
      <c r="F140" s="61" t="n">
        <v>104855</v>
      </c>
      <c r="G140" s="65" t="n">
        <f aca="false">F140/SA_Units</f>
        <v>513.995098039216</v>
      </c>
    </row>
    <row r="141" customFormat="false" ht="15" hidden="false" customHeight="true" outlineLevel="0" collapsed="false">
      <c r="B141" s="13" t="s">
        <v>517</v>
      </c>
      <c r="C141" s="37" t="n">
        <v>0</v>
      </c>
      <c r="D141" s="37" t="n">
        <v>0</v>
      </c>
      <c r="E141" s="37" t="n">
        <v>0</v>
      </c>
      <c r="F141" s="61" t="n">
        <v>0</v>
      </c>
      <c r="G141" s="65" t="n">
        <f aca="false">F141/SA_Units</f>
        <v>0</v>
      </c>
    </row>
    <row r="142" customFormat="false" ht="15" hidden="false" customHeight="true" outlineLevel="0" collapsed="false">
      <c r="B142" s="19" t="s">
        <v>518</v>
      </c>
      <c r="C142" s="38" t="n">
        <f aca="false">SUM(C138:C141)</f>
        <v>342111</v>
      </c>
      <c r="D142" s="38" t="n">
        <f aca="false">SUM(D138:D141)</f>
        <v>346747</v>
      </c>
      <c r="E142" s="38" t="n">
        <f aca="false">SUM(E138:E141)</f>
        <v>346747</v>
      </c>
      <c r="F142" s="38" t="n">
        <f aca="false">SUM(F138:F141)</f>
        <v>346747</v>
      </c>
      <c r="G142" s="65" t="n">
        <f aca="false">F142/SA_Units</f>
        <v>1699.74019607843</v>
      </c>
    </row>
    <row r="143" customFormat="false" ht="15" hidden="false" customHeight="true" outlineLevel="0" collapsed="false">
      <c r="B143" s="63" t="s">
        <v>519</v>
      </c>
    </row>
    <row r="144" customFormat="false" ht="15" hidden="false" customHeight="true" outlineLevel="0" collapsed="false">
      <c r="B144" s="13" t="s">
        <v>520</v>
      </c>
      <c r="C144" s="37" t="n">
        <v>131590</v>
      </c>
      <c r="D144" s="37" t="n">
        <v>177160</v>
      </c>
      <c r="E144" s="37" t="n">
        <v>133120</v>
      </c>
      <c r="F144" s="61" t="n">
        <v>133120</v>
      </c>
      <c r="G144" s="65" t="n">
        <f aca="false">F144/SA_Units</f>
        <v>652.549019607843</v>
      </c>
    </row>
    <row r="145" customFormat="false" ht="15" hidden="false" customHeight="true" outlineLevel="0" collapsed="false">
      <c r="B145" s="13" t="s">
        <v>521</v>
      </c>
      <c r="C145" s="37" t="n">
        <v>68850</v>
      </c>
      <c r="D145" s="37" t="n">
        <v>54996</v>
      </c>
      <c r="E145" s="37" t="n">
        <v>54996</v>
      </c>
      <c r="F145" s="61" t="n">
        <v>54996</v>
      </c>
      <c r="G145" s="65" t="n">
        <f aca="false">F145/SA_Units</f>
        <v>269.588235294118</v>
      </c>
    </row>
    <row r="146" customFormat="false" ht="15" hidden="false" customHeight="true" outlineLevel="0" collapsed="false">
      <c r="B146" s="13" t="s">
        <v>522</v>
      </c>
      <c r="C146" s="37" t="n">
        <v>243784</v>
      </c>
      <c r="D146" s="37" t="n">
        <v>138796</v>
      </c>
      <c r="E146" s="37" t="n">
        <v>138796</v>
      </c>
      <c r="F146" s="61" t="n">
        <v>138796</v>
      </c>
      <c r="G146" s="65" t="n">
        <f aca="false">F146/SA_Units</f>
        <v>680.372549019608</v>
      </c>
    </row>
    <row r="147" customFormat="false" ht="15" hidden="false" customHeight="true" outlineLevel="0" collapsed="false">
      <c r="B147" s="13" t="s">
        <v>523</v>
      </c>
      <c r="C147" s="37" t="n">
        <v>44132</v>
      </c>
      <c r="D147" s="37" t="n">
        <v>48300</v>
      </c>
      <c r="E147" s="37" t="n">
        <v>48300</v>
      </c>
      <c r="F147" s="61" t="n">
        <v>48300</v>
      </c>
      <c r="G147" s="65" t="n">
        <f aca="false">F147/SA_Units</f>
        <v>236.764705882353</v>
      </c>
    </row>
    <row r="148" customFormat="false" ht="15" hidden="false" customHeight="true" outlineLevel="0" collapsed="false">
      <c r="B148" s="13" t="s">
        <v>524</v>
      </c>
      <c r="C148" s="37" t="n">
        <v>650</v>
      </c>
      <c r="D148" s="37" t="n">
        <v>573</v>
      </c>
      <c r="E148" s="37" t="n">
        <v>30628</v>
      </c>
      <c r="F148" s="61" t="n">
        <v>30628</v>
      </c>
      <c r="G148" s="65" t="n">
        <f aca="false">F148/SA_Units</f>
        <v>150.137254901961</v>
      </c>
    </row>
    <row r="149" customFormat="false" ht="15" hidden="false" customHeight="true" outlineLevel="0" collapsed="false">
      <c r="B149" s="13" t="s">
        <v>525</v>
      </c>
      <c r="C149" s="37" t="n">
        <v>0</v>
      </c>
      <c r="D149" s="37" t="n">
        <v>22500</v>
      </c>
      <c r="E149" s="37" t="n">
        <v>10000</v>
      </c>
      <c r="F149" s="61" t="n">
        <v>10000</v>
      </c>
      <c r="G149" s="65" t="n">
        <f aca="false">F149/SA_Units</f>
        <v>49.0196078431373</v>
      </c>
    </row>
    <row r="150" customFormat="false" ht="15" hidden="false" customHeight="true" outlineLevel="0" collapsed="false">
      <c r="B150" s="13" t="s">
        <v>526</v>
      </c>
      <c r="C150" s="37" t="n">
        <v>0</v>
      </c>
      <c r="D150" s="37" t="n">
        <v>600</v>
      </c>
      <c r="E150" s="37" t="n">
        <v>0</v>
      </c>
      <c r="F150" s="61" t="n">
        <v>0</v>
      </c>
      <c r="G150" s="65" t="n">
        <f aca="false">F150/SA_Units</f>
        <v>0</v>
      </c>
    </row>
    <row r="151" customFormat="false" ht="15" hidden="false" customHeight="true" outlineLevel="0" collapsed="false">
      <c r="B151" s="19" t="s">
        <v>527</v>
      </c>
      <c r="C151" s="38" t="n">
        <f aca="false">SUM(C144:C150)</f>
        <v>489006</v>
      </c>
      <c r="D151" s="38" t="n">
        <f aca="false">SUM(D144:D150)</f>
        <v>442925</v>
      </c>
      <c r="E151" s="38" t="n">
        <f aca="false">SUM(E144:E150)</f>
        <v>415840</v>
      </c>
      <c r="F151" s="38" t="n">
        <f aca="false">SUM(F144:F150)</f>
        <v>415840</v>
      </c>
      <c r="G151" s="65" t="n">
        <f aca="false">F151/SA_Units</f>
        <v>2038.43137254902</v>
      </c>
    </row>
    <row r="152" customFormat="false" ht="15" hidden="false" customHeight="true" outlineLevel="0" collapsed="false">
      <c r="B152" s="63" t="s">
        <v>528</v>
      </c>
    </row>
    <row r="153" customFormat="false" ht="15" hidden="false" customHeight="true" outlineLevel="0" collapsed="false">
      <c r="B153" s="13" t="s">
        <v>529</v>
      </c>
      <c r="C153" s="37" t="n">
        <v>46421</v>
      </c>
      <c r="D153" s="37" t="n">
        <v>47004</v>
      </c>
      <c r="E153" s="37" t="n">
        <v>46421.25</v>
      </c>
      <c r="F153" s="61" t="n">
        <v>46421</v>
      </c>
      <c r="G153" s="65" t="n">
        <f aca="false">F153/SA_Units</f>
        <v>227.553921568627</v>
      </c>
    </row>
    <row r="154" customFormat="false" ht="15" hidden="false" customHeight="true" outlineLevel="0" collapsed="false">
      <c r="B154" s="13" t="s">
        <v>530</v>
      </c>
      <c r="C154" s="37" t="n">
        <v>20750</v>
      </c>
      <c r="D154" s="37" t="n">
        <v>27605</v>
      </c>
      <c r="E154" s="37" t="n">
        <v>19911.361248</v>
      </c>
      <c r="F154" s="61" t="n">
        <v>19911</v>
      </c>
      <c r="G154" s="65" t="n">
        <f aca="false">F154/SA_Units</f>
        <v>97.6029411764706</v>
      </c>
    </row>
    <row r="155" customFormat="false" ht="15" hidden="false" customHeight="true" outlineLevel="0" collapsed="false">
      <c r="B155" s="13" t="s">
        <v>487</v>
      </c>
      <c r="C155" s="37" t="n">
        <v>271131</v>
      </c>
      <c r="D155" s="37" t="n">
        <v>272022</v>
      </c>
      <c r="E155" s="37" t="n">
        <v>231221</v>
      </c>
      <c r="F155" s="61" t="n">
        <v>272022</v>
      </c>
      <c r="G155" s="65" t="n">
        <f aca="false">F155/SA_Units</f>
        <v>1333.44117647059</v>
      </c>
    </row>
    <row r="156" customFormat="false" ht="15" hidden="false" customHeight="true" outlineLevel="0" collapsed="false">
      <c r="B156" s="13" t="s">
        <v>531</v>
      </c>
      <c r="C156" s="37" t="n">
        <v>5073</v>
      </c>
      <c r="D156" s="37" t="n">
        <v>4576</v>
      </c>
      <c r="E156" s="37" t="n">
        <v>7808.37696</v>
      </c>
      <c r="F156" s="61" t="n">
        <v>7808</v>
      </c>
      <c r="G156" s="65" t="n">
        <f aca="false">F156/SA_Units</f>
        <v>38.2745098039216</v>
      </c>
    </row>
    <row r="157" customFormat="false" ht="15" hidden="false" customHeight="true" outlineLevel="0" collapsed="false">
      <c r="B157" s="13" t="s">
        <v>532</v>
      </c>
      <c r="C157" s="37" t="n">
        <v>10811</v>
      </c>
      <c r="D157" s="37" t="n">
        <v>10118</v>
      </c>
      <c r="E157" s="37" t="n">
        <v>26027.9232</v>
      </c>
      <c r="F157" s="61" t="n">
        <v>26028</v>
      </c>
      <c r="G157" s="65" t="n">
        <f aca="false">F157/SA_Units</f>
        <v>127.588235294118</v>
      </c>
    </row>
    <row r="158" customFormat="false" ht="15" hidden="false" customHeight="true" outlineLevel="0" collapsed="false">
      <c r="B158" s="13" t="s">
        <v>533</v>
      </c>
      <c r="C158" s="37" t="n">
        <v>329</v>
      </c>
      <c r="D158" s="37" t="n">
        <v>0</v>
      </c>
      <c r="E158" s="37" t="n">
        <v>0</v>
      </c>
      <c r="F158" s="61" t="n">
        <v>0</v>
      </c>
      <c r="G158" s="65" t="n">
        <f aca="false">F158/SA_Units</f>
        <v>0</v>
      </c>
    </row>
    <row r="159" customFormat="false" ht="15" hidden="false" customHeight="true" outlineLevel="0" collapsed="false">
      <c r="B159" s="19" t="s">
        <v>534</v>
      </c>
      <c r="C159" s="38" t="n">
        <f aca="false">SUM(C153:C158)</f>
        <v>354515</v>
      </c>
      <c r="D159" s="38" t="n">
        <f aca="false">SUM(D153:D158)</f>
        <v>361325</v>
      </c>
      <c r="E159" s="38" t="n">
        <f aca="false">SUM(E153:E158)</f>
        <v>331389.911408</v>
      </c>
      <c r="F159" s="38" t="n">
        <f aca="false">SUM(F153:F158)</f>
        <v>372190</v>
      </c>
      <c r="G159" s="65" t="n">
        <f aca="false">F159/SA_Units</f>
        <v>1824.46078431373</v>
      </c>
    </row>
    <row r="160" customFormat="false" ht="15" hidden="false" customHeight="true" outlineLevel="0" collapsed="false">
      <c r="B160" s="19" t="s">
        <v>535</v>
      </c>
      <c r="C160" s="21" t="n">
        <f aca="false">C136+C142+C151+C159</f>
        <v>1526069</v>
      </c>
      <c r="D160" s="21" t="n">
        <f aca="false">D136+D142+D151+D159</f>
        <v>1482597</v>
      </c>
      <c r="E160" s="21" t="n">
        <f aca="false">E136+E142+E151+E159</f>
        <v>1423473.969008</v>
      </c>
      <c r="F160" s="21" t="n">
        <f aca="false">F136+F142+F151+F159</f>
        <v>1470615.48743789</v>
      </c>
      <c r="G160" s="65" t="n">
        <f aca="false">F160/SA_Units</f>
        <v>7208.89944822494</v>
      </c>
    </row>
    <row r="161" customFormat="false" ht="15" hidden="false" customHeight="true" outlineLevel="0" collapsed="false">
      <c r="B161" s="13" t="s">
        <v>490</v>
      </c>
      <c r="C161" s="37" t="n">
        <v>70312</v>
      </c>
      <c r="D161" s="37" t="n">
        <v>70312</v>
      </c>
      <c r="E161" s="37" t="n">
        <v>61200</v>
      </c>
      <c r="F161" s="37" t="n">
        <f aca="false">MAX(ReserveFloorFamily*SA_Units,61200)</f>
        <v>71400</v>
      </c>
      <c r="G161" s="65" t="n">
        <f aca="false">F161/SA_Units</f>
        <v>350</v>
      </c>
    </row>
    <row r="162" customFormat="false" ht="15" hidden="false" customHeight="true" outlineLevel="0" collapsed="false">
      <c r="B162" s="36" t="s">
        <v>536</v>
      </c>
      <c r="C162" s="47" t="str">
        <f aca="false">IF(G160&gt;=OpexMinPU,"PASS","FAIL")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2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.43"/>
    <col collapsed="false" customWidth="true" hidden="false" outlineLevel="0" max="2" min="2" style="1" width="38"/>
    <col collapsed="false" customWidth="true" hidden="false" outlineLevel="0" max="7" min="3" style="1" width="14.9"/>
    <col collapsed="false" customWidth="true" hidden="false" outlineLevel="0" max="8" min="8" style="1" width="2"/>
  </cols>
  <sheetData>
    <row r="1" customFormat="false" ht="17.25" hidden="false" customHeight="true" outlineLevel="0" collapsed="false">
      <c r="A1" s="11" t="s">
        <v>540</v>
      </c>
    </row>
    <row r="2" customFormat="false" ht="15" hidden="false" customHeight="true" outlineLevel="0" collapsed="false">
      <c r="B2" s="47" t="s">
        <v>541</v>
      </c>
    </row>
    <row r="3" customFormat="false" ht="15" hidden="false" customHeight="true" outlineLevel="0" collapsed="false">
      <c r="B3" s="3" t="s">
        <v>542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</row>
    <row r="4" customFormat="false" ht="15" hidden="false" customHeight="true" outlineLevel="0" collapsed="false">
      <c r="B4" s="13" t="s">
        <v>543</v>
      </c>
      <c r="C4" s="67" t="n">
        <v>20000</v>
      </c>
      <c r="D4" s="67" t="n">
        <v>20000</v>
      </c>
      <c r="E4" s="67" t="n">
        <v>20000</v>
      </c>
      <c r="F4" s="67" t="n">
        <v>20000</v>
      </c>
    </row>
    <row r="5" customFormat="false" ht="15" hidden="false" customHeight="true" outlineLevel="0" collapsed="false">
      <c r="B5" s="13" t="s">
        <v>544</v>
      </c>
      <c r="C5" s="67" t="n">
        <v>6000</v>
      </c>
      <c r="D5" s="67" t="n">
        <v>6000</v>
      </c>
      <c r="E5" s="67" t="n">
        <v>6000</v>
      </c>
      <c r="F5" s="67" t="n">
        <v>6000</v>
      </c>
    </row>
    <row r="6" customFormat="false" ht="15" hidden="false" customHeight="true" outlineLevel="0" collapsed="false">
      <c r="B6" s="13" t="s">
        <v>545</v>
      </c>
      <c r="C6" s="67" t="n">
        <v>6000</v>
      </c>
      <c r="D6" s="67" t="n">
        <v>6000</v>
      </c>
      <c r="E6" s="67" t="n">
        <v>6000</v>
      </c>
      <c r="F6" s="67" t="n">
        <v>6000</v>
      </c>
    </row>
    <row r="7" customFormat="false" ht="15" hidden="false" customHeight="true" outlineLevel="0" collapsed="false">
      <c r="B7" s="13" t="s">
        <v>546</v>
      </c>
      <c r="C7" s="67" t="n">
        <v>4000</v>
      </c>
      <c r="D7" s="67" t="n">
        <v>4000</v>
      </c>
      <c r="E7" s="67" t="n">
        <v>4000</v>
      </c>
      <c r="F7" s="67" t="n">
        <v>4000</v>
      </c>
    </row>
    <row r="8" customFormat="false" ht="15" hidden="false" customHeight="true" outlineLevel="0" collapsed="false">
      <c r="B8" s="13" t="s">
        <v>547</v>
      </c>
      <c r="C8" s="67" t="n">
        <v>4000</v>
      </c>
      <c r="D8" s="67" t="n">
        <v>4000</v>
      </c>
      <c r="E8" s="67" t="n">
        <v>4000</v>
      </c>
      <c r="F8" s="67" t="n">
        <v>4000</v>
      </c>
    </row>
    <row r="9" customFormat="false" ht="15" hidden="false" customHeight="true" outlineLevel="0" collapsed="false">
      <c r="B9" s="19" t="s">
        <v>548</v>
      </c>
      <c r="C9" s="21" t="n">
        <f aca="false">SUM(C4:C8)</f>
        <v>40000</v>
      </c>
      <c r="D9" s="21" t="n">
        <f aca="false">SUM(D4:D8)</f>
        <v>40000</v>
      </c>
      <c r="E9" s="21" t="n">
        <f aca="false">SUM(E4:E8)</f>
        <v>40000</v>
      </c>
      <c r="F9" s="21" t="n">
        <f aca="false">SUM(F4:F8)</f>
        <v>40000</v>
      </c>
    </row>
    <row r="10" customFormat="false" ht="15" hidden="false" customHeight="true" outlineLevel="0" collapsed="false">
      <c r="B10" s="36" t="s">
        <v>549</v>
      </c>
      <c r="C10" s="68" t="str">
        <f aca="false">IF(C9=RehabPerUnit,"OK","MISMATCH")</f>
        <v>OK</v>
      </c>
      <c r="D10" s="68" t="str">
        <f aca="false">IF(D9=RehabPerUnit,"OK","MISMATCH")</f>
        <v>OK</v>
      </c>
      <c r="E10" s="68" t="str">
        <f aca="false">IF(E9=RehabPerUnit,"OK","MISMATCH")</f>
        <v>OK</v>
      </c>
      <c r="F10" s="68" t="str">
        <f aca="false">IF(F9=RehabPerUnit,"OK","MISMATCH")</f>
        <v>OK</v>
      </c>
    </row>
    <row r="11" customFormat="false" ht="15" hidden="false" customHeight="true" outlineLevel="0" collapsed="false">
      <c r="B11" s="13" t="s">
        <v>550</v>
      </c>
      <c r="C11" s="37" t="n">
        <f aca="false">C9*ContingencyPct</f>
        <v>4000</v>
      </c>
      <c r="D11" s="37" t="n">
        <f aca="false">D9*ContingencyPct</f>
        <v>4000</v>
      </c>
      <c r="E11" s="37" t="n">
        <f aca="false">E9*ContingencyPct</f>
        <v>4000</v>
      </c>
      <c r="F11" s="37" t="n">
        <f aca="false">F9*ContingencyPct</f>
        <v>4000</v>
      </c>
    </row>
    <row r="12" customFormat="false" ht="15" hidden="false" customHeight="true" outlineLevel="0" collapsed="false">
      <c r="B12" s="13" t="s">
        <v>551</v>
      </c>
      <c r="C12" s="37" t="n">
        <f aca="false">C9*(GenReqPct+BuilderOHPct+BuilderProfitPct)</f>
        <v>5600</v>
      </c>
      <c r="D12" s="37" t="n">
        <f aca="false">D9*(GenReqPct+BuilderOHPct+BuilderProfitPct)</f>
        <v>5600</v>
      </c>
      <c r="E12" s="37" t="n">
        <f aca="false">E9*(GenReqPct+BuilderOHPct+BuilderProfitPct)</f>
        <v>5600</v>
      </c>
      <c r="F12" s="37" t="n">
        <f aca="false">F9*(GenReqPct+BuilderOHPct+BuilderProfitPct)</f>
        <v>5600</v>
      </c>
    </row>
    <row r="13" customFormat="false" ht="15" hidden="false" customHeight="true" outlineLevel="0" collapsed="false">
      <c r="B13" s="19" t="s">
        <v>552</v>
      </c>
      <c r="C13" s="21" t="n">
        <f aca="false">C9+C11+C12</f>
        <v>49600</v>
      </c>
      <c r="D13" s="21" t="n">
        <f aca="false">D9+D11+D12</f>
        <v>49600</v>
      </c>
      <c r="E13" s="21" t="n">
        <f aca="false">E9+E11+E12</f>
        <v>49600</v>
      </c>
      <c r="F13" s="21" t="n">
        <f aca="false">F9+F11+F12</f>
        <v>49600</v>
      </c>
    </row>
    <row r="14" customFormat="false" ht="15" hidden="false" customHeight="true" outlineLevel="0" collapsed="false">
      <c r="B14" s="19" t="s">
        <v>553</v>
      </c>
      <c r="C14" s="21" t="n">
        <f aca="false">C13*CH_Units</f>
        <v>4166400</v>
      </c>
      <c r="D14" s="21" t="n">
        <f aca="false">D13*NZ_Units</f>
        <v>4960000</v>
      </c>
      <c r="E14" s="21" t="n">
        <f aca="false">E13*LOM_Units</f>
        <v>5902400</v>
      </c>
      <c r="F14" s="21" t="n">
        <f aca="false">F13*SA_Units</f>
        <v>10118400</v>
      </c>
      <c r="G14" s="21" t="n">
        <f aca="false">SUM(C14:F14)</f>
        <v>25147200</v>
      </c>
    </row>
    <row r="15" customFormat="false" ht="15" hidden="false" customHeight="true" outlineLevel="0" collapsed="false">
      <c r="B15" s="69" t="s">
        <v>554</v>
      </c>
      <c r="C15" s="70" t="n">
        <f aca="false">C14/CH_NRSF</f>
        <v>56.4430475777609</v>
      </c>
      <c r="D15" s="70" t="n">
        <f aca="false">D14/NZ_NRSF</f>
        <v>69.6511823849913</v>
      </c>
      <c r="E15" s="70" t="n">
        <f aca="false">E14/LOM_NRSF</f>
        <v>57.8077254563974</v>
      </c>
      <c r="F15" s="70" t="n">
        <f aca="false">F14/SA_NRSF</f>
        <v>52.7186711960486</v>
      </c>
    </row>
    <row r="17" customFormat="false" ht="15" hidden="false" customHeight="true" outlineLevel="0" collapsed="false">
      <c r="B17" s="63" t="s">
        <v>555</v>
      </c>
    </row>
    <row r="18" customFormat="false" ht="15" hidden="false" customHeight="true" outlineLevel="0" collapsed="false">
      <c r="B18" s="13" t="s">
        <v>556</v>
      </c>
      <c r="C18" s="56" t="str">
        <f aca="false">IF(C9&gt;=MinRehabIRC,"PASS","FAIL")</f>
        <v>PASS</v>
      </c>
      <c r="D18" s="56" t="str">
        <f aca="false">IF(D9&gt;=MinRehabIRC,"PASS","FAIL")</f>
        <v>PASS</v>
      </c>
      <c r="E18" s="56" t="str">
        <f aca="false">IF(E9&gt;=MinRehabIRC,"PASS","FAIL")</f>
        <v>PASS</v>
      </c>
      <c r="F18" s="56" t="str">
        <f aca="false">IF(F9&gt;=MinRehabIRC,"PASS","FAIL")</f>
        <v>PASS</v>
      </c>
    </row>
    <row r="19" customFormat="false" ht="15" hidden="false" customHeight="true" outlineLevel="0" collapsed="false">
      <c r="B19" s="13" t="s">
        <v>557</v>
      </c>
      <c r="C19" s="56" t="str">
        <f aca="false">IF(MinRehabQAP="","PENDING",IF(C9&gt;=MinRehabQAP,"PASS","FAIL"))</f>
        <v>PENDING</v>
      </c>
      <c r="D19" s="56" t="str">
        <f aca="false">IF(MinRehabQAP="","PENDING",IF(D9&gt;=MinRehabQAP,"PASS","FAIL"))</f>
        <v>PENDING</v>
      </c>
      <c r="E19" s="56" t="str">
        <f aca="false">IF(MinRehabQAP="","PENDING",IF(E9&gt;=MinRehabQAP,"PASS","FAIL"))</f>
        <v>PENDING</v>
      </c>
      <c r="F19" s="56" t="str">
        <f aca="false">IF(MinRehabQAP="","PENDING",IF(F9&gt;=MinRehabQAP,"PASS","FAIL"))</f>
        <v>PENDING</v>
      </c>
    </row>
    <row r="21" customFormat="false" ht="15" hidden="false" customHeight="true" outlineLevel="0" collapsed="false">
      <c r="B21" s="63" t="s">
        <v>558</v>
      </c>
    </row>
    <row r="22" customFormat="false" ht="15" hidden="false" customHeight="true" outlineLevel="0" collapsed="false">
      <c r="B22" s="3" t="s">
        <v>559</v>
      </c>
      <c r="C22" s="3" t="s">
        <v>20</v>
      </c>
      <c r="D22" s="3" t="s">
        <v>21</v>
      </c>
      <c r="E22" s="3" t="s">
        <v>22</v>
      </c>
      <c r="F22" s="3" t="s">
        <v>23</v>
      </c>
      <c r="G22" s="3" t="s">
        <v>24</v>
      </c>
    </row>
    <row r="23" customFormat="false" ht="15" hidden="false" customHeight="true" outlineLevel="0" collapsed="false">
      <c r="B23" s="13" t="s">
        <v>560</v>
      </c>
      <c r="C23" s="35" t="s">
        <v>561</v>
      </c>
      <c r="D23" s="35" t="s">
        <v>561</v>
      </c>
      <c r="E23" s="35" t="s">
        <v>561</v>
      </c>
      <c r="F23" s="35" t="s">
        <v>561</v>
      </c>
    </row>
    <row r="24" customFormat="false" ht="15" hidden="false" customHeight="true" outlineLevel="0" collapsed="false">
      <c r="B24" s="13" t="s">
        <v>562</v>
      </c>
      <c r="C24" s="18" t="n">
        <f aca="false">ROUNDUP(CH_Units/CH_RehabMonths,0)</f>
        <v>7</v>
      </c>
      <c r="D24" s="18" t="n">
        <f aca="false">ROUNDUP(NZ_Units/NZ_RehabMonths,0)</f>
        <v>9</v>
      </c>
      <c r="E24" s="18" t="n">
        <f aca="false">ROUNDUP(LOM_Units/LOM_RehabMonths,0)</f>
        <v>8</v>
      </c>
      <c r="F24" s="18" t="n">
        <f aca="false">ROUNDUP(SA_Units/SA_RehabMonths,0)</f>
        <v>12</v>
      </c>
    </row>
    <row r="25" customFormat="false" ht="15" hidden="false" customHeight="true" outlineLevel="0" collapsed="false">
      <c r="B25" s="13" t="s">
        <v>563</v>
      </c>
      <c r="C25" s="71" t="n">
        <v>0.5</v>
      </c>
      <c r="D25" s="71" t="n">
        <v>0.5</v>
      </c>
      <c r="E25" s="71" t="n">
        <v>0.5</v>
      </c>
      <c r="F25" s="71" t="n">
        <v>0.5</v>
      </c>
    </row>
    <row r="26" customFormat="false" ht="15" hidden="false" customHeight="true" outlineLevel="0" collapsed="false">
      <c r="B26" s="13" t="s">
        <v>564</v>
      </c>
      <c r="C26" s="67" t="n">
        <v>800</v>
      </c>
      <c r="D26" s="67" t="n">
        <v>800</v>
      </c>
      <c r="E26" s="67" t="n">
        <v>800</v>
      </c>
      <c r="F26" s="67" t="n">
        <v>800</v>
      </c>
    </row>
    <row r="27" customFormat="false" ht="15" hidden="false" customHeight="true" outlineLevel="0" collapsed="false">
      <c r="B27" s="13" t="s">
        <v>565</v>
      </c>
      <c r="C27" s="67" t="n">
        <v>400</v>
      </c>
      <c r="D27" s="67" t="n">
        <v>400</v>
      </c>
      <c r="E27" s="67" t="n">
        <v>400</v>
      </c>
      <c r="F27" s="67" t="n">
        <v>400</v>
      </c>
    </row>
    <row r="28" customFormat="false" ht="15" hidden="false" customHeight="true" outlineLevel="0" collapsed="false">
      <c r="B28" s="13" t="s">
        <v>566</v>
      </c>
      <c r="C28" s="67" t="n">
        <v>400</v>
      </c>
      <c r="D28" s="67" t="n">
        <v>400</v>
      </c>
      <c r="E28" s="67" t="n">
        <v>400</v>
      </c>
      <c r="F28" s="67" t="n">
        <v>400</v>
      </c>
    </row>
    <row r="29" customFormat="false" ht="15" hidden="false" customHeight="true" outlineLevel="0" collapsed="false">
      <c r="B29" s="13" t="s">
        <v>567</v>
      </c>
      <c r="C29" s="67" t="n">
        <v>300</v>
      </c>
      <c r="D29" s="67" t="n">
        <v>300</v>
      </c>
      <c r="E29" s="67" t="n">
        <v>300</v>
      </c>
      <c r="F29" s="67" t="n">
        <v>300</v>
      </c>
    </row>
    <row r="30" customFormat="false" ht="15" hidden="false" customHeight="true" outlineLevel="0" collapsed="false">
      <c r="B30" s="13" t="s">
        <v>568</v>
      </c>
      <c r="C30" s="67" t="n">
        <v>200</v>
      </c>
      <c r="D30" s="67" t="n">
        <v>200</v>
      </c>
      <c r="E30" s="67" t="n">
        <v>200</v>
      </c>
      <c r="F30" s="67" t="n">
        <v>200</v>
      </c>
    </row>
    <row r="31" customFormat="false" ht="15" hidden="false" customHeight="true" outlineLevel="0" collapsed="false">
      <c r="B31" s="13" t="s">
        <v>569</v>
      </c>
      <c r="C31" s="67" t="n">
        <v>400</v>
      </c>
      <c r="D31" s="67" t="n">
        <v>400</v>
      </c>
      <c r="E31" s="67" t="n">
        <v>400</v>
      </c>
      <c r="F31" s="67" t="n">
        <v>400</v>
      </c>
    </row>
    <row r="32" customFormat="false" ht="15" hidden="false" customHeight="true" outlineLevel="0" collapsed="false">
      <c r="B32" s="19" t="s">
        <v>570</v>
      </c>
      <c r="C32" s="21" t="n">
        <f aca="false">SUM(C26:C31)</f>
        <v>2500</v>
      </c>
      <c r="D32" s="21" t="n">
        <f aca="false">SUM(D26:D31)</f>
        <v>2500</v>
      </c>
      <c r="E32" s="21" t="n">
        <f aca="false">SUM(E26:E31)</f>
        <v>2500</v>
      </c>
      <c r="F32" s="21" t="n">
        <f aca="false">SUM(F26:F31)</f>
        <v>2500</v>
      </c>
    </row>
    <row r="33" customFormat="false" ht="15" hidden="false" customHeight="true" outlineLevel="0" collapsed="false">
      <c r="B33" s="36" t="s">
        <v>571</v>
      </c>
      <c r="C33" s="68" t="str">
        <f aca="false">IF(C32=RelocPerUnit,"OK","MISMATCH")</f>
        <v>OK</v>
      </c>
      <c r="D33" s="68" t="str">
        <f aca="false">IF(D32=RelocPerUnit,"OK","MISMATCH")</f>
        <v>OK</v>
      </c>
      <c r="E33" s="68" t="str">
        <f aca="false">IF(E32=RelocPerUnit,"OK","MISMATCH")</f>
        <v>OK</v>
      </c>
      <c r="F33" s="68" t="str">
        <f aca="false">IF(F32=RelocPerUnit,"OK","MISMATCH")</f>
        <v>OK</v>
      </c>
    </row>
    <row r="34" customFormat="false" ht="15" hidden="false" customHeight="true" outlineLevel="0" collapsed="false">
      <c r="B34" s="19" t="s">
        <v>572</v>
      </c>
      <c r="C34" s="21" t="n">
        <f aca="false">C32*CH_Units</f>
        <v>210000</v>
      </c>
      <c r="D34" s="21" t="n">
        <f aca="false">D32*NZ_Units</f>
        <v>250000</v>
      </c>
      <c r="E34" s="21" t="n">
        <f aca="false">E32*LOM_Units</f>
        <v>297500</v>
      </c>
      <c r="F34" s="21" t="n">
        <f aca="false">F32*SA_Units</f>
        <v>510000</v>
      </c>
      <c r="G34" s="21" t="n">
        <f aca="false">SUM(C34:F34)</f>
        <v>1267500</v>
      </c>
    </row>
    <row r="35" customFormat="false" ht="15" hidden="false" customHeight="true" outlineLevel="0" collapsed="false">
      <c r="B35" s="47" t="s">
        <v>573</v>
      </c>
    </row>
    <row r="37" customFormat="false" ht="15" hidden="false" customHeight="true" outlineLevel="0" collapsed="false">
      <c r="B37" s="63" t="s">
        <v>574</v>
      </c>
    </row>
    <row r="38" customFormat="false" ht="15" hidden="false" customHeight="true" outlineLevel="0" collapsed="false">
      <c r="B38" s="13" t="s">
        <v>575</v>
      </c>
      <c r="C38" s="72" t="n">
        <f aca="false">C24*C25</f>
        <v>3.5</v>
      </c>
      <c r="D38" s="72" t="n">
        <f aca="false">D24*D25</f>
        <v>4.5</v>
      </c>
      <c r="E38" s="72" t="n">
        <f aca="false">E24*E25</f>
        <v>4</v>
      </c>
      <c r="F38" s="72" t="n">
        <f aca="false">F24*F25</f>
        <v>6</v>
      </c>
    </row>
    <row r="39" customFormat="false" ht="15" hidden="false" customHeight="true" outlineLevel="0" collapsed="false">
      <c r="B39" s="13" t="s">
        <v>576</v>
      </c>
      <c r="C39" s="73" t="n">
        <f aca="false">C38/CH_Units</f>
        <v>0.0416666666666667</v>
      </c>
      <c r="D39" s="73" t="n">
        <f aca="false">D38/NZ_Units</f>
        <v>0.045</v>
      </c>
      <c r="E39" s="73" t="n">
        <f aca="false">E38/LOM_Units</f>
        <v>0.0336134453781513</v>
      </c>
      <c r="F39" s="73" t="n">
        <f aca="false">F38/SA_Units</f>
        <v>0.0294117647058824</v>
      </c>
    </row>
    <row r="41" customFormat="false" ht="15" hidden="false" customHeight="true" outlineLevel="0" collapsed="false">
      <c r="B41" s="63" t="s">
        <v>577</v>
      </c>
    </row>
    <row r="42" customFormat="false" ht="15" hidden="false" customHeight="true" outlineLevel="0" collapsed="false">
      <c r="B42" s="3" t="s">
        <v>578</v>
      </c>
      <c r="C42" s="3" t="s">
        <v>20</v>
      </c>
      <c r="D42" s="3" t="s">
        <v>21</v>
      </c>
      <c r="E42" s="3" t="s">
        <v>22</v>
      </c>
      <c r="F42" s="3" t="s">
        <v>23</v>
      </c>
      <c r="G42" s="3"/>
    </row>
    <row r="43" customFormat="false" ht="15" hidden="false" customHeight="true" outlineLevel="0" collapsed="false">
      <c r="B43" s="24" t="n">
        <v>1</v>
      </c>
      <c r="C43" s="74" t="n">
        <v>0.017</v>
      </c>
      <c r="D43" s="74" t="n">
        <v>0.017</v>
      </c>
      <c r="E43" s="74" t="n">
        <v>0.0109</v>
      </c>
      <c r="F43" s="74" t="n">
        <v>0.0076</v>
      </c>
    </row>
    <row r="44" customFormat="false" ht="15" hidden="false" customHeight="true" outlineLevel="0" collapsed="false">
      <c r="B44" s="24" t="n">
        <v>2</v>
      </c>
      <c r="C44" s="74" t="n">
        <v>0.05</v>
      </c>
      <c r="D44" s="74" t="n">
        <v>0.05</v>
      </c>
      <c r="E44" s="74" t="n">
        <v>0.0323</v>
      </c>
      <c r="F44" s="74" t="n">
        <v>0.0226</v>
      </c>
    </row>
    <row r="45" customFormat="false" ht="15" hidden="false" customHeight="true" outlineLevel="0" collapsed="false">
      <c r="B45" s="24" t="n">
        <v>3</v>
      </c>
      <c r="C45" s="74" t="n">
        <v>0.0795</v>
      </c>
      <c r="D45" s="74" t="n">
        <v>0.0795</v>
      </c>
      <c r="E45" s="74" t="n">
        <v>0.0523</v>
      </c>
      <c r="F45" s="74" t="n">
        <v>0.0368</v>
      </c>
    </row>
    <row r="46" customFormat="false" ht="15" hidden="false" customHeight="true" outlineLevel="0" collapsed="false">
      <c r="B46" s="24" t="n">
        <v>4</v>
      </c>
      <c r="C46" s="74" t="n">
        <v>0.1036</v>
      </c>
      <c r="D46" s="74" t="n">
        <v>0.1036</v>
      </c>
      <c r="E46" s="74" t="n">
        <v>0.0699</v>
      </c>
      <c r="F46" s="74" t="n">
        <v>0.05</v>
      </c>
    </row>
    <row r="47" customFormat="false" ht="15" hidden="false" customHeight="true" outlineLevel="0" collapsed="false">
      <c r="B47" s="24" t="n">
        <v>5</v>
      </c>
      <c r="C47" s="74" t="n">
        <v>0.1206</v>
      </c>
      <c r="D47" s="74" t="n">
        <v>0.1206</v>
      </c>
      <c r="E47" s="74" t="n">
        <v>0.0846</v>
      </c>
      <c r="F47" s="74" t="n">
        <v>0.0616</v>
      </c>
    </row>
    <row r="48" customFormat="false" ht="15" hidden="false" customHeight="true" outlineLevel="0" collapsed="false">
      <c r="B48" s="24" t="n">
        <v>6</v>
      </c>
      <c r="C48" s="74" t="n">
        <v>0.1294</v>
      </c>
      <c r="D48" s="74" t="n">
        <v>0.1294</v>
      </c>
      <c r="E48" s="74" t="n">
        <v>0.0955</v>
      </c>
      <c r="F48" s="74" t="n">
        <v>0.0714</v>
      </c>
    </row>
    <row r="49" customFormat="false" ht="15" hidden="false" customHeight="true" outlineLevel="0" collapsed="false">
      <c r="B49" s="24" t="n">
        <v>7</v>
      </c>
      <c r="C49" s="74" t="n">
        <v>0.1294</v>
      </c>
      <c r="D49" s="74" t="n">
        <v>0.1294</v>
      </c>
      <c r="E49" s="74" t="n">
        <v>0.1022</v>
      </c>
      <c r="F49" s="74" t="n">
        <v>0.079</v>
      </c>
    </row>
    <row r="50" customFormat="false" ht="15" hidden="false" customHeight="true" outlineLevel="0" collapsed="false">
      <c r="B50" s="24" t="n">
        <v>8</v>
      </c>
      <c r="C50" s="74" t="n">
        <v>0.1206</v>
      </c>
      <c r="D50" s="74" t="n">
        <v>0.1206</v>
      </c>
      <c r="E50" s="74" t="n">
        <v>0.1045</v>
      </c>
      <c r="F50" s="74" t="n">
        <v>0.0842</v>
      </c>
    </row>
    <row r="51" customFormat="false" ht="15" hidden="false" customHeight="true" outlineLevel="0" collapsed="false">
      <c r="B51" s="24" t="n">
        <v>9</v>
      </c>
      <c r="C51" s="74" t="n">
        <v>0.1036</v>
      </c>
      <c r="D51" s="74" t="n">
        <v>0.1036</v>
      </c>
      <c r="E51" s="74" t="n">
        <v>0.1022</v>
      </c>
      <c r="F51" s="74" t="n">
        <v>0.0868</v>
      </c>
    </row>
    <row r="52" customFormat="false" ht="15" hidden="false" customHeight="true" outlineLevel="0" collapsed="false">
      <c r="B52" s="24" t="n">
        <v>10</v>
      </c>
      <c r="C52" s="74" t="n">
        <v>0.0795</v>
      </c>
      <c r="D52" s="74" t="n">
        <v>0.0795</v>
      </c>
      <c r="E52" s="74" t="n">
        <v>0.0955</v>
      </c>
      <c r="F52" s="74" t="n">
        <v>0.0868</v>
      </c>
    </row>
    <row r="53" customFormat="false" ht="15" hidden="false" customHeight="true" outlineLevel="0" collapsed="false">
      <c r="B53" s="24" t="n">
        <v>11</v>
      </c>
      <c r="C53" s="74" t="n">
        <v>0.05</v>
      </c>
      <c r="D53" s="74" t="n">
        <v>0.05</v>
      </c>
      <c r="E53" s="74" t="n">
        <v>0.0846</v>
      </c>
      <c r="F53" s="74" t="n">
        <v>0.0842</v>
      </c>
    </row>
    <row r="54" customFormat="false" ht="15" hidden="false" customHeight="true" outlineLevel="0" collapsed="false">
      <c r="B54" s="24" t="n">
        <v>12</v>
      </c>
      <c r="C54" s="74" t="n">
        <v>0.0168</v>
      </c>
      <c r="D54" s="74" t="n">
        <v>0.0168</v>
      </c>
      <c r="E54" s="74" t="n">
        <v>0.0699</v>
      </c>
      <c r="F54" s="74" t="n">
        <v>0.079</v>
      </c>
    </row>
    <row r="55" customFormat="false" ht="15" hidden="false" customHeight="true" outlineLevel="0" collapsed="false">
      <c r="B55" s="24" t="n">
        <v>13</v>
      </c>
      <c r="C55" s="74" t="n">
        <v>0</v>
      </c>
      <c r="D55" s="74" t="n">
        <v>0</v>
      </c>
      <c r="E55" s="74" t="n">
        <v>0.0523</v>
      </c>
      <c r="F55" s="74" t="n">
        <v>0.0714</v>
      </c>
    </row>
    <row r="56" customFormat="false" ht="15" hidden="false" customHeight="true" outlineLevel="0" collapsed="false">
      <c r="B56" s="24" t="n">
        <v>14</v>
      </c>
      <c r="C56" s="74" t="n">
        <v>0</v>
      </c>
      <c r="D56" s="74" t="n">
        <v>0</v>
      </c>
      <c r="E56" s="74" t="n">
        <v>0.0323</v>
      </c>
      <c r="F56" s="74" t="n">
        <v>0.0616</v>
      </c>
    </row>
    <row r="57" customFormat="false" ht="15" hidden="false" customHeight="true" outlineLevel="0" collapsed="false">
      <c r="B57" s="24" t="n">
        <v>15</v>
      </c>
      <c r="C57" s="74" t="n">
        <v>0</v>
      </c>
      <c r="D57" s="74" t="n">
        <v>0</v>
      </c>
      <c r="E57" s="74" t="n">
        <v>0.011</v>
      </c>
      <c r="F57" s="74" t="n">
        <v>0.05</v>
      </c>
    </row>
    <row r="58" customFormat="false" ht="15" hidden="false" customHeight="true" outlineLevel="0" collapsed="false">
      <c r="B58" s="24" t="n">
        <v>16</v>
      </c>
      <c r="C58" s="74" t="n">
        <v>0</v>
      </c>
      <c r="D58" s="74" t="n">
        <v>0</v>
      </c>
      <c r="E58" s="74" t="n">
        <v>0</v>
      </c>
      <c r="F58" s="74" t="n">
        <v>0.0368</v>
      </c>
    </row>
    <row r="59" customFormat="false" ht="15" hidden="false" customHeight="true" outlineLevel="0" collapsed="false">
      <c r="B59" s="24" t="n">
        <v>17</v>
      </c>
      <c r="C59" s="74" t="n">
        <v>0</v>
      </c>
      <c r="D59" s="74" t="n">
        <v>0</v>
      </c>
      <c r="E59" s="74" t="n">
        <v>0</v>
      </c>
      <c r="F59" s="74" t="n">
        <v>0.0226</v>
      </c>
    </row>
    <row r="60" customFormat="false" ht="15" hidden="false" customHeight="true" outlineLevel="0" collapsed="false">
      <c r="B60" s="24" t="n">
        <v>18</v>
      </c>
      <c r="C60" s="74" t="n">
        <v>0</v>
      </c>
      <c r="D60" s="74" t="n">
        <v>0</v>
      </c>
      <c r="E60" s="74" t="n">
        <v>0</v>
      </c>
      <c r="F60" s="74" t="n">
        <v>0.0076</v>
      </c>
    </row>
    <row r="61" customFormat="false" ht="15" hidden="false" customHeight="true" outlineLevel="0" collapsed="false">
      <c r="B61" s="19" t="s">
        <v>579</v>
      </c>
      <c r="C61" s="75" t="n">
        <f aca="false">SUM(C43:C60)</f>
        <v>1</v>
      </c>
      <c r="D61" s="75" t="n">
        <f aca="false">SUM(D43:D60)</f>
        <v>1</v>
      </c>
      <c r="E61" s="75" t="n">
        <f aca="false">SUM(E43:E60)</f>
        <v>1</v>
      </c>
      <c r="F61" s="75" t="n">
        <f aca="false">SUM(F43:F60)</f>
        <v>1</v>
      </c>
    </row>
    <row r="62" customFormat="false" ht="15" hidden="false" customHeight="true" outlineLevel="0" collapsed="false">
      <c r="B62" s="36" t="s">
        <v>580</v>
      </c>
      <c r="C62" s="68" t="str">
        <f aca="false">IF(ABS(C61-1)&lt;0.0001,"OK","MUST = 100%")</f>
        <v>OK</v>
      </c>
      <c r="D62" s="68" t="str">
        <f aca="false">IF(ABS(D61-1)&lt;0.0001,"OK","MUST = 100%")</f>
        <v>OK</v>
      </c>
      <c r="E62" s="68" t="str">
        <f aca="false">IF(ABS(E61-1)&lt;0.0001,"OK","MUST = 100%")</f>
        <v>OK</v>
      </c>
      <c r="F62" s="68" t="str">
        <f aca="false">IF(ABS(F61-1)&lt;0.0001,"OK","MUST = 100%")</f>
        <v>OK</v>
      </c>
    </row>
  </sheetData>
  <dataValidations count="1">
    <dataValidation allowBlank="false" errorStyle="stop" operator="between" showDropDown="false" showErrorMessage="false" showInputMessage="false" sqref="C23:F23" type="list">
      <formula1>"In-place phased,Hotel-temporary,On-site hospitality units"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3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.43"/>
    <col collapsed="false" customWidth="true" hidden="false" outlineLevel="0" max="2" min="2" style="1" width="40"/>
    <col collapsed="false" customWidth="true" hidden="false" outlineLevel="0" max="7" min="3" style="1" width="15.7"/>
    <col collapsed="false" customWidth="true" hidden="false" outlineLevel="0" max="8" min="8" style="1" width="2"/>
  </cols>
  <sheetData>
    <row r="1" customFormat="false" ht="17.25" hidden="false" customHeight="true" outlineLevel="0" collapsed="false">
      <c r="A1" s="11" t="s">
        <v>581</v>
      </c>
    </row>
    <row r="3" customFormat="false" ht="15" hidden="false" customHeight="true" outlineLevel="0" collapsed="false">
      <c r="B3" s="3"/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</row>
    <row r="4" customFormat="false" ht="15" hidden="false" customHeight="true" outlineLevel="0" collapsed="false">
      <c r="B4" s="13" t="s">
        <v>582</v>
      </c>
      <c r="C4" s="76" t="n">
        <f aca="false">CH_ResynDate</f>
        <v>46753</v>
      </c>
      <c r="D4" s="76" t="n">
        <f aca="false">NZ_ResynDate</f>
        <v>47119</v>
      </c>
      <c r="E4" s="76" t="n">
        <f aca="false">LOM_ResynDate</f>
        <v>47119</v>
      </c>
      <c r="F4" s="76" t="n">
        <f aca="false">SA_ResynDate</f>
        <v>46357</v>
      </c>
      <c r="G4" s="36" t="s">
        <v>583</v>
      </c>
    </row>
    <row r="5" customFormat="false" ht="15" hidden="false" customHeight="true" outlineLevel="0" collapsed="false">
      <c r="B5" s="47" t="s">
        <v>584</v>
      </c>
    </row>
    <row r="7" customFormat="false" ht="15" hidden="false" customHeight="true" outlineLevel="0" collapsed="false">
      <c r="B7" s="63" t="s">
        <v>585</v>
      </c>
    </row>
    <row r="8" customFormat="false" ht="15" hidden="false" customHeight="true" outlineLevel="0" collapsed="false">
      <c r="B8" s="13" t="s">
        <v>586</v>
      </c>
      <c r="C8" s="66" t="n">
        <f aca="false">CH_SelProceeds</f>
        <v>3410352.37516911</v>
      </c>
      <c r="D8" s="66" t="n">
        <f aca="false">NZ_SelProceeds</f>
        <v>6485211.11528615</v>
      </c>
      <c r="E8" s="66" t="n">
        <f aca="false">LOM_SelProceeds</f>
        <v>7791658.84235925</v>
      </c>
      <c r="F8" s="66" t="n">
        <f aca="false">SA_SelProceeds</f>
        <v>9219810.91353655</v>
      </c>
      <c r="G8" s="37" t="n">
        <f aca="false">SUM(C8:F8)</f>
        <v>26907033.2463511</v>
      </c>
    </row>
    <row r="9" customFormat="false" ht="15" hidden="false" customHeight="true" outlineLevel="0" collapsed="false">
      <c r="B9" s="13" t="s">
        <v>587</v>
      </c>
      <c r="C9" s="66" t="n">
        <f aca="false">CH_Equity</f>
        <v>2241868.08029184</v>
      </c>
      <c r="D9" s="66" t="n">
        <f aca="false">NZ_Equity</f>
        <v>2775646.19464704</v>
      </c>
      <c r="E9" s="66" t="n">
        <f aca="false">LOM_Equity</f>
        <v>4110858.97162998</v>
      </c>
      <c r="F9" s="66" t="n">
        <f aca="false">SA_Equity</f>
        <v>5117769.77551488</v>
      </c>
      <c r="G9" s="37" t="n">
        <f aca="false">SUM(C9:F9)</f>
        <v>14246143.0220837</v>
      </c>
    </row>
    <row r="10" customFormat="false" ht="15" hidden="false" customHeight="true" outlineLevel="0" collapsed="false">
      <c r="B10" s="13" t="s">
        <v>588</v>
      </c>
      <c r="C10" s="37" t="n">
        <f aca="false">MIN(C24,MAX(0,C26-(C8+C9+C11+C12)))</f>
        <v>816531.2064</v>
      </c>
      <c r="D10" s="37" t="n">
        <f aca="false">MIN(D24,MAX(0,D26-(D8+D9+D11+D12)))</f>
        <v>1010943.3984</v>
      </c>
      <c r="E10" s="37" t="n">
        <f aca="false">MIN(E24,MAX(0,E26-(E8+E9+E11+E12)))</f>
        <v>1571626.77342039</v>
      </c>
      <c r="F10" s="37" t="n">
        <f aca="false">MIN(F24,MAX(0,F26-(F8+F9+F11+F12)))</f>
        <v>1799327.85145224</v>
      </c>
      <c r="G10" s="37" t="n">
        <f aca="false">SUM(C10:F10)</f>
        <v>5198429.22967263</v>
      </c>
    </row>
    <row r="11" customFormat="false" ht="15" hidden="false" customHeight="true" outlineLevel="0" collapsed="false">
      <c r="B11" s="13" t="s">
        <v>589</v>
      </c>
      <c r="C11" s="66" t="n">
        <f aca="false">MAX(0,CH_BridgeCF)</f>
        <v>0</v>
      </c>
      <c r="D11" s="66" t="n">
        <f aca="false">MAX(0,NZ_BridgeCF)</f>
        <v>186952.915598433</v>
      </c>
      <c r="E11" s="66" t="n">
        <f aca="false">MAX(0,LOM_BridgeCF)</f>
        <v>152373.647864733</v>
      </c>
      <c r="F11" s="66" t="n">
        <f aca="false">MAX(0,SA_BridgeCF)</f>
        <v>0</v>
      </c>
      <c r="G11" s="37" t="n">
        <f aca="false">SUM(C11:F11)</f>
        <v>339326.563463166</v>
      </c>
    </row>
    <row r="12" customFormat="false" ht="15" hidden="false" customHeight="true" outlineLevel="0" collapsed="false">
      <c r="B12" s="13" t="s">
        <v>590</v>
      </c>
      <c r="C12" s="77" t="n">
        <f aca="false">MAX(0,C26-(C8+C9+C11+C24))</f>
        <v>461898.42260548</v>
      </c>
      <c r="D12" s="77" t="n">
        <f aca="false">MAX(0,D26-(D8+D9+D11+D24))</f>
        <v>148039.110889174</v>
      </c>
      <c r="E12" s="77" t="n">
        <f aca="false">MAX(0,E26-(E8+E9+E11+E24))</f>
        <v>0</v>
      </c>
      <c r="F12" s="77" t="n">
        <f aca="false">MAX(0,F26-(F8+F9+F11+F24))</f>
        <v>0</v>
      </c>
      <c r="G12" s="37" t="n">
        <f aca="false">SUM(C12:F12)</f>
        <v>609937.533494654</v>
      </c>
    </row>
    <row r="13" customFormat="false" ht="15" hidden="false" customHeight="true" outlineLevel="0" collapsed="false">
      <c r="B13" s="19" t="s">
        <v>591</v>
      </c>
      <c r="C13" s="21" t="n">
        <f aca="false">SUM(C8:C12)</f>
        <v>6930650.08446643</v>
      </c>
      <c r="D13" s="21" t="n">
        <f aca="false">SUM(D8:D12)</f>
        <v>10606792.7348208</v>
      </c>
      <c r="E13" s="21" t="n">
        <f aca="false">SUM(E8:E12)</f>
        <v>13626518.2352744</v>
      </c>
      <c r="F13" s="21" t="n">
        <f aca="false">SUM(F8:F12)</f>
        <v>16136908.5405037</v>
      </c>
      <c r="G13" s="21" t="n">
        <f aca="false">SUM(C13:F13)</f>
        <v>47300869.5950652</v>
      </c>
    </row>
    <row r="15" customFormat="false" ht="15" hidden="false" customHeight="true" outlineLevel="0" collapsed="false">
      <c r="B15" s="63" t="s">
        <v>592</v>
      </c>
    </row>
    <row r="16" customFormat="false" ht="15" hidden="false" customHeight="true" outlineLevel="0" collapsed="false">
      <c r="B16" s="13" t="s">
        <v>593</v>
      </c>
      <c r="C16" s="66" t="n">
        <f aca="false">CH_AcqPrice</f>
        <v>0</v>
      </c>
      <c r="D16" s="66" t="n">
        <f aca="false">NZ_AcqPrice</f>
        <v>0</v>
      </c>
      <c r="E16" s="66" t="n">
        <f aca="false">LOM_AcqPrice</f>
        <v>3000000</v>
      </c>
      <c r="F16" s="66" t="n">
        <f aca="false">SA_AcqPrice</f>
        <v>500000</v>
      </c>
      <c r="G16" s="37" t="n">
        <f aca="false">SUM(C16:F16)</f>
        <v>3500000</v>
      </c>
    </row>
    <row r="17" customFormat="false" ht="15" hidden="false" customHeight="true" outlineLevel="0" collapsed="false">
      <c r="B17" s="13" t="s">
        <v>594</v>
      </c>
      <c r="C17" s="37" t="n">
        <v>0</v>
      </c>
      <c r="D17" s="78" t="n">
        <f aca="false">NZ_HOMEPayoff</f>
        <v>2027484.62</v>
      </c>
      <c r="E17" s="37" t="n">
        <v>0</v>
      </c>
      <c r="F17" s="37" t="n">
        <v>0</v>
      </c>
      <c r="G17" s="37" t="n">
        <f aca="false">SUM(C17:F17)</f>
        <v>2027484.62</v>
      </c>
    </row>
    <row r="18" customFormat="false" ht="15" hidden="false" customHeight="true" outlineLevel="0" collapsed="false">
      <c r="B18" s="13" t="s">
        <v>595</v>
      </c>
      <c r="C18" s="66" t="n">
        <f aca="false">CH_RehabBasis</f>
        <v>5443541.376</v>
      </c>
      <c r="D18" s="66" t="n">
        <f aca="false">NZ_RehabBasis</f>
        <v>6739622.656</v>
      </c>
      <c r="E18" s="66" t="n">
        <f aca="false">LOM_RehabBasis</f>
        <v>8020150.96064</v>
      </c>
      <c r="F18" s="66" t="n">
        <f aca="false">SA_RehabBasis</f>
        <v>12222660</v>
      </c>
      <c r="G18" s="37" t="n">
        <f aca="false">SUM(C18:F18)</f>
        <v>32425974.99264</v>
      </c>
    </row>
    <row r="19" customFormat="false" ht="15" hidden="false" customHeight="true" outlineLevel="0" collapsed="false">
      <c r="B19" s="13" t="s">
        <v>596</v>
      </c>
      <c r="C19" s="66" t="n">
        <f aca="false">CH_FinFees</f>
        <v>51155.2856275367</v>
      </c>
      <c r="D19" s="66" t="n">
        <f aca="false">NZ_FinFees</f>
        <v>97278.1667292922</v>
      </c>
      <c r="E19" s="66" t="n">
        <f aca="false">LOM_FinFees</f>
        <v>116874.882635389</v>
      </c>
      <c r="F19" s="66" t="n">
        <f aca="false">SA_FinFees</f>
        <v>138297.163703048</v>
      </c>
      <c r="G19" s="37" t="n">
        <f aca="false">SUM(C19:F19)</f>
        <v>403605.498695266</v>
      </c>
    </row>
    <row r="20" customFormat="false" ht="15" hidden="false" customHeight="true" outlineLevel="0" collapsed="false">
      <c r="B20" s="13" t="s">
        <v>597</v>
      </c>
      <c r="C20" s="22" t="n">
        <v>0.02</v>
      </c>
      <c r="D20" s="59" t="n">
        <v>0.02</v>
      </c>
      <c r="E20" s="59" t="n">
        <v>0.02</v>
      </c>
      <c r="F20" s="59" t="n">
        <v>0.02</v>
      </c>
    </row>
    <row r="21" customFormat="false" ht="15" hidden="false" customHeight="true" outlineLevel="0" collapsed="false">
      <c r="B21" s="13" t="s">
        <v>598</v>
      </c>
      <c r="C21" s="37" t="n">
        <f aca="false">C20*C8</f>
        <v>68207.0475033822</v>
      </c>
      <c r="D21" s="37" t="n">
        <f aca="false">D20*D8</f>
        <v>129704.222305723</v>
      </c>
      <c r="E21" s="37" t="n">
        <f aca="false">E20*E8</f>
        <v>155833.176847185</v>
      </c>
      <c r="F21" s="37" t="n">
        <f aca="false">F20*F8</f>
        <v>184396.218270731</v>
      </c>
      <c r="G21" s="37" t="n">
        <f aca="false">SUM(C21:F21)</f>
        <v>538140.664927021</v>
      </c>
    </row>
    <row r="22" customFormat="false" ht="15" hidden="false" customHeight="true" outlineLevel="0" collapsed="false">
      <c r="B22" s="13" t="s">
        <v>599</v>
      </c>
      <c r="C22" s="66" t="n">
        <f aca="false">CH_ConstrInt</f>
        <v>116366.474614793</v>
      </c>
      <c r="D22" s="66" t="n">
        <f aca="false">NZ_ConstrInt</f>
        <v>149953.446188858</v>
      </c>
      <c r="E22" s="66" t="n">
        <f aca="false">LOM_ConstrInt</f>
        <v>220165.971043347</v>
      </c>
      <c r="F22" s="66" t="n">
        <f aca="false">SA_ConstrInt</f>
        <v>459098.41481094</v>
      </c>
      <c r="G22" s="37" t="n">
        <f aca="false">SUM(C22:F22)</f>
        <v>945584.306657939</v>
      </c>
    </row>
    <row r="23" customFormat="false" ht="15" hidden="false" customHeight="true" outlineLevel="0" collapsed="false">
      <c r="B23" s="13" t="s">
        <v>600</v>
      </c>
      <c r="C23" s="37" t="n">
        <f aca="false">OpReserveFrac*CH_OpexStab</f>
        <v>434848.69432072</v>
      </c>
      <c r="D23" s="37" t="n">
        <f aca="false">OpReserveFrac*NZ_OpexStab</f>
        <v>451806.22519692</v>
      </c>
      <c r="E23" s="37" t="n">
        <f aca="false">OpReserveFrac*LOM_OpexStab</f>
        <v>527970.600012435</v>
      </c>
      <c r="F23" s="37" t="n">
        <f aca="false">OpReserveFrac*SA_OpexStab</f>
        <v>735307.743718944</v>
      </c>
      <c r="G23" s="37" t="n">
        <f aca="false">SUM(C23:F23)</f>
        <v>2149933.26324902</v>
      </c>
    </row>
    <row r="24" customFormat="false" ht="15" hidden="false" customHeight="true" outlineLevel="0" collapsed="false">
      <c r="B24" s="13" t="s">
        <v>601</v>
      </c>
      <c r="C24" s="37" t="n">
        <f aca="false">C25*(CH_AcqBasis+CH_RehabBasis)</f>
        <v>816531.2064</v>
      </c>
      <c r="D24" s="37" t="n">
        <f aca="false">D25*(NZ_AcqBasis+NZ_RehabBasis)</f>
        <v>1010943.3984</v>
      </c>
      <c r="E24" s="37" t="n">
        <f aca="false">E25*(LOM_AcqBasis+LOM_RehabBasis)</f>
        <v>1585522.644096</v>
      </c>
      <c r="F24" s="37" t="n">
        <f aca="false">F25*(SA_AcqBasis+SA_RehabBasis)</f>
        <v>1897149</v>
      </c>
      <c r="G24" s="37" t="n">
        <f aca="false">SUM(C24:F24)</f>
        <v>5310146.248896</v>
      </c>
    </row>
    <row r="25" customFormat="false" ht="15" hidden="false" customHeight="true" outlineLevel="0" collapsed="false">
      <c r="B25" s="13" t="s">
        <v>602</v>
      </c>
      <c r="C25" s="59" t="n">
        <v>0.15</v>
      </c>
      <c r="D25" s="59" t="n">
        <v>0.15</v>
      </c>
      <c r="E25" s="59" t="n">
        <v>0.15</v>
      </c>
      <c r="F25" s="59" t="n">
        <v>0.15</v>
      </c>
    </row>
    <row r="26" customFormat="false" ht="15" hidden="false" customHeight="true" outlineLevel="0" collapsed="false">
      <c r="B26" s="19" t="s">
        <v>603</v>
      </c>
      <c r="C26" s="21" t="n">
        <f aca="false">SUM(C16:C18)+C19+SUM(C21:C24)</f>
        <v>6930650.08446643</v>
      </c>
      <c r="D26" s="21" t="n">
        <f aca="false">SUM(D16:D18)+D19+SUM(D21:D24)</f>
        <v>10606792.7348208</v>
      </c>
      <c r="E26" s="21" t="n">
        <f aca="false">SUM(E16:E18)+E19+SUM(E21:E24)</f>
        <v>13626518.2352744</v>
      </c>
      <c r="F26" s="21" t="n">
        <f aca="false">SUM(F16:F18)+F19+SUM(F21:F24)</f>
        <v>16136908.5405037</v>
      </c>
      <c r="G26" s="21" t="n">
        <f aca="false">SUM(C26:F26)</f>
        <v>47300869.5950652</v>
      </c>
    </row>
    <row r="28" customFormat="false" ht="15" hidden="false" customHeight="true" outlineLevel="0" collapsed="false">
      <c r="B28" s="63" t="s">
        <v>604</v>
      </c>
    </row>
    <row r="29" customFormat="false" ht="15" hidden="false" customHeight="true" outlineLevel="0" collapsed="false">
      <c r="B29" s="19" t="s">
        <v>605</v>
      </c>
      <c r="C29" s="21" t="n">
        <f aca="false">C13-C26</f>
        <v>0</v>
      </c>
      <c r="D29" s="21" t="n">
        <f aca="false">D13-D26</f>
        <v>0</v>
      </c>
      <c r="E29" s="21" t="n">
        <f aca="false">E13-E26</f>
        <v>0</v>
      </c>
      <c r="F29" s="21" t="n">
        <f aca="false">F13-F26</f>
        <v>0</v>
      </c>
      <c r="G29" s="21" t="n">
        <f aca="false">SUM(C29:F29)</f>
        <v>0</v>
      </c>
    </row>
    <row r="30" customFormat="false" ht="15" hidden="false" customHeight="true" outlineLevel="0" collapsed="false">
      <c r="B30" s="47" t="s">
        <v>606</v>
      </c>
      <c r="C30" s="68" t="str">
        <f aca="false">IF(ABS(C29)&lt;=SUBalanceTol,"OK",IF(C29&lt;0,"SHORTFALL","SURPLUS"))</f>
        <v>OK</v>
      </c>
      <c r="D30" s="68" t="str">
        <f aca="false">IF(ABS(D29)&lt;=SUBalanceTol,"OK",IF(D29&lt;0,"SHORTFALL","SURPLUS"))</f>
        <v>OK</v>
      </c>
      <c r="E30" s="68" t="str">
        <f aca="false">IF(ABS(E29)&lt;=SUBalanceTol,"OK",IF(E29&lt;0,"SHORTFALL","SURPLUS"))</f>
        <v>OK</v>
      </c>
      <c r="F30" s="68" t="str">
        <f aca="false">IF(ABS(F29)&lt;=SUBalanceTol,"OK",IF(F29&lt;0,"SHORTFALL","SURPLUS"))</f>
        <v>OK</v>
      </c>
    </row>
    <row r="31" customFormat="false" ht="15" hidden="false" customHeight="true" outlineLevel="0" collapsed="false">
      <c r="B31" s="47" t="s">
        <v>607</v>
      </c>
      <c r="C31" s="79" t="n">
        <f aca="false">IF(C24=0,0,C10/C24)</f>
        <v>0.999999999999999</v>
      </c>
      <c r="D31" s="79" t="n">
        <f aca="false">IF(D24=0,0,D10/D24)</f>
        <v>1</v>
      </c>
      <c r="E31" s="79" t="n">
        <f aca="false">IF(E24=0,0,E10/E24)</f>
        <v>0.991235779112112</v>
      </c>
      <c r="F31" s="79" t="n">
        <f aca="false">IF(F24=0,0,F10/F24)</f>
        <v>0.948437814558707</v>
      </c>
    </row>
    <row r="32" customFormat="false" ht="15" hidden="false" customHeight="true" outlineLevel="0" collapsed="false">
      <c r="B32" s="47" t="s">
        <v>608</v>
      </c>
      <c r="C32" s="80" t="n">
        <f aca="false">C26/CH_Units</f>
        <v>82507.7391007909</v>
      </c>
      <c r="D32" s="80" t="n">
        <f aca="false">D26/NZ_Units</f>
        <v>106067.927348208</v>
      </c>
      <c r="E32" s="80" t="n">
        <f aca="false">E26/LOM_Units</f>
        <v>114508.556598944</v>
      </c>
      <c r="F32" s="80" t="n">
        <f aca="false">F26/SA_Units</f>
        <v>79102.4928456062</v>
      </c>
    </row>
    <row r="33" customFormat="false" ht="15" hidden="false" customHeight="true" outlineLevel="0" collapsed="false">
      <c r="B33" s="47" t="s">
        <v>609</v>
      </c>
      <c r="C33" s="66" t="n">
        <f aca="false">CH_TDCLimitPU</f>
        <v>296008.476190476</v>
      </c>
      <c r="D33" s="66" t="n">
        <f aca="false">NZ_TDCLimitPU</f>
        <v>271516.84</v>
      </c>
      <c r="E33" s="66" t="n">
        <f aca="false">LOM_TDCLimitPU</f>
        <v>367877.084033613</v>
      </c>
      <c r="F33" s="66" t="n">
        <f aca="false">SA_TDCLimitPU</f>
        <v>269505.857843137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7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.43"/>
    <col collapsed="false" customWidth="true" hidden="false" outlineLevel="0" max="2" min="2" style="1" width="36"/>
    <col collapsed="false" customWidth="true" hidden="false" outlineLevel="0" max="20" min="3" style="1" width="11.5"/>
    <col collapsed="false" customWidth="true" hidden="false" outlineLevel="0" max="21" min="21" style="1" width="13"/>
  </cols>
  <sheetData>
    <row r="1" customFormat="false" ht="17.25" hidden="false" customHeight="true" outlineLevel="0" collapsed="false">
      <c r="A1" s="11" t="s">
        <v>610</v>
      </c>
    </row>
    <row r="2" customFormat="false" ht="15" hidden="false" customHeight="true" outlineLevel="0" collapsed="false">
      <c r="B2" s="36" t="s">
        <v>611</v>
      </c>
    </row>
    <row r="4" customFormat="false" ht="15" hidden="false" customHeight="true" outlineLevel="0" collapsed="false">
      <c r="B4" s="3" t="s">
        <v>612</v>
      </c>
      <c r="C4" s="3"/>
      <c r="D4" s="48" t="n">
        <f aca="false">CH_ResynDate</f>
        <v>46753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customFormat="false" ht="15" hidden="false" customHeight="true" outlineLevel="0" collapsed="false">
      <c r="B5" s="40" t="s">
        <v>578</v>
      </c>
      <c r="C5" s="81" t="n">
        <v>1</v>
      </c>
      <c r="D5" s="81" t="n">
        <v>2</v>
      </c>
      <c r="E5" s="81" t="n">
        <v>3</v>
      </c>
      <c r="F5" s="81" t="n">
        <v>4</v>
      </c>
      <c r="G5" s="81" t="n">
        <v>5</v>
      </c>
      <c r="H5" s="81" t="n">
        <v>6</v>
      </c>
      <c r="I5" s="81" t="n">
        <v>7</v>
      </c>
      <c r="J5" s="81" t="n">
        <v>8</v>
      </c>
      <c r="K5" s="81" t="n">
        <v>9</v>
      </c>
      <c r="L5" s="81" t="n">
        <v>10</v>
      </c>
      <c r="M5" s="81" t="n">
        <v>11</v>
      </c>
      <c r="N5" s="81" t="n">
        <v>12</v>
      </c>
      <c r="O5" s="81" t="n">
        <v>13</v>
      </c>
      <c r="P5" s="81" t="n">
        <v>14</v>
      </c>
      <c r="Q5" s="81" t="n">
        <v>15</v>
      </c>
      <c r="R5" s="81" t="n">
        <v>16</v>
      </c>
      <c r="S5" s="81" t="n">
        <v>17</v>
      </c>
      <c r="T5" s="81" t="n">
        <v>18</v>
      </c>
      <c r="U5" s="82" t="s">
        <v>613</v>
      </c>
    </row>
    <row r="6" customFormat="false" ht="15" hidden="false" customHeight="true" outlineLevel="0" collapsed="false">
      <c r="B6" s="13" t="s">
        <v>614</v>
      </c>
      <c r="C6" s="83" t="n">
        <f aca="false">EDATE(CH_ResynDate,0)</f>
        <v>46753</v>
      </c>
      <c r="D6" s="83" t="n">
        <f aca="false">EDATE(CH_ResynDate,1)</f>
        <v>46784</v>
      </c>
      <c r="E6" s="83" t="n">
        <f aca="false">EDATE(CH_ResynDate,2)</f>
        <v>46813</v>
      </c>
      <c r="F6" s="83" t="n">
        <f aca="false">EDATE(CH_ResynDate,3)</f>
        <v>46844</v>
      </c>
      <c r="G6" s="83" t="n">
        <f aca="false">EDATE(CH_ResynDate,4)</f>
        <v>46874</v>
      </c>
      <c r="H6" s="83" t="n">
        <f aca="false">EDATE(CH_ResynDate,5)</f>
        <v>46905</v>
      </c>
      <c r="I6" s="83" t="n">
        <f aca="false">EDATE(CH_ResynDate,6)</f>
        <v>46935</v>
      </c>
      <c r="J6" s="83" t="n">
        <f aca="false">EDATE(CH_ResynDate,7)</f>
        <v>46966</v>
      </c>
      <c r="K6" s="83" t="n">
        <f aca="false">EDATE(CH_ResynDate,8)</f>
        <v>46997</v>
      </c>
      <c r="L6" s="83" t="n">
        <f aca="false">EDATE(CH_ResynDate,9)</f>
        <v>47027</v>
      </c>
      <c r="M6" s="83" t="n">
        <f aca="false">EDATE(CH_ResynDate,10)</f>
        <v>47058</v>
      </c>
      <c r="N6" s="83" t="n">
        <f aca="false">EDATE(CH_ResynDate,11)</f>
        <v>47088</v>
      </c>
      <c r="O6" s="83" t="n">
        <f aca="false">EDATE(CH_ResynDate,12)</f>
        <v>47119</v>
      </c>
      <c r="P6" s="83" t="n">
        <f aca="false">EDATE(CH_ResynDate,13)</f>
        <v>47150</v>
      </c>
      <c r="Q6" s="83" t="n">
        <f aca="false">EDATE(CH_ResynDate,14)</f>
        <v>47178</v>
      </c>
      <c r="R6" s="83" t="n">
        <f aca="false">EDATE(CH_ResynDate,15)</f>
        <v>47209</v>
      </c>
      <c r="S6" s="83" t="n">
        <f aca="false">EDATE(CH_ResynDate,16)</f>
        <v>47239</v>
      </c>
      <c r="T6" s="83" t="n">
        <f aca="false">EDATE(CH_ResynDate,17)</f>
        <v>47270</v>
      </c>
    </row>
    <row r="7" customFormat="false" ht="15" hidden="false" customHeight="true" outlineLevel="0" collapsed="false">
      <c r="B7" s="13" t="s">
        <v>615</v>
      </c>
      <c r="C7" s="37" t="n">
        <f aca="false">IF(C5=1,CH_AcqPrice,0)</f>
        <v>0</v>
      </c>
      <c r="D7" s="37" t="n">
        <f aca="false">IF(D5=1,CH_AcqPrice,0)</f>
        <v>0</v>
      </c>
      <c r="E7" s="37" t="n">
        <f aca="false">IF(E5=1,CH_AcqPrice,0)</f>
        <v>0</v>
      </c>
      <c r="F7" s="37" t="n">
        <f aca="false">IF(F5=1,CH_AcqPrice,0)</f>
        <v>0</v>
      </c>
      <c r="G7" s="37" t="n">
        <f aca="false">IF(G5=1,CH_AcqPrice,0)</f>
        <v>0</v>
      </c>
      <c r="H7" s="37" t="n">
        <f aca="false">IF(H5=1,CH_AcqPrice,0)</f>
        <v>0</v>
      </c>
      <c r="I7" s="37" t="n">
        <f aca="false">IF(I5=1,CH_AcqPrice,0)</f>
        <v>0</v>
      </c>
      <c r="J7" s="37" t="n">
        <f aca="false">IF(J5=1,CH_AcqPrice,0)</f>
        <v>0</v>
      </c>
      <c r="K7" s="37" t="n">
        <f aca="false">IF(K5=1,CH_AcqPrice,0)</f>
        <v>0</v>
      </c>
      <c r="L7" s="37" t="n">
        <f aca="false">IF(L5=1,CH_AcqPrice,0)</f>
        <v>0</v>
      </c>
      <c r="M7" s="37" t="n">
        <f aca="false">IF(M5=1,CH_AcqPrice,0)</f>
        <v>0</v>
      </c>
      <c r="N7" s="37" t="n">
        <f aca="false">IF(N5=1,CH_AcqPrice,0)</f>
        <v>0</v>
      </c>
      <c r="O7" s="37" t="n">
        <f aca="false">IF(O5=1,CH_AcqPrice,0)</f>
        <v>0</v>
      </c>
      <c r="P7" s="37" t="n">
        <f aca="false">IF(P5=1,CH_AcqPrice,0)</f>
        <v>0</v>
      </c>
      <c r="Q7" s="37" t="n">
        <f aca="false">IF(Q5=1,CH_AcqPrice,0)</f>
        <v>0</v>
      </c>
      <c r="R7" s="37" t="n">
        <f aca="false">IF(R5=1,CH_AcqPrice,0)</f>
        <v>0</v>
      </c>
      <c r="S7" s="37" t="n">
        <f aca="false">IF(S5=1,CH_AcqPrice,0)</f>
        <v>0</v>
      </c>
      <c r="T7" s="37" t="n">
        <f aca="false">IF(T5=1,CH_AcqPrice,0)</f>
        <v>0</v>
      </c>
      <c r="U7" s="84" t="n">
        <f aca="false">SUM(C7:T7)</f>
        <v>0</v>
      </c>
    </row>
    <row r="8" customFormat="false" ht="15" hidden="false" customHeight="true" outlineLevel="0" collapsed="false">
      <c r="B8" s="13" t="s">
        <v>616</v>
      </c>
      <c r="C8" s="37" t="n">
        <v>0</v>
      </c>
      <c r="D8" s="37" t="n">
        <v>0</v>
      </c>
      <c r="E8" s="37" t="n">
        <v>0</v>
      </c>
      <c r="F8" s="37" t="n">
        <v>0</v>
      </c>
      <c r="G8" s="37" t="n">
        <v>0</v>
      </c>
      <c r="H8" s="37" t="n">
        <v>0</v>
      </c>
      <c r="I8" s="37" t="n">
        <v>0</v>
      </c>
      <c r="J8" s="37" t="n">
        <v>0</v>
      </c>
      <c r="K8" s="37" t="n">
        <v>0</v>
      </c>
      <c r="L8" s="37" t="n">
        <v>0</v>
      </c>
      <c r="M8" s="37" t="n">
        <v>0</v>
      </c>
      <c r="N8" s="37" t="n">
        <v>0</v>
      </c>
      <c r="O8" s="37" t="n">
        <v>0</v>
      </c>
      <c r="P8" s="37" t="n">
        <v>0</v>
      </c>
      <c r="Q8" s="37" t="n">
        <v>0</v>
      </c>
      <c r="R8" s="37" t="n">
        <v>0</v>
      </c>
      <c r="S8" s="37" t="n">
        <v>0</v>
      </c>
      <c r="T8" s="37" t="n">
        <v>0</v>
      </c>
      <c r="U8" s="84" t="n">
        <f aca="false">SUM(C8:T8)</f>
        <v>0</v>
      </c>
    </row>
    <row r="9" customFormat="false" ht="15" hidden="false" customHeight="true" outlineLevel="0" collapsed="false">
      <c r="B9" s="13" t="s">
        <v>617</v>
      </c>
      <c r="C9" s="37" t="n">
        <f aca="false">CH_RehabBasis*INDEX(CH_BurnCurve,1)</f>
        <v>92540.203392</v>
      </c>
      <c r="D9" s="37" t="n">
        <f aca="false">CH_RehabBasis*INDEX(CH_BurnCurve,2)</f>
        <v>272177.0688</v>
      </c>
      <c r="E9" s="37" t="n">
        <f aca="false">CH_RehabBasis*INDEX(CH_BurnCurve,3)</f>
        <v>432761.539392</v>
      </c>
      <c r="F9" s="37" t="n">
        <f aca="false">CH_RehabBasis*INDEX(CH_BurnCurve,4)</f>
        <v>563950.8865536</v>
      </c>
      <c r="G9" s="37" t="n">
        <f aca="false">CH_RehabBasis*INDEX(CH_BurnCurve,5)</f>
        <v>656491.0899456</v>
      </c>
      <c r="H9" s="37" t="n">
        <f aca="false">CH_RehabBasis*INDEX(CH_BurnCurve,6)</f>
        <v>704394.2540544</v>
      </c>
      <c r="I9" s="37" t="n">
        <f aca="false">CH_RehabBasis*INDEX(CH_BurnCurve,7)</f>
        <v>704394.2540544</v>
      </c>
      <c r="J9" s="37" t="n">
        <f aca="false">CH_RehabBasis*INDEX(CH_BurnCurve,8)</f>
        <v>656491.0899456</v>
      </c>
      <c r="K9" s="37" t="n">
        <f aca="false">CH_RehabBasis*INDEX(CH_BurnCurve,9)</f>
        <v>563950.8865536</v>
      </c>
      <c r="L9" s="37" t="n">
        <f aca="false">CH_RehabBasis*INDEX(CH_BurnCurve,10)</f>
        <v>432761.539392</v>
      </c>
      <c r="M9" s="37" t="n">
        <f aca="false">CH_RehabBasis*INDEX(CH_BurnCurve,11)</f>
        <v>272177.0688</v>
      </c>
      <c r="N9" s="37" t="n">
        <f aca="false">CH_RehabBasis*INDEX(CH_BurnCurve,12)</f>
        <v>91451.4951168</v>
      </c>
      <c r="O9" s="37" t="n">
        <f aca="false">CH_RehabBasis*INDEX(CH_BurnCurve,13)</f>
        <v>0</v>
      </c>
      <c r="P9" s="37" t="n">
        <f aca="false">CH_RehabBasis*INDEX(CH_BurnCurve,14)</f>
        <v>0</v>
      </c>
      <c r="Q9" s="37" t="n">
        <f aca="false">CH_RehabBasis*INDEX(CH_BurnCurve,15)</f>
        <v>0</v>
      </c>
      <c r="R9" s="37" t="n">
        <f aca="false">CH_RehabBasis*INDEX(CH_BurnCurve,16)</f>
        <v>0</v>
      </c>
      <c r="S9" s="37" t="n">
        <f aca="false">CH_RehabBasis*INDEX(CH_BurnCurve,17)</f>
        <v>0</v>
      </c>
      <c r="T9" s="37" t="n">
        <f aca="false">CH_RehabBasis*INDEX(CH_BurnCurve,18)</f>
        <v>0</v>
      </c>
      <c r="U9" s="84" t="n">
        <f aca="false">SUM(C9:T9)</f>
        <v>5443541.376</v>
      </c>
    </row>
    <row r="10" customFormat="false" ht="15" hidden="false" customHeight="true" outlineLevel="0" collapsed="false">
      <c r="B10" s="13" t="s">
        <v>618</v>
      </c>
      <c r="C10" s="37" t="n">
        <f aca="false">IF(C5=1,CH_FinFees+'Sources &amp; Uses'!C21+'Sources &amp; Uses'!C23,0)</f>
        <v>554211.027451639</v>
      </c>
      <c r="D10" s="37" t="n">
        <f aca="false">IF(D5=1,CH_FinFees+'Sources &amp; Uses'!C21+'Sources &amp; Uses'!C23,0)</f>
        <v>0</v>
      </c>
      <c r="E10" s="37" t="n">
        <f aca="false">IF(E5=1,CH_FinFees+'Sources &amp; Uses'!C21+'Sources &amp; Uses'!C23,0)</f>
        <v>0</v>
      </c>
      <c r="F10" s="37" t="n">
        <f aca="false">IF(F5=1,CH_FinFees+'Sources &amp; Uses'!C21+'Sources &amp; Uses'!C23,0)</f>
        <v>0</v>
      </c>
      <c r="G10" s="37" t="n">
        <f aca="false">IF(G5=1,CH_FinFees+'Sources &amp; Uses'!C21+'Sources &amp; Uses'!C23,0)</f>
        <v>0</v>
      </c>
      <c r="H10" s="37" t="n">
        <f aca="false">IF(H5=1,CH_FinFees+'Sources &amp; Uses'!C21+'Sources &amp; Uses'!C23,0)</f>
        <v>0</v>
      </c>
      <c r="I10" s="37" t="n">
        <f aca="false">IF(I5=1,CH_FinFees+'Sources &amp; Uses'!C21+'Sources &amp; Uses'!C23,0)</f>
        <v>0</v>
      </c>
      <c r="J10" s="37" t="n">
        <f aca="false">IF(J5=1,CH_FinFees+'Sources &amp; Uses'!C21+'Sources &amp; Uses'!C23,0)</f>
        <v>0</v>
      </c>
      <c r="K10" s="37" t="n">
        <f aca="false">IF(K5=1,CH_FinFees+'Sources &amp; Uses'!C21+'Sources &amp; Uses'!C23,0)</f>
        <v>0</v>
      </c>
      <c r="L10" s="37" t="n">
        <f aca="false">IF(L5=1,CH_FinFees+'Sources &amp; Uses'!C21+'Sources &amp; Uses'!C23,0)</f>
        <v>0</v>
      </c>
      <c r="M10" s="37" t="n">
        <f aca="false">IF(M5=1,CH_FinFees+'Sources &amp; Uses'!C21+'Sources &amp; Uses'!C23,0)</f>
        <v>0</v>
      </c>
      <c r="N10" s="37" t="n">
        <f aca="false">IF(N5=1,CH_FinFees+'Sources &amp; Uses'!C21+'Sources &amp; Uses'!C23,0)</f>
        <v>0</v>
      </c>
      <c r="O10" s="37" t="n">
        <f aca="false">IF(O5=1,CH_FinFees+'Sources &amp; Uses'!C21+'Sources &amp; Uses'!C23,0)</f>
        <v>0</v>
      </c>
      <c r="P10" s="37" t="n">
        <f aca="false">IF(P5=1,CH_FinFees+'Sources &amp; Uses'!C21+'Sources &amp; Uses'!C23,0)</f>
        <v>0</v>
      </c>
      <c r="Q10" s="37" t="n">
        <f aca="false">IF(Q5=1,CH_FinFees+'Sources &amp; Uses'!C21+'Sources &amp; Uses'!C23,0)</f>
        <v>0</v>
      </c>
      <c r="R10" s="37" t="n">
        <f aca="false">IF(R5=1,CH_FinFees+'Sources &amp; Uses'!C21+'Sources &amp; Uses'!C23,0)</f>
        <v>0</v>
      </c>
      <c r="S10" s="37" t="n">
        <f aca="false">IF(S5=1,CH_FinFees+'Sources &amp; Uses'!C21+'Sources &amp; Uses'!C23,0)</f>
        <v>0</v>
      </c>
      <c r="T10" s="37" t="n">
        <f aca="false">IF(T5=1,CH_FinFees+'Sources &amp; Uses'!C21+'Sources &amp; Uses'!C23,0)</f>
        <v>0</v>
      </c>
      <c r="U10" s="84" t="n">
        <f aca="false">SUM(C10:T10)</f>
        <v>554211.027451639</v>
      </c>
    </row>
    <row r="11" customFormat="false" ht="15" hidden="false" customHeight="true" outlineLevel="0" collapsed="false">
      <c r="B11" s="13" t="s">
        <v>619</v>
      </c>
      <c r="C11" s="37" t="n">
        <f aca="false">IF(C5=CH_RehabMonths+6,CH_DevFee-CH_DDF,0)</f>
        <v>0</v>
      </c>
      <c r="D11" s="37" t="n">
        <f aca="false">IF(D5=CH_RehabMonths+6,CH_DevFee-CH_DDF,0)</f>
        <v>0</v>
      </c>
      <c r="E11" s="37" t="n">
        <f aca="false">IF(E5=CH_RehabMonths+6,CH_DevFee-CH_DDF,0)</f>
        <v>0</v>
      </c>
      <c r="F11" s="37" t="n">
        <f aca="false">IF(F5=CH_RehabMonths+6,CH_DevFee-CH_DDF,0)</f>
        <v>0</v>
      </c>
      <c r="G11" s="37" t="n">
        <f aca="false">IF(G5=CH_RehabMonths+6,CH_DevFee-CH_DDF,0)</f>
        <v>0</v>
      </c>
      <c r="H11" s="37" t="n">
        <f aca="false">IF(H5=CH_RehabMonths+6,CH_DevFee-CH_DDF,0)</f>
        <v>0</v>
      </c>
      <c r="I11" s="37" t="n">
        <f aca="false">IF(I5=CH_RehabMonths+6,CH_DevFee-CH_DDF,0)</f>
        <v>0</v>
      </c>
      <c r="J11" s="37" t="n">
        <f aca="false">IF(J5=CH_RehabMonths+6,CH_DevFee-CH_DDF,0)</f>
        <v>0</v>
      </c>
      <c r="K11" s="37" t="n">
        <f aca="false">IF(K5=CH_RehabMonths+6,CH_DevFee-CH_DDF,0)</f>
        <v>0</v>
      </c>
      <c r="L11" s="37" t="n">
        <f aca="false">IF(L5=CH_RehabMonths+6,CH_DevFee-CH_DDF,0)</f>
        <v>0</v>
      </c>
      <c r="M11" s="37" t="n">
        <f aca="false">IF(M5=CH_RehabMonths+6,CH_DevFee-CH_DDF,0)</f>
        <v>0</v>
      </c>
      <c r="N11" s="37" t="n">
        <f aca="false">IF(N5=CH_RehabMonths+6,CH_DevFee-CH_DDF,0)</f>
        <v>0</v>
      </c>
      <c r="O11" s="37" t="n">
        <f aca="false">IF(O5=CH_RehabMonths+6,CH_DevFee-CH_DDF,0)</f>
        <v>0</v>
      </c>
      <c r="P11" s="37" t="n">
        <f aca="false">IF(P5=CH_RehabMonths+6,CH_DevFee-CH_DDF,0)</f>
        <v>0</v>
      </c>
      <c r="Q11" s="37" t="n">
        <f aca="false">IF(Q5=CH_RehabMonths+6,CH_DevFee-CH_DDF,0)</f>
        <v>0</v>
      </c>
      <c r="R11" s="37" t="n">
        <f aca="false">IF(R5=CH_RehabMonths+6,CH_DevFee-CH_DDF,0)</f>
        <v>0</v>
      </c>
      <c r="S11" s="37" t="n">
        <f aca="false">IF(S5=CH_RehabMonths+6,CH_DevFee-CH_DDF,0)</f>
        <v>0</v>
      </c>
      <c r="T11" s="37" t="n">
        <f aca="false">IF(T5=CH_RehabMonths+6,CH_DevFee-CH_DDF,0)</f>
        <v>0</v>
      </c>
      <c r="U11" s="84" t="n">
        <f aca="false">SUM(C11:T11)</f>
        <v>0</v>
      </c>
    </row>
    <row r="12" customFormat="false" ht="15" hidden="false" customHeight="true" outlineLevel="0" collapsed="false">
      <c r="B12" s="19" t="s">
        <v>620</v>
      </c>
      <c r="C12" s="84" t="n">
        <f aca="false">SUM(C7:C11)</f>
        <v>646751.230843639</v>
      </c>
      <c r="D12" s="84" t="n">
        <f aca="false">SUM(D7:D11)</f>
        <v>272177.0688</v>
      </c>
      <c r="E12" s="84" t="n">
        <f aca="false">SUM(E7:E11)</f>
        <v>432761.539392</v>
      </c>
      <c r="F12" s="84" t="n">
        <f aca="false">SUM(F7:F11)</f>
        <v>563950.8865536</v>
      </c>
      <c r="G12" s="84" t="n">
        <f aca="false">SUM(G7:G11)</f>
        <v>656491.0899456</v>
      </c>
      <c r="H12" s="84" t="n">
        <f aca="false">SUM(H7:H11)</f>
        <v>704394.2540544</v>
      </c>
      <c r="I12" s="84" t="n">
        <f aca="false">SUM(I7:I11)</f>
        <v>704394.2540544</v>
      </c>
      <c r="J12" s="84" t="n">
        <f aca="false">SUM(J7:J11)</f>
        <v>656491.0899456</v>
      </c>
      <c r="K12" s="84" t="n">
        <f aca="false">SUM(K7:K11)</f>
        <v>563950.8865536</v>
      </c>
      <c r="L12" s="84" t="n">
        <f aca="false">SUM(L7:L11)</f>
        <v>432761.539392</v>
      </c>
      <c r="M12" s="84" t="n">
        <f aca="false">SUM(M7:M11)</f>
        <v>272177.0688</v>
      </c>
      <c r="N12" s="84" t="n">
        <f aca="false">SUM(N7:N11)</f>
        <v>91451.4951168</v>
      </c>
      <c r="O12" s="84" t="n">
        <f aca="false">SUM(O7:O11)</f>
        <v>0</v>
      </c>
      <c r="P12" s="84" t="n">
        <f aca="false">SUM(P7:P11)</f>
        <v>0</v>
      </c>
      <c r="Q12" s="84" t="n">
        <f aca="false">SUM(Q7:Q11)</f>
        <v>0</v>
      </c>
      <c r="R12" s="84" t="n">
        <f aca="false">SUM(R7:R11)</f>
        <v>0</v>
      </c>
      <c r="S12" s="84" t="n">
        <f aca="false">SUM(S7:S11)</f>
        <v>0</v>
      </c>
      <c r="T12" s="84" t="n">
        <f aca="false">SUM(T7:T11)</f>
        <v>0</v>
      </c>
      <c r="U12" s="21" t="n">
        <f aca="false">SUM(C12:T12)</f>
        <v>5997752.40345164</v>
      </c>
    </row>
    <row r="13" customFormat="false" ht="15" hidden="false" customHeight="true" outlineLevel="0" collapsed="false">
      <c r="B13" s="13" t="s">
        <v>621</v>
      </c>
      <c r="C13" s="37" t="n">
        <f aca="false">SUMPRODUCT((CH_PayinMonths=C5)*CH_PayinAmts)</f>
        <v>448373.616058368</v>
      </c>
      <c r="D13" s="37" t="n">
        <f aca="false">SUMPRODUCT((CH_PayinMonths=D5)*CH_PayinAmts)</f>
        <v>0</v>
      </c>
      <c r="E13" s="37" t="n">
        <f aca="false">SUMPRODUCT((CH_PayinMonths=E5)*CH_PayinAmts)</f>
        <v>0</v>
      </c>
      <c r="F13" s="37" t="n">
        <f aca="false">SUMPRODUCT((CH_PayinMonths=F5)*CH_PayinAmts)</f>
        <v>0</v>
      </c>
      <c r="G13" s="37" t="n">
        <f aca="false">SUMPRODUCT((CH_PayinMonths=G5)*CH_PayinAmts)</f>
        <v>0</v>
      </c>
      <c r="H13" s="37" t="n">
        <f aca="false">SUMPRODUCT((CH_PayinMonths=H5)*CH_PayinAmts)</f>
        <v>0</v>
      </c>
      <c r="I13" s="37" t="n">
        <f aca="false">SUMPRODUCT((CH_PayinMonths=I5)*CH_PayinAmts)</f>
        <v>0</v>
      </c>
      <c r="J13" s="37" t="n">
        <f aca="false">SUMPRODUCT((CH_PayinMonths=J5)*CH_PayinAmts)</f>
        <v>0</v>
      </c>
      <c r="K13" s="37" t="n">
        <f aca="false">SUMPRODUCT((CH_PayinMonths=K5)*CH_PayinAmts)</f>
        <v>0</v>
      </c>
      <c r="L13" s="37" t="n">
        <f aca="false">SUMPRODUCT((CH_PayinMonths=L5)*CH_PayinAmts)</f>
        <v>0</v>
      </c>
      <c r="M13" s="37" t="n">
        <f aca="false">SUMPRODUCT((CH_PayinMonths=M5)*CH_PayinAmts)</f>
        <v>0</v>
      </c>
      <c r="N13" s="37" t="n">
        <f aca="false">SUMPRODUCT((CH_PayinMonths=N5)*CH_PayinAmts)</f>
        <v>1120934.04014592</v>
      </c>
      <c r="O13" s="37" t="n">
        <f aca="false">SUMPRODUCT((CH_PayinMonths=O5)*CH_PayinAmts)</f>
        <v>0</v>
      </c>
      <c r="P13" s="37" t="n">
        <f aca="false">SUMPRODUCT((CH_PayinMonths=P5)*CH_PayinAmts)</f>
        <v>0</v>
      </c>
      <c r="Q13" s="37" t="n">
        <f aca="false">SUMPRODUCT((CH_PayinMonths=Q5)*CH_PayinAmts)</f>
        <v>0</v>
      </c>
      <c r="R13" s="37" t="n">
        <f aca="false">SUMPRODUCT((CH_PayinMonths=R5)*CH_PayinAmts)</f>
        <v>0</v>
      </c>
      <c r="S13" s="37" t="n">
        <f aca="false">SUMPRODUCT((CH_PayinMonths=S5)*CH_PayinAmts)</f>
        <v>0</v>
      </c>
      <c r="T13" s="37" t="n">
        <f aca="false">SUMPRODUCT((CH_PayinMonths=T5)*CH_PayinAmts)</f>
        <v>672560.424087552</v>
      </c>
      <c r="U13" s="84" t="n">
        <f aca="false">SUM(C13:T13)</f>
        <v>2241868.08029184</v>
      </c>
    </row>
    <row r="14" customFormat="false" ht="15" hidden="false" customHeight="true" outlineLevel="0" collapsed="false">
      <c r="B14" s="13" t="s">
        <v>622</v>
      </c>
      <c r="C14" s="37" t="n">
        <f aca="false">MAX(0,MIN(CH_SelProceeds-(0),(SUM($C12:C12)+SUM($C15:C15))-(SUM($C13:C13))-(0)))</f>
        <v>198377.614785271</v>
      </c>
      <c r="D14" s="37" t="n">
        <f aca="false">MAX(0,MIN(CH_SelProceeds-(SUM($C14:C14)),(SUM($C12:D12)+SUM($C15:D15))-(SUM($C13:D13))-(SUM($C14:C14))))</f>
        <v>272177.0688</v>
      </c>
      <c r="E14" s="37" t="n">
        <f aca="false">MAX(0,MIN(CH_SelProceeds-(SUM($C14:D14)),(SUM($C12:E12)+SUM($C15:E15))-(SUM($C13:E13))-(SUM($C14:D14))))</f>
        <v>434122.424736</v>
      </c>
      <c r="F14" s="37" t="n">
        <f aca="false">MAX(0,MIN(CH_SelProceeds-(SUM($C14:E14)),(SUM($C12:F12)+SUM($C15:F15))-(SUM($C13:F13))-(SUM($C14:E14))))</f>
        <v>567489.188448</v>
      </c>
      <c r="G14" s="37" t="n">
        <f aca="false">MAX(0,MIN(CH_SelProceeds-(SUM($C14:F14)),(SUM($C12:G12)+SUM($C15:G15))-(SUM($C13:G13))-(SUM($C14:F14))))</f>
        <v>662884.529291712</v>
      </c>
      <c r="H14" s="37" t="n">
        <f aca="false">MAX(0,MIN(CH_SelProceeds-(SUM($C14:G14)),(SUM($C12:H12)+SUM($C15:H15))-(SUM($C13:H13))-(SUM($C14:G14))))</f>
        <v>714134.083243701</v>
      </c>
      <c r="I14" s="37" t="n">
        <f aca="false">MAX(0,MIN(CH_SelProceeds-(SUM($C14:H14)),(SUM($C12:I12)+SUM($C15:I15))-(SUM($C13:I13))-(SUM($C14:H14))))</f>
        <v>561167.465864428</v>
      </c>
      <c r="J14" s="37" t="n">
        <f aca="false">MAX(0,MIN(CH_SelProceeds-(SUM($C14:I14)),(SUM($C12:J12)+SUM($C15:J15))-(SUM($C13:J13))-(SUM($C14:I14))))</f>
        <v>0</v>
      </c>
      <c r="K14" s="37" t="n">
        <f aca="false">MAX(0,MIN(CH_SelProceeds-(SUM($C14:J14)),(SUM($C12:K12)+SUM($C15:K15))-(SUM($C13:K13))-(SUM($C14:J14))))</f>
        <v>0</v>
      </c>
      <c r="L14" s="37" t="n">
        <f aca="false">MAX(0,MIN(CH_SelProceeds-(SUM($C14:K14)),(SUM($C12:L12)+SUM($C15:L15))-(SUM($C13:L13))-(SUM($C14:K14))))</f>
        <v>0</v>
      </c>
      <c r="M14" s="37" t="n">
        <f aca="false">MAX(0,MIN(CH_SelProceeds-(SUM($C14:L14)),(SUM($C12:M12)+SUM($C15:M15))-(SUM($C13:M13))-(SUM($C14:L14))))</f>
        <v>0</v>
      </c>
      <c r="N14" s="37" t="n">
        <f aca="false">MAX(0,MIN(CH_SelProceeds-(SUM($C14:M14)),(SUM($C12:N12)+SUM($C15:N15))-(SUM($C13:N13))-(SUM($C14:M14))))</f>
        <v>0</v>
      </c>
      <c r="O14" s="37" t="n">
        <f aca="false">MAX(0,MIN(CH_SelProceeds-(SUM($C14:N14)),(SUM($C12:O12)+SUM($C15:O15))-(SUM($C13:O13))-(SUM($C14:N14))))</f>
        <v>0</v>
      </c>
      <c r="P14" s="37" t="n">
        <f aca="false">MAX(0,MIN(CH_SelProceeds-(SUM($C14:O14)),(SUM($C12:P12)+SUM($C15:P15))-(SUM($C13:P13))-(SUM($C14:O14))))</f>
        <v>0</v>
      </c>
      <c r="Q14" s="37" t="n">
        <f aca="false">MAX(0,MIN(CH_SelProceeds-(SUM($C14:P14)),(SUM($C12:Q12)+SUM($C15:Q15))-(SUM($C13:Q13))-(SUM($C14:P14))))</f>
        <v>0</v>
      </c>
      <c r="R14" s="37" t="n">
        <f aca="false">MAX(0,MIN(CH_SelProceeds-(SUM($C14:Q14)),(SUM($C12:R12)+SUM($C15:R15))-(SUM($C13:R13))-(SUM($C14:Q14))))</f>
        <v>0</v>
      </c>
      <c r="S14" s="37" t="n">
        <f aca="false">MAX(0,MIN(CH_SelProceeds-(SUM($C14:R14)),(SUM($C12:S12)+SUM($C15:S15))-(SUM($C13:S13))-(SUM($C14:R14))))</f>
        <v>0</v>
      </c>
      <c r="T14" s="37" t="n">
        <f aca="false">MAX(0,MIN(CH_SelProceeds-(SUM($C14:S14)),(SUM($C12:T12)+SUM($C15:T15))-(SUM($C13:T13))-(SUM($C14:S14))))</f>
        <v>0</v>
      </c>
      <c r="U14" s="84" t="n">
        <f aca="false">SUM(C14:T14)</f>
        <v>3410352.37516911</v>
      </c>
    </row>
    <row r="15" customFormat="false" ht="15" hidden="false" customHeight="true" outlineLevel="0" collapsed="false">
      <c r="B15" s="13" t="s">
        <v>623</v>
      </c>
      <c r="C15" s="37" t="n">
        <v>0</v>
      </c>
      <c r="D15" s="37" t="n">
        <f aca="false">IF(D5&lt;=CH_RehabMonths,MAX(0,C16-$C$16)*PermRate/12,0)</f>
        <v>0</v>
      </c>
      <c r="E15" s="37" t="n">
        <f aca="false">IF(E5&lt;=CH_RehabMonths,MAX(0,D16-$C$16)*PermRate/12,0)</f>
        <v>1360.885344</v>
      </c>
      <c r="F15" s="37" t="n">
        <f aca="false">IF(F5&lt;=CH_RehabMonths,MAX(0,E16-$C$16)*PermRate/12,0)</f>
        <v>3538.3018944</v>
      </c>
      <c r="G15" s="37" t="n">
        <f aca="false">IF(G5&lt;=CH_RehabMonths,MAX(0,F16-$C$16)*PermRate/12,0)</f>
        <v>6393.439346112</v>
      </c>
      <c r="H15" s="37" t="n">
        <f aca="false">IF(H5&lt;=CH_RehabMonths,MAX(0,G16-$C$16)*PermRate/12,0)</f>
        <v>9739.82918930112</v>
      </c>
      <c r="I15" s="37" t="n">
        <f aca="false">IF(I5&lt;=CH_RehabMonths,MAX(0,H16-$C$16)*PermRate/12,0)</f>
        <v>13359.1987514661</v>
      </c>
      <c r="J15" s="37" t="n">
        <f aca="false">IF(J5&lt;=CH_RehabMonths,MAX(0,I16-$C$16)*PermRate/12,0)</f>
        <v>16231.8320745456</v>
      </c>
      <c r="K15" s="37" t="n">
        <f aca="false">IF(K5&lt;=CH_RehabMonths,MAX(0,J16-$C$16)*PermRate/12,0)</f>
        <v>16312.9912349183</v>
      </c>
      <c r="L15" s="37" t="n">
        <f aca="false">IF(L5&lt;=CH_RehabMonths,MAX(0,K16-$C$16)*PermRate/12,0)</f>
        <v>16394.5561910929</v>
      </c>
      <c r="M15" s="37" t="n">
        <f aca="false">IF(M5&lt;=CH_RehabMonths,MAX(0,L16-$C$16)*PermRate/12,0)</f>
        <v>16476.5289720484</v>
      </c>
      <c r="N15" s="37" t="n">
        <f aca="false">IF(N5&lt;=CH_RehabMonths,MAX(0,M16-$C$16)*PermRate/12,0)</f>
        <v>16558.9116169086</v>
      </c>
      <c r="O15" s="37" t="n">
        <f aca="false">IF(O5&lt;=CH_RehabMonths,MAX(0,N16-$C$16)*PermRate/12,0)</f>
        <v>0</v>
      </c>
      <c r="P15" s="37" t="n">
        <f aca="false">IF(P5&lt;=CH_RehabMonths,MAX(0,O16-$C$16)*PermRate/12,0)</f>
        <v>0</v>
      </c>
      <c r="Q15" s="37" t="n">
        <f aca="false">IF(Q5&lt;=CH_RehabMonths,MAX(0,P16-$C$16)*PermRate/12,0)</f>
        <v>0</v>
      </c>
      <c r="R15" s="37" t="n">
        <f aca="false">IF(R5&lt;=CH_RehabMonths,MAX(0,Q16-$C$16)*PermRate/12,0)</f>
        <v>0</v>
      </c>
      <c r="S15" s="37" t="n">
        <f aca="false">IF(S5&lt;=CH_RehabMonths,MAX(0,R16-$C$16)*PermRate/12,0)</f>
        <v>0</v>
      </c>
      <c r="T15" s="37" t="n">
        <f aca="false">IF(T5&lt;=CH_RehabMonths,MAX(0,S16-$C$16)*PermRate/12,0)</f>
        <v>0</v>
      </c>
      <c r="U15" s="84" t="n">
        <f aca="false">SUM(C15:T15)</f>
        <v>116366.474614793</v>
      </c>
    </row>
    <row r="16" customFormat="false" ht="15" hidden="false" customHeight="true" outlineLevel="0" collapsed="false">
      <c r="B16" s="13" t="s">
        <v>624</v>
      </c>
      <c r="C16" s="37" t="n">
        <f aca="false">0+C14+C15</f>
        <v>198377.614785271</v>
      </c>
      <c r="D16" s="37" t="n">
        <f aca="false">C16+D14+D15</f>
        <v>470554.683585271</v>
      </c>
      <c r="E16" s="37" t="n">
        <f aca="false">D16+E14+E15</f>
        <v>906037.993665271</v>
      </c>
      <c r="F16" s="37" t="n">
        <f aca="false">E16+F14+F15</f>
        <v>1477065.48400767</v>
      </c>
      <c r="G16" s="37" t="n">
        <f aca="false">F16+G14+G15</f>
        <v>2146343.45264549</v>
      </c>
      <c r="H16" s="37" t="n">
        <f aca="false">G16+H14+H15</f>
        <v>2870217.3650785</v>
      </c>
      <c r="I16" s="37" t="n">
        <f aca="false">H16+I14+I15</f>
        <v>3444744.02969439</v>
      </c>
      <c r="J16" s="37" t="n">
        <f aca="false">I16+J14+J15</f>
        <v>3460975.86176894</v>
      </c>
      <c r="K16" s="37" t="n">
        <f aca="false">J16+K14+K15</f>
        <v>3477288.85300385</v>
      </c>
      <c r="L16" s="37" t="n">
        <f aca="false">K16+L14+L15</f>
        <v>3493683.40919495</v>
      </c>
      <c r="M16" s="37" t="n">
        <f aca="false">L16+M14+M15</f>
        <v>3510159.938167</v>
      </c>
      <c r="N16" s="37" t="n">
        <f aca="false">M16+N14+N15</f>
        <v>3526718.8497839</v>
      </c>
      <c r="O16" s="37" t="n">
        <f aca="false">N16+O14+O15</f>
        <v>3526718.8497839</v>
      </c>
      <c r="P16" s="37" t="n">
        <f aca="false">O16+P14+P15</f>
        <v>3526718.8497839</v>
      </c>
      <c r="Q16" s="37" t="n">
        <f aca="false">P16+Q14+Q15</f>
        <v>3526718.8497839</v>
      </c>
      <c r="R16" s="37" t="n">
        <f aca="false">Q16+R14+R15</f>
        <v>3526718.8497839</v>
      </c>
      <c r="S16" s="37" t="n">
        <f aca="false">R16+S14+S15</f>
        <v>3526718.8497839</v>
      </c>
      <c r="T16" s="37" t="n">
        <f aca="false">S16+T14+T15</f>
        <v>3526718.8497839</v>
      </c>
    </row>
    <row r="17" customFormat="false" ht="15" hidden="false" customHeight="true" outlineLevel="0" collapsed="false">
      <c r="B17" s="13" t="s">
        <v>625</v>
      </c>
      <c r="C17" s="37" t="n">
        <f aca="false">SUM($C13:C13)+SUM($C14:C14)</f>
        <v>646751.230843639</v>
      </c>
      <c r="D17" s="37" t="n">
        <f aca="false">SUM($C13:D13)+SUM($C14:D14)</f>
        <v>918928.299643639</v>
      </c>
      <c r="E17" s="37" t="n">
        <f aca="false">SUM($C13:E13)+SUM($C14:E14)</f>
        <v>1353050.72437964</v>
      </c>
      <c r="F17" s="37" t="n">
        <f aca="false">SUM($C13:F13)+SUM($C14:F14)</f>
        <v>1920539.91282764</v>
      </c>
      <c r="G17" s="37" t="n">
        <f aca="false">SUM($C13:G13)+SUM($C14:G14)</f>
        <v>2583424.44211935</v>
      </c>
      <c r="H17" s="37" t="n">
        <f aca="false">SUM($C13:H13)+SUM($C14:H14)</f>
        <v>3297558.52536305</v>
      </c>
      <c r="I17" s="37" t="n">
        <f aca="false">SUM($C13:I13)+SUM($C14:I14)</f>
        <v>3858725.99122748</v>
      </c>
      <c r="J17" s="37" t="n">
        <f aca="false">SUM($C13:J13)+SUM($C14:J14)</f>
        <v>3858725.99122748</v>
      </c>
      <c r="K17" s="37" t="n">
        <f aca="false">SUM($C13:K13)+SUM($C14:K14)</f>
        <v>3858725.99122748</v>
      </c>
      <c r="L17" s="37" t="n">
        <f aca="false">SUM($C13:L13)+SUM($C14:L14)</f>
        <v>3858725.99122748</v>
      </c>
      <c r="M17" s="37" t="n">
        <f aca="false">SUM($C13:M13)+SUM($C14:M14)</f>
        <v>3858725.99122748</v>
      </c>
      <c r="N17" s="37" t="n">
        <f aca="false">SUM($C13:N13)+SUM($C14:N14)</f>
        <v>4979660.0313734</v>
      </c>
      <c r="O17" s="37" t="n">
        <f aca="false">SUM($C13:O13)+SUM($C14:O14)</f>
        <v>4979660.0313734</v>
      </c>
      <c r="P17" s="37" t="n">
        <f aca="false">SUM($C13:P13)+SUM($C14:P14)</f>
        <v>4979660.0313734</v>
      </c>
      <c r="Q17" s="37" t="n">
        <f aca="false">SUM($C13:Q13)+SUM($C14:Q14)</f>
        <v>4979660.0313734</v>
      </c>
      <c r="R17" s="37" t="n">
        <f aca="false">SUM($C13:R13)+SUM($C14:R14)</f>
        <v>4979660.0313734</v>
      </c>
      <c r="S17" s="37" t="n">
        <f aca="false">SUM($C13:S13)+SUM($C14:S14)</f>
        <v>4979660.0313734</v>
      </c>
      <c r="T17" s="37" t="n">
        <f aca="false">SUM($C13:T13)+SUM($C14:T14)</f>
        <v>5652220.45546095</v>
      </c>
    </row>
    <row r="18" customFormat="false" ht="15" hidden="false" customHeight="true" outlineLevel="0" collapsed="false">
      <c r="B18" s="19" t="s">
        <v>626</v>
      </c>
      <c r="U18" s="21" t="n">
        <f aca="false">MAX(C16:T16)</f>
        <v>3526718.8497839</v>
      </c>
    </row>
    <row r="21" customFormat="false" ht="15" hidden="false" customHeight="true" outlineLevel="0" collapsed="false">
      <c r="B21" s="3" t="s">
        <v>627</v>
      </c>
      <c r="C21" s="3"/>
      <c r="D21" s="48" t="n">
        <f aca="false">NZ_ResynDate</f>
        <v>47119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customFormat="false" ht="15" hidden="false" customHeight="true" outlineLevel="0" collapsed="false">
      <c r="B22" s="40" t="s">
        <v>578</v>
      </c>
      <c r="C22" s="81" t="n">
        <v>1</v>
      </c>
      <c r="D22" s="81" t="n">
        <v>2</v>
      </c>
      <c r="E22" s="81" t="n">
        <v>3</v>
      </c>
      <c r="F22" s="81" t="n">
        <v>4</v>
      </c>
      <c r="G22" s="81" t="n">
        <v>5</v>
      </c>
      <c r="H22" s="81" t="n">
        <v>6</v>
      </c>
      <c r="I22" s="81" t="n">
        <v>7</v>
      </c>
      <c r="J22" s="81" t="n">
        <v>8</v>
      </c>
      <c r="K22" s="81" t="n">
        <v>9</v>
      </c>
      <c r="L22" s="81" t="n">
        <v>10</v>
      </c>
      <c r="M22" s="81" t="n">
        <v>11</v>
      </c>
      <c r="N22" s="81" t="n">
        <v>12</v>
      </c>
      <c r="O22" s="81" t="n">
        <v>13</v>
      </c>
      <c r="P22" s="81" t="n">
        <v>14</v>
      </c>
      <c r="Q22" s="81" t="n">
        <v>15</v>
      </c>
      <c r="R22" s="81" t="n">
        <v>16</v>
      </c>
      <c r="S22" s="81" t="n">
        <v>17</v>
      </c>
      <c r="T22" s="81" t="n">
        <v>18</v>
      </c>
      <c r="U22" s="82" t="s">
        <v>613</v>
      </c>
    </row>
    <row r="23" customFormat="false" ht="15" hidden="false" customHeight="true" outlineLevel="0" collapsed="false">
      <c r="B23" s="13" t="s">
        <v>614</v>
      </c>
      <c r="C23" s="83" t="n">
        <f aca="false">EDATE(NZ_ResynDate,0)</f>
        <v>47119</v>
      </c>
      <c r="D23" s="83" t="n">
        <f aca="false">EDATE(NZ_ResynDate,1)</f>
        <v>47150</v>
      </c>
      <c r="E23" s="83" t="n">
        <f aca="false">EDATE(NZ_ResynDate,2)</f>
        <v>47178</v>
      </c>
      <c r="F23" s="83" t="n">
        <f aca="false">EDATE(NZ_ResynDate,3)</f>
        <v>47209</v>
      </c>
      <c r="G23" s="83" t="n">
        <f aca="false">EDATE(NZ_ResynDate,4)</f>
        <v>47239</v>
      </c>
      <c r="H23" s="83" t="n">
        <f aca="false">EDATE(NZ_ResynDate,5)</f>
        <v>47270</v>
      </c>
      <c r="I23" s="83" t="n">
        <f aca="false">EDATE(NZ_ResynDate,6)</f>
        <v>47300</v>
      </c>
      <c r="J23" s="83" t="n">
        <f aca="false">EDATE(NZ_ResynDate,7)</f>
        <v>47331</v>
      </c>
      <c r="K23" s="83" t="n">
        <f aca="false">EDATE(NZ_ResynDate,8)</f>
        <v>47362</v>
      </c>
      <c r="L23" s="83" t="n">
        <f aca="false">EDATE(NZ_ResynDate,9)</f>
        <v>47392</v>
      </c>
      <c r="M23" s="83" t="n">
        <f aca="false">EDATE(NZ_ResynDate,10)</f>
        <v>47423</v>
      </c>
      <c r="N23" s="83" t="n">
        <f aca="false">EDATE(NZ_ResynDate,11)</f>
        <v>47453</v>
      </c>
      <c r="O23" s="83" t="n">
        <f aca="false">EDATE(NZ_ResynDate,12)</f>
        <v>47484</v>
      </c>
      <c r="P23" s="83" t="n">
        <f aca="false">EDATE(NZ_ResynDate,13)</f>
        <v>47515</v>
      </c>
      <c r="Q23" s="83" t="n">
        <f aca="false">EDATE(NZ_ResynDate,14)</f>
        <v>47543</v>
      </c>
      <c r="R23" s="83" t="n">
        <f aca="false">EDATE(NZ_ResynDate,15)</f>
        <v>47574</v>
      </c>
      <c r="S23" s="83" t="n">
        <f aca="false">EDATE(NZ_ResynDate,16)</f>
        <v>47604</v>
      </c>
      <c r="T23" s="83" t="n">
        <f aca="false">EDATE(NZ_ResynDate,17)</f>
        <v>47635</v>
      </c>
    </row>
    <row r="24" customFormat="false" ht="15" hidden="false" customHeight="true" outlineLevel="0" collapsed="false">
      <c r="B24" s="13" t="s">
        <v>615</v>
      </c>
      <c r="C24" s="37" t="n">
        <f aca="false">IF(C22=1,NZ_AcqPrice,0)</f>
        <v>0</v>
      </c>
      <c r="D24" s="37" t="n">
        <f aca="false">IF(D22=1,NZ_AcqPrice,0)</f>
        <v>0</v>
      </c>
      <c r="E24" s="37" t="n">
        <f aca="false">IF(E22=1,NZ_AcqPrice,0)</f>
        <v>0</v>
      </c>
      <c r="F24" s="37" t="n">
        <f aca="false">IF(F22=1,NZ_AcqPrice,0)</f>
        <v>0</v>
      </c>
      <c r="G24" s="37" t="n">
        <f aca="false">IF(G22=1,NZ_AcqPrice,0)</f>
        <v>0</v>
      </c>
      <c r="H24" s="37" t="n">
        <f aca="false">IF(H22=1,NZ_AcqPrice,0)</f>
        <v>0</v>
      </c>
      <c r="I24" s="37" t="n">
        <f aca="false">IF(I22=1,NZ_AcqPrice,0)</f>
        <v>0</v>
      </c>
      <c r="J24" s="37" t="n">
        <f aca="false">IF(J22=1,NZ_AcqPrice,0)</f>
        <v>0</v>
      </c>
      <c r="K24" s="37" t="n">
        <f aca="false">IF(K22=1,NZ_AcqPrice,0)</f>
        <v>0</v>
      </c>
      <c r="L24" s="37" t="n">
        <f aca="false">IF(L22=1,NZ_AcqPrice,0)</f>
        <v>0</v>
      </c>
      <c r="M24" s="37" t="n">
        <f aca="false">IF(M22=1,NZ_AcqPrice,0)</f>
        <v>0</v>
      </c>
      <c r="N24" s="37" t="n">
        <f aca="false">IF(N22=1,NZ_AcqPrice,0)</f>
        <v>0</v>
      </c>
      <c r="O24" s="37" t="n">
        <f aca="false">IF(O22=1,NZ_AcqPrice,0)</f>
        <v>0</v>
      </c>
      <c r="P24" s="37" t="n">
        <f aca="false">IF(P22=1,NZ_AcqPrice,0)</f>
        <v>0</v>
      </c>
      <c r="Q24" s="37" t="n">
        <f aca="false">IF(Q22=1,NZ_AcqPrice,0)</f>
        <v>0</v>
      </c>
      <c r="R24" s="37" t="n">
        <f aca="false">IF(R22=1,NZ_AcqPrice,0)</f>
        <v>0</v>
      </c>
      <c r="S24" s="37" t="n">
        <f aca="false">IF(S22=1,NZ_AcqPrice,0)</f>
        <v>0</v>
      </c>
      <c r="T24" s="37" t="n">
        <f aca="false">IF(T22=1,NZ_AcqPrice,0)</f>
        <v>0</v>
      </c>
      <c r="U24" s="84" t="n">
        <f aca="false">SUM(C24:T24)</f>
        <v>0</v>
      </c>
    </row>
    <row r="25" customFormat="false" ht="15" hidden="false" customHeight="true" outlineLevel="0" collapsed="false">
      <c r="B25" s="13" t="s">
        <v>628</v>
      </c>
      <c r="C25" s="37" t="n">
        <f aca="false">IF(C22=1,NZ_HOMEPayoff,0)</f>
        <v>2027484.62</v>
      </c>
      <c r="D25" s="37" t="n">
        <f aca="false">IF(D22=1,NZ_HOMEPayoff,0)</f>
        <v>0</v>
      </c>
      <c r="E25" s="37" t="n">
        <f aca="false">IF(E22=1,NZ_HOMEPayoff,0)</f>
        <v>0</v>
      </c>
      <c r="F25" s="37" t="n">
        <f aca="false">IF(F22=1,NZ_HOMEPayoff,0)</f>
        <v>0</v>
      </c>
      <c r="G25" s="37" t="n">
        <f aca="false">IF(G22=1,NZ_HOMEPayoff,0)</f>
        <v>0</v>
      </c>
      <c r="H25" s="37" t="n">
        <f aca="false">IF(H22=1,NZ_HOMEPayoff,0)</f>
        <v>0</v>
      </c>
      <c r="I25" s="37" t="n">
        <f aca="false">IF(I22=1,NZ_HOMEPayoff,0)</f>
        <v>0</v>
      </c>
      <c r="J25" s="37" t="n">
        <f aca="false">IF(J22=1,NZ_HOMEPayoff,0)</f>
        <v>0</v>
      </c>
      <c r="K25" s="37" t="n">
        <f aca="false">IF(K22=1,NZ_HOMEPayoff,0)</f>
        <v>0</v>
      </c>
      <c r="L25" s="37" t="n">
        <f aca="false">IF(L22=1,NZ_HOMEPayoff,0)</f>
        <v>0</v>
      </c>
      <c r="M25" s="37" t="n">
        <f aca="false">IF(M22=1,NZ_HOMEPayoff,0)</f>
        <v>0</v>
      </c>
      <c r="N25" s="37" t="n">
        <f aca="false">IF(N22=1,NZ_HOMEPayoff,0)</f>
        <v>0</v>
      </c>
      <c r="O25" s="37" t="n">
        <f aca="false">IF(O22=1,NZ_HOMEPayoff,0)</f>
        <v>0</v>
      </c>
      <c r="P25" s="37" t="n">
        <f aca="false">IF(P22=1,NZ_HOMEPayoff,0)</f>
        <v>0</v>
      </c>
      <c r="Q25" s="37" t="n">
        <f aca="false">IF(Q22=1,NZ_HOMEPayoff,0)</f>
        <v>0</v>
      </c>
      <c r="R25" s="37" t="n">
        <f aca="false">IF(R22=1,NZ_HOMEPayoff,0)</f>
        <v>0</v>
      </c>
      <c r="S25" s="37" t="n">
        <f aca="false">IF(S22=1,NZ_HOMEPayoff,0)</f>
        <v>0</v>
      </c>
      <c r="T25" s="37" t="n">
        <f aca="false">IF(T22=1,NZ_HOMEPayoff,0)</f>
        <v>0</v>
      </c>
      <c r="U25" s="84" t="n">
        <f aca="false">SUM(C25:T25)</f>
        <v>2027484.62</v>
      </c>
    </row>
    <row r="26" customFormat="false" ht="15" hidden="false" customHeight="true" outlineLevel="0" collapsed="false">
      <c r="B26" s="13" t="s">
        <v>617</v>
      </c>
      <c r="C26" s="37" t="n">
        <f aca="false">NZ_RehabBasis*INDEX(NZ_BurnCurve,1)</f>
        <v>114573.585152</v>
      </c>
      <c r="D26" s="37" t="n">
        <f aca="false">NZ_RehabBasis*INDEX(NZ_BurnCurve,2)</f>
        <v>336981.1328</v>
      </c>
      <c r="E26" s="37" t="n">
        <f aca="false">NZ_RehabBasis*INDEX(NZ_BurnCurve,3)</f>
        <v>535800.001152</v>
      </c>
      <c r="F26" s="37" t="n">
        <f aca="false">NZ_RehabBasis*INDEX(NZ_BurnCurve,4)</f>
        <v>698224.9071616</v>
      </c>
      <c r="G26" s="37" t="n">
        <f aca="false">NZ_RehabBasis*INDEX(NZ_BurnCurve,5)</f>
        <v>812798.4923136</v>
      </c>
      <c r="H26" s="37" t="n">
        <f aca="false">NZ_RehabBasis*INDEX(NZ_BurnCurve,6)</f>
        <v>872107.1716864</v>
      </c>
      <c r="I26" s="37" t="n">
        <f aca="false">NZ_RehabBasis*INDEX(NZ_BurnCurve,7)</f>
        <v>872107.1716864</v>
      </c>
      <c r="J26" s="37" t="n">
        <f aca="false">NZ_RehabBasis*INDEX(NZ_BurnCurve,8)</f>
        <v>812798.4923136</v>
      </c>
      <c r="K26" s="37" t="n">
        <f aca="false">NZ_RehabBasis*INDEX(NZ_BurnCurve,9)</f>
        <v>698224.9071616</v>
      </c>
      <c r="L26" s="37" t="n">
        <f aca="false">NZ_RehabBasis*INDEX(NZ_BurnCurve,10)</f>
        <v>535800.001152</v>
      </c>
      <c r="M26" s="37" t="n">
        <f aca="false">NZ_RehabBasis*INDEX(NZ_BurnCurve,11)</f>
        <v>336981.1328</v>
      </c>
      <c r="N26" s="37" t="n">
        <f aca="false">NZ_RehabBasis*INDEX(NZ_BurnCurve,12)</f>
        <v>113225.6606208</v>
      </c>
      <c r="O26" s="37" t="n">
        <f aca="false">NZ_RehabBasis*INDEX(NZ_BurnCurve,13)</f>
        <v>0</v>
      </c>
      <c r="P26" s="37" t="n">
        <f aca="false">NZ_RehabBasis*INDEX(NZ_BurnCurve,14)</f>
        <v>0</v>
      </c>
      <c r="Q26" s="37" t="n">
        <f aca="false">NZ_RehabBasis*INDEX(NZ_BurnCurve,15)</f>
        <v>0</v>
      </c>
      <c r="R26" s="37" t="n">
        <f aca="false">NZ_RehabBasis*INDEX(NZ_BurnCurve,16)</f>
        <v>0</v>
      </c>
      <c r="S26" s="37" t="n">
        <f aca="false">NZ_RehabBasis*INDEX(NZ_BurnCurve,17)</f>
        <v>0</v>
      </c>
      <c r="T26" s="37" t="n">
        <f aca="false">NZ_RehabBasis*INDEX(NZ_BurnCurve,18)</f>
        <v>0</v>
      </c>
      <c r="U26" s="84" t="n">
        <f aca="false">SUM(C26:T26)</f>
        <v>6739622.656</v>
      </c>
    </row>
    <row r="27" customFormat="false" ht="15" hidden="false" customHeight="true" outlineLevel="0" collapsed="false">
      <c r="B27" s="13" t="s">
        <v>618</v>
      </c>
      <c r="C27" s="37" t="n">
        <f aca="false">IF(C22=1,NZ_FinFees+'Sources &amp; Uses'!D21+'Sources &amp; Uses'!D23,0)</f>
        <v>678788.614231935</v>
      </c>
      <c r="D27" s="37" t="n">
        <f aca="false">IF(D22=1,NZ_FinFees+'Sources &amp; Uses'!D21+'Sources &amp; Uses'!D23,0)</f>
        <v>0</v>
      </c>
      <c r="E27" s="37" t="n">
        <f aca="false">IF(E22=1,NZ_FinFees+'Sources &amp; Uses'!D21+'Sources &amp; Uses'!D23,0)</f>
        <v>0</v>
      </c>
      <c r="F27" s="37" t="n">
        <f aca="false">IF(F22=1,NZ_FinFees+'Sources &amp; Uses'!D21+'Sources &amp; Uses'!D23,0)</f>
        <v>0</v>
      </c>
      <c r="G27" s="37" t="n">
        <f aca="false">IF(G22=1,NZ_FinFees+'Sources &amp; Uses'!D21+'Sources &amp; Uses'!D23,0)</f>
        <v>0</v>
      </c>
      <c r="H27" s="37" t="n">
        <f aca="false">IF(H22=1,NZ_FinFees+'Sources &amp; Uses'!D21+'Sources &amp; Uses'!D23,0)</f>
        <v>0</v>
      </c>
      <c r="I27" s="37" t="n">
        <f aca="false">IF(I22=1,NZ_FinFees+'Sources &amp; Uses'!D21+'Sources &amp; Uses'!D23,0)</f>
        <v>0</v>
      </c>
      <c r="J27" s="37" t="n">
        <f aca="false">IF(J22=1,NZ_FinFees+'Sources &amp; Uses'!D21+'Sources &amp; Uses'!D23,0)</f>
        <v>0</v>
      </c>
      <c r="K27" s="37" t="n">
        <f aca="false">IF(K22=1,NZ_FinFees+'Sources &amp; Uses'!D21+'Sources &amp; Uses'!D23,0)</f>
        <v>0</v>
      </c>
      <c r="L27" s="37" t="n">
        <f aca="false">IF(L22=1,NZ_FinFees+'Sources &amp; Uses'!D21+'Sources &amp; Uses'!D23,0)</f>
        <v>0</v>
      </c>
      <c r="M27" s="37" t="n">
        <f aca="false">IF(M22=1,NZ_FinFees+'Sources &amp; Uses'!D21+'Sources &amp; Uses'!D23,0)</f>
        <v>0</v>
      </c>
      <c r="N27" s="37" t="n">
        <f aca="false">IF(N22=1,NZ_FinFees+'Sources &amp; Uses'!D21+'Sources &amp; Uses'!D23,0)</f>
        <v>0</v>
      </c>
      <c r="O27" s="37" t="n">
        <f aca="false">IF(O22=1,NZ_FinFees+'Sources &amp; Uses'!D21+'Sources &amp; Uses'!D23,0)</f>
        <v>0</v>
      </c>
      <c r="P27" s="37" t="n">
        <f aca="false">IF(P22=1,NZ_FinFees+'Sources &amp; Uses'!D21+'Sources &amp; Uses'!D23,0)</f>
        <v>0</v>
      </c>
      <c r="Q27" s="37" t="n">
        <f aca="false">IF(Q22=1,NZ_FinFees+'Sources &amp; Uses'!D21+'Sources &amp; Uses'!D23,0)</f>
        <v>0</v>
      </c>
      <c r="R27" s="37" t="n">
        <f aca="false">IF(R22=1,NZ_FinFees+'Sources &amp; Uses'!D21+'Sources &amp; Uses'!D23,0)</f>
        <v>0</v>
      </c>
      <c r="S27" s="37" t="n">
        <f aca="false">IF(S22=1,NZ_FinFees+'Sources &amp; Uses'!D21+'Sources &amp; Uses'!D23,0)</f>
        <v>0</v>
      </c>
      <c r="T27" s="37" t="n">
        <f aca="false">IF(T22=1,NZ_FinFees+'Sources &amp; Uses'!D21+'Sources &amp; Uses'!D23,0)</f>
        <v>0</v>
      </c>
      <c r="U27" s="84" t="n">
        <f aca="false">SUM(C27:T27)</f>
        <v>678788.614231935</v>
      </c>
    </row>
    <row r="28" customFormat="false" ht="15" hidden="false" customHeight="true" outlineLevel="0" collapsed="false">
      <c r="B28" s="13" t="s">
        <v>619</v>
      </c>
      <c r="C28" s="37" t="n">
        <f aca="false">IF(C22=NZ_RehabMonths+6,NZ_DevFee-NZ_DDF,0)</f>
        <v>0</v>
      </c>
      <c r="D28" s="37" t="n">
        <f aca="false">IF(D22=NZ_RehabMonths+6,NZ_DevFee-NZ_DDF,0)</f>
        <v>0</v>
      </c>
      <c r="E28" s="37" t="n">
        <f aca="false">IF(E22=NZ_RehabMonths+6,NZ_DevFee-NZ_DDF,0)</f>
        <v>0</v>
      </c>
      <c r="F28" s="37" t="n">
        <f aca="false">IF(F22=NZ_RehabMonths+6,NZ_DevFee-NZ_DDF,0)</f>
        <v>0</v>
      </c>
      <c r="G28" s="37" t="n">
        <f aca="false">IF(G22=NZ_RehabMonths+6,NZ_DevFee-NZ_DDF,0)</f>
        <v>0</v>
      </c>
      <c r="H28" s="37" t="n">
        <f aca="false">IF(H22=NZ_RehabMonths+6,NZ_DevFee-NZ_DDF,0)</f>
        <v>0</v>
      </c>
      <c r="I28" s="37" t="n">
        <f aca="false">IF(I22=NZ_RehabMonths+6,NZ_DevFee-NZ_DDF,0)</f>
        <v>0</v>
      </c>
      <c r="J28" s="37" t="n">
        <f aca="false">IF(J22=NZ_RehabMonths+6,NZ_DevFee-NZ_DDF,0)</f>
        <v>0</v>
      </c>
      <c r="K28" s="37" t="n">
        <f aca="false">IF(K22=NZ_RehabMonths+6,NZ_DevFee-NZ_DDF,0)</f>
        <v>0</v>
      </c>
      <c r="L28" s="37" t="n">
        <f aca="false">IF(L22=NZ_RehabMonths+6,NZ_DevFee-NZ_DDF,0)</f>
        <v>0</v>
      </c>
      <c r="M28" s="37" t="n">
        <f aca="false">IF(M22=NZ_RehabMonths+6,NZ_DevFee-NZ_DDF,0)</f>
        <v>0</v>
      </c>
      <c r="N28" s="37" t="n">
        <f aca="false">IF(N22=NZ_RehabMonths+6,NZ_DevFee-NZ_DDF,0)</f>
        <v>0</v>
      </c>
      <c r="O28" s="37" t="n">
        <f aca="false">IF(O22=NZ_RehabMonths+6,NZ_DevFee-NZ_DDF,0)</f>
        <v>0</v>
      </c>
      <c r="P28" s="37" t="n">
        <f aca="false">IF(P22=NZ_RehabMonths+6,NZ_DevFee-NZ_DDF,0)</f>
        <v>0</v>
      </c>
      <c r="Q28" s="37" t="n">
        <f aca="false">IF(Q22=NZ_RehabMonths+6,NZ_DevFee-NZ_DDF,0)</f>
        <v>0</v>
      </c>
      <c r="R28" s="37" t="n">
        <f aca="false">IF(R22=NZ_RehabMonths+6,NZ_DevFee-NZ_DDF,0)</f>
        <v>0</v>
      </c>
      <c r="S28" s="37" t="n">
        <f aca="false">IF(S22=NZ_RehabMonths+6,NZ_DevFee-NZ_DDF,0)</f>
        <v>0</v>
      </c>
      <c r="T28" s="37" t="n">
        <f aca="false">IF(T22=NZ_RehabMonths+6,NZ_DevFee-NZ_DDF,0)</f>
        <v>0</v>
      </c>
      <c r="U28" s="84" t="n">
        <f aca="false">SUM(C28:T28)</f>
        <v>0</v>
      </c>
    </row>
    <row r="29" customFormat="false" ht="15" hidden="false" customHeight="true" outlineLevel="0" collapsed="false">
      <c r="B29" s="19" t="s">
        <v>620</v>
      </c>
      <c r="C29" s="84" t="n">
        <f aca="false">SUM(C24:C28)</f>
        <v>2820846.81938394</v>
      </c>
      <c r="D29" s="84" t="n">
        <f aca="false">SUM(D24:D28)</f>
        <v>336981.1328</v>
      </c>
      <c r="E29" s="84" t="n">
        <f aca="false">SUM(E24:E28)</f>
        <v>535800.001152</v>
      </c>
      <c r="F29" s="84" t="n">
        <f aca="false">SUM(F24:F28)</f>
        <v>698224.9071616</v>
      </c>
      <c r="G29" s="84" t="n">
        <f aca="false">SUM(G24:G28)</f>
        <v>812798.4923136</v>
      </c>
      <c r="H29" s="84" t="n">
        <f aca="false">SUM(H24:H28)</f>
        <v>872107.1716864</v>
      </c>
      <c r="I29" s="84" t="n">
        <f aca="false">SUM(I24:I28)</f>
        <v>872107.1716864</v>
      </c>
      <c r="J29" s="84" t="n">
        <f aca="false">SUM(J24:J28)</f>
        <v>812798.4923136</v>
      </c>
      <c r="K29" s="84" t="n">
        <f aca="false">SUM(K24:K28)</f>
        <v>698224.9071616</v>
      </c>
      <c r="L29" s="84" t="n">
        <f aca="false">SUM(L24:L28)</f>
        <v>535800.001152</v>
      </c>
      <c r="M29" s="84" t="n">
        <f aca="false">SUM(M24:M28)</f>
        <v>336981.1328</v>
      </c>
      <c r="N29" s="84" t="n">
        <f aca="false">SUM(N24:N28)</f>
        <v>113225.6606208</v>
      </c>
      <c r="O29" s="84" t="n">
        <f aca="false">SUM(O24:O28)</f>
        <v>0</v>
      </c>
      <c r="P29" s="84" t="n">
        <f aca="false">SUM(P24:P28)</f>
        <v>0</v>
      </c>
      <c r="Q29" s="84" t="n">
        <f aca="false">SUM(Q24:Q28)</f>
        <v>0</v>
      </c>
      <c r="R29" s="84" t="n">
        <f aca="false">SUM(R24:R28)</f>
        <v>0</v>
      </c>
      <c r="S29" s="84" t="n">
        <f aca="false">SUM(S24:S28)</f>
        <v>0</v>
      </c>
      <c r="T29" s="84" t="n">
        <f aca="false">SUM(T24:T28)</f>
        <v>0</v>
      </c>
      <c r="U29" s="21" t="n">
        <f aca="false">SUM(C29:T29)</f>
        <v>9445895.89023193</v>
      </c>
    </row>
    <row r="30" customFormat="false" ht="15" hidden="false" customHeight="true" outlineLevel="0" collapsed="false">
      <c r="B30" s="13" t="s">
        <v>621</v>
      </c>
      <c r="C30" s="37" t="n">
        <f aca="false">SUMPRODUCT((NZ_PayinMonths=C22)*NZ_PayinAmts)</f>
        <v>555129.238929408</v>
      </c>
      <c r="D30" s="37" t="n">
        <f aca="false">SUMPRODUCT((NZ_PayinMonths=D22)*NZ_PayinAmts)</f>
        <v>0</v>
      </c>
      <c r="E30" s="37" t="n">
        <f aca="false">SUMPRODUCT((NZ_PayinMonths=E22)*NZ_PayinAmts)</f>
        <v>0</v>
      </c>
      <c r="F30" s="37" t="n">
        <f aca="false">SUMPRODUCT((NZ_PayinMonths=F22)*NZ_PayinAmts)</f>
        <v>0</v>
      </c>
      <c r="G30" s="37" t="n">
        <f aca="false">SUMPRODUCT((NZ_PayinMonths=G22)*NZ_PayinAmts)</f>
        <v>0</v>
      </c>
      <c r="H30" s="37" t="n">
        <f aca="false">SUMPRODUCT((NZ_PayinMonths=H22)*NZ_PayinAmts)</f>
        <v>0</v>
      </c>
      <c r="I30" s="37" t="n">
        <f aca="false">SUMPRODUCT((NZ_PayinMonths=I22)*NZ_PayinAmts)</f>
        <v>0</v>
      </c>
      <c r="J30" s="37" t="n">
        <f aca="false">SUMPRODUCT((NZ_PayinMonths=J22)*NZ_PayinAmts)</f>
        <v>0</v>
      </c>
      <c r="K30" s="37" t="n">
        <f aca="false">SUMPRODUCT((NZ_PayinMonths=K22)*NZ_PayinAmts)</f>
        <v>0</v>
      </c>
      <c r="L30" s="37" t="n">
        <f aca="false">SUMPRODUCT((NZ_PayinMonths=L22)*NZ_PayinAmts)</f>
        <v>0</v>
      </c>
      <c r="M30" s="37" t="n">
        <f aca="false">SUMPRODUCT((NZ_PayinMonths=M22)*NZ_PayinAmts)</f>
        <v>0</v>
      </c>
      <c r="N30" s="37" t="n">
        <f aca="false">SUMPRODUCT((NZ_PayinMonths=N22)*NZ_PayinAmts)</f>
        <v>1387823.09732352</v>
      </c>
      <c r="O30" s="37" t="n">
        <f aca="false">SUMPRODUCT((NZ_PayinMonths=O22)*NZ_PayinAmts)</f>
        <v>0</v>
      </c>
      <c r="P30" s="37" t="n">
        <f aca="false">SUMPRODUCT((NZ_PayinMonths=P22)*NZ_PayinAmts)</f>
        <v>0</v>
      </c>
      <c r="Q30" s="37" t="n">
        <f aca="false">SUMPRODUCT((NZ_PayinMonths=Q22)*NZ_PayinAmts)</f>
        <v>0</v>
      </c>
      <c r="R30" s="37" t="n">
        <f aca="false">SUMPRODUCT((NZ_PayinMonths=R22)*NZ_PayinAmts)</f>
        <v>0</v>
      </c>
      <c r="S30" s="37" t="n">
        <f aca="false">SUMPRODUCT((NZ_PayinMonths=S22)*NZ_PayinAmts)</f>
        <v>0</v>
      </c>
      <c r="T30" s="37" t="n">
        <f aca="false">SUMPRODUCT((NZ_PayinMonths=T22)*NZ_PayinAmts)</f>
        <v>832693.858394112</v>
      </c>
      <c r="U30" s="84" t="n">
        <f aca="false">SUM(C30:T30)</f>
        <v>2775646.19464704</v>
      </c>
    </row>
    <row r="31" customFormat="false" ht="15" hidden="false" customHeight="true" outlineLevel="0" collapsed="false">
      <c r="B31" s="13" t="s">
        <v>622</v>
      </c>
      <c r="C31" s="37" t="n">
        <f aca="false">MAX(0,MIN(NZ_SelProceeds-(0),(SUM($C29:C29)+SUM($C32:C32))-(SUM($C30:C30))-(0)))</f>
        <v>2265717.58045453</v>
      </c>
      <c r="D31" s="37" t="n">
        <f aca="false">MAX(0,MIN(NZ_SelProceeds-(SUM($C31:C31)),(SUM($C29:D29)+SUM($C32:D32))-(SUM($C30:D30))-(SUM($C31:C31))))</f>
        <v>336981.1328</v>
      </c>
      <c r="E31" s="37" t="n">
        <f aca="false">MAX(0,MIN(NZ_SelProceeds-(SUM($C31:D31)),(SUM($C29:E29)+SUM($C32:E32))-(SUM($C30:E30))-(SUM($C31:D31))))</f>
        <v>537484.906816</v>
      </c>
      <c r="F31" s="37" t="n">
        <f aca="false">MAX(0,MIN(NZ_SelProceeds-(SUM($C31:E31)),(SUM($C29:F29)+SUM($C32:F32))-(SUM($C30:F30))-(SUM($C31:E31))))</f>
        <v>702605.661888001</v>
      </c>
      <c r="G31" s="37" t="n">
        <f aca="false">MAX(0,MIN(NZ_SelProceeds-(SUM($C31:F31)),(SUM($C29:G29)+SUM($C32:G32))-(SUM($C30:G30))-(SUM($C31:F31))))</f>
        <v>820714.179123072</v>
      </c>
      <c r="H31" s="37" t="n">
        <f aca="false">MAX(0,MIN(NZ_SelProceeds-(SUM($C31:G31)),(SUM($C29:H29)+SUM($C32:H32))-(SUM($C30:H30))-(SUM($C31:G31))))</f>
        <v>884166.007825534</v>
      </c>
      <c r="I31" s="37" t="n">
        <f aca="false">MAX(0,MIN(NZ_SelProceeds-(SUM($C31:H31)),(SUM($C29:I29)+SUM($C32:I32))-(SUM($C30:I30))-(SUM($C31:H31))))</f>
        <v>888647.132045358</v>
      </c>
      <c r="J31" s="37" t="n">
        <f aca="false">MAX(0,MIN(NZ_SelProceeds-(SUM($C31:I31)),(SUM($C29:J29)+SUM($C32:J32))-(SUM($C30:J30))-(SUM($C31:I31))))</f>
        <v>48894.5143336542</v>
      </c>
      <c r="K31" s="37" t="n">
        <f aca="false">MAX(0,MIN(NZ_SelProceeds-(SUM($C31:J31)),(SUM($C29:K29)+SUM($C32:K32))-(SUM($C30:K30))-(SUM($C31:J31))))</f>
        <v>0</v>
      </c>
      <c r="L31" s="37" t="n">
        <f aca="false">MAX(0,MIN(NZ_SelProceeds-(SUM($C31:K31)),(SUM($C29:L29)+SUM($C32:L32))-(SUM($C30:L30))-(SUM($C31:K31))))</f>
        <v>0</v>
      </c>
      <c r="M31" s="37" t="n">
        <f aca="false">MAX(0,MIN(NZ_SelProceeds-(SUM($C31:L31)),(SUM($C29:M29)+SUM($C32:M32))-(SUM($C30:M30))-(SUM($C31:L31))))</f>
        <v>0</v>
      </c>
      <c r="N31" s="37" t="n">
        <f aca="false">MAX(0,MIN(NZ_SelProceeds-(SUM($C31:M31)),(SUM($C29:N29)+SUM($C32:N32))-(SUM($C30:N30))-(SUM($C31:M31))))</f>
        <v>0</v>
      </c>
      <c r="O31" s="37" t="n">
        <f aca="false">MAX(0,MIN(NZ_SelProceeds-(SUM($C31:N31)),(SUM($C29:O29)+SUM($C32:O32))-(SUM($C30:O30))-(SUM($C31:N31))))</f>
        <v>0</v>
      </c>
      <c r="P31" s="37" t="n">
        <f aca="false">MAX(0,MIN(NZ_SelProceeds-(SUM($C31:O31)),(SUM($C29:P29)+SUM($C32:P32))-(SUM($C30:P30))-(SUM($C31:O31))))</f>
        <v>0</v>
      </c>
      <c r="Q31" s="37" t="n">
        <f aca="false">MAX(0,MIN(NZ_SelProceeds-(SUM($C31:P31)),(SUM($C29:Q29)+SUM($C32:Q32))-(SUM($C30:Q30))-(SUM($C31:P31))))</f>
        <v>0</v>
      </c>
      <c r="R31" s="37" t="n">
        <f aca="false">MAX(0,MIN(NZ_SelProceeds-(SUM($C31:Q31)),(SUM($C29:R29)+SUM($C32:R32))-(SUM($C30:R30))-(SUM($C31:Q31))))</f>
        <v>0</v>
      </c>
      <c r="S31" s="37" t="n">
        <f aca="false">MAX(0,MIN(NZ_SelProceeds-(SUM($C31:R31)),(SUM($C29:S29)+SUM($C32:S32))-(SUM($C30:S30))-(SUM($C31:R31))))</f>
        <v>0</v>
      </c>
      <c r="T31" s="37" t="n">
        <f aca="false">MAX(0,MIN(NZ_SelProceeds-(SUM($C31:S31)),(SUM($C29:T29)+SUM($C32:T32))-(SUM($C30:T30))-(SUM($C31:S31))))</f>
        <v>0</v>
      </c>
      <c r="U31" s="84" t="n">
        <f aca="false">SUM(C31:T31)</f>
        <v>6485211.11528615</v>
      </c>
    </row>
    <row r="32" customFormat="false" ht="15" hidden="false" customHeight="true" outlineLevel="0" collapsed="false">
      <c r="B32" s="13" t="s">
        <v>623</v>
      </c>
      <c r="C32" s="37" t="n">
        <v>0</v>
      </c>
      <c r="D32" s="37" t="n">
        <f aca="false">IF(D22&lt;=NZ_RehabMonths,MAX(0,C33-$C$33)*PermRate/12,0)</f>
        <v>0</v>
      </c>
      <c r="E32" s="37" t="n">
        <f aca="false">IF(E22&lt;=NZ_RehabMonths,MAX(0,D33-$C$33)*PermRate/12,0)</f>
        <v>1684.905664</v>
      </c>
      <c r="F32" s="37" t="n">
        <f aca="false">IF(F22&lt;=NZ_RehabMonths,MAX(0,E33-$C$33)*PermRate/12,0)</f>
        <v>4380.7547264</v>
      </c>
      <c r="G32" s="37" t="n">
        <f aca="false">IF(G22&lt;=NZ_RehabMonths,MAX(0,F33-$C$33)*PermRate/12,0)</f>
        <v>7915.686809472</v>
      </c>
      <c r="H32" s="37" t="n">
        <f aca="false">IF(H22&lt;=NZ_RehabMonths,MAX(0,G33-$C$33)*PermRate/12,0)</f>
        <v>12058.8361391347</v>
      </c>
      <c r="I32" s="37" t="n">
        <f aca="false">IF(I22&lt;=NZ_RehabMonths,MAX(0,H33-$C$33)*PermRate/12,0)</f>
        <v>16539.9603589581</v>
      </c>
      <c r="J32" s="37" t="n">
        <f aca="false">IF(J22&lt;=NZ_RehabMonths,MAX(0,I33-$C$33)*PermRate/12,0)</f>
        <v>21065.8958209797</v>
      </c>
      <c r="K32" s="37" t="n">
        <f aca="false">IF(K22&lt;=NZ_RehabMonths,MAX(0,J33-$C$33)*PermRate/12,0)</f>
        <v>21415.6978717528</v>
      </c>
      <c r="L32" s="37" t="n">
        <f aca="false">IF(L22&lt;=NZ_RehabMonths,MAX(0,K33-$C$33)*PermRate/12,0)</f>
        <v>21522.7763611116</v>
      </c>
      <c r="M32" s="37" t="n">
        <f aca="false">IF(M22&lt;=NZ_RehabMonths,MAX(0,L33-$C$33)*PermRate/12,0)</f>
        <v>21630.3902429171</v>
      </c>
      <c r="N32" s="37" t="n">
        <f aca="false">IF(N22&lt;=NZ_RehabMonths,MAX(0,M33-$C$33)*PermRate/12,0)</f>
        <v>21738.5421941317</v>
      </c>
      <c r="O32" s="37" t="n">
        <f aca="false">IF(O22&lt;=NZ_RehabMonths,MAX(0,N33-$C$33)*PermRate/12,0)</f>
        <v>0</v>
      </c>
      <c r="P32" s="37" t="n">
        <f aca="false">IF(P22&lt;=NZ_RehabMonths,MAX(0,O33-$C$33)*PermRate/12,0)</f>
        <v>0</v>
      </c>
      <c r="Q32" s="37" t="n">
        <f aca="false">IF(Q22&lt;=NZ_RehabMonths,MAX(0,P33-$C$33)*PermRate/12,0)</f>
        <v>0</v>
      </c>
      <c r="R32" s="37" t="n">
        <f aca="false">IF(R22&lt;=NZ_RehabMonths,MAX(0,Q33-$C$33)*PermRate/12,0)</f>
        <v>0</v>
      </c>
      <c r="S32" s="37" t="n">
        <f aca="false">IF(S22&lt;=NZ_RehabMonths,MAX(0,R33-$C$33)*PermRate/12,0)</f>
        <v>0</v>
      </c>
      <c r="T32" s="37" t="n">
        <f aca="false">IF(T22&lt;=NZ_RehabMonths,MAX(0,S33-$C$33)*PermRate/12,0)</f>
        <v>0</v>
      </c>
      <c r="U32" s="84" t="n">
        <f aca="false">SUM(C32:T32)</f>
        <v>149953.446188858</v>
      </c>
    </row>
    <row r="33" customFormat="false" ht="15" hidden="false" customHeight="true" outlineLevel="0" collapsed="false">
      <c r="B33" s="13" t="s">
        <v>624</v>
      </c>
      <c r="C33" s="37" t="n">
        <f aca="false">0+C31+C32</f>
        <v>2265717.58045453</v>
      </c>
      <c r="D33" s="37" t="n">
        <f aca="false">C33+D31+D32</f>
        <v>2602698.71325453</v>
      </c>
      <c r="E33" s="37" t="n">
        <f aca="false">D33+E31+E32</f>
        <v>3141868.52573453</v>
      </c>
      <c r="F33" s="37" t="n">
        <f aca="false">E33+F31+F32</f>
        <v>3848854.94234893</v>
      </c>
      <c r="G33" s="37" t="n">
        <f aca="false">F33+G31+G32</f>
        <v>4677484.80828147</v>
      </c>
      <c r="H33" s="37" t="n">
        <f aca="false">G33+H31+H32</f>
        <v>5573709.65224614</v>
      </c>
      <c r="I33" s="37" t="n">
        <f aca="false">H33+I31+I32</f>
        <v>6478896.74465046</v>
      </c>
      <c r="J33" s="37" t="n">
        <f aca="false">I33+J31+J32</f>
        <v>6548857.15480509</v>
      </c>
      <c r="K33" s="37" t="n">
        <f aca="false">J33+K31+K32</f>
        <v>6570272.85267684</v>
      </c>
      <c r="L33" s="37" t="n">
        <f aca="false">K33+L31+L32</f>
        <v>6591795.62903796</v>
      </c>
      <c r="M33" s="37" t="n">
        <f aca="false">L33+M31+M32</f>
        <v>6613426.01928087</v>
      </c>
      <c r="N33" s="37" t="n">
        <f aca="false">M33+N31+N32</f>
        <v>6635164.56147501</v>
      </c>
      <c r="O33" s="37" t="n">
        <f aca="false">N33+O31+O32</f>
        <v>6635164.56147501</v>
      </c>
      <c r="P33" s="37" t="n">
        <f aca="false">O33+P31+P32</f>
        <v>6635164.56147501</v>
      </c>
      <c r="Q33" s="37" t="n">
        <f aca="false">P33+Q31+Q32</f>
        <v>6635164.56147501</v>
      </c>
      <c r="R33" s="37" t="n">
        <f aca="false">Q33+R31+R32</f>
        <v>6635164.56147501</v>
      </c>
      <c r="S33" s="37" t="n">
        <f aca="false">R33+S31+S32</f>
        <v>6635164.56147501</v>
      </c>
      <c r="T33" s="37" t="n">
        <f aca="false">S33+T31+T32</f>
        <v>6635164.56147501</v>
      </c>
    </row>
    <row r="34" customFormat="false" ht="15" hidden="false" customHeight="true" outlineLevel="0" collapsed="false">
      <c r="B34" s="13" t="s">
        <v>625</v>
      </c>
      <c r="C34" s="37" t="n">
        <f aca="false">SUM($C30:C30)+SUM($C31:C31)</f>
        <v>2820846.81938394</v>
      </c>
      <c r="D34" s="37" t="n">
        <f aca="false">SUM($C30:D30)+SUM($C31:D31)</f>
        <v>3157827.95218394</v>
      </c>
      <c r="E34" s="37" t="n">
        <f aca="false">SUM($C30:E30)+SUM($C31:E31)</f>
        <v>3695312.85899994</v>
      </c>
      <c r="F34" s="37" t="n">
        <f aca="false">SUM($C30:F30)+SUM($C31:F31)</f>
        <v>4397918.52088794</v>
      </c>
      <c r="G34" s="37" t="n">
        <f aca="false">SUM($C30:G30)+SUM($C31:G31)</f>
        <v>5218632.70001101</v>
      </c>
      <c r="H34" s="37" t="n">
        <f aca="false">SUM($C30:H30)+SUM($C31:H31)</f>
        <v>6102798.70783654</v>
      </c>
      <c r="I34" s="37" t="n">
        <f aca="false">SUM($C30:I30)+SUM($C31:I31)</f>
        <v>6991445.8398819</v>
      </c>
      <c r="J34" s="37" t="n">
        <f aca="false">SUM($C30:J30)+SUM($C31:J31)</f>
        <v>7040340.35421555</v>
      </c>
      <c r="K34" s="37" t="n">
        <f aca="false">SUM($C30:K30)+SUM($C31:K31)</f>
        <v>7040340.35421555</v>
      </c>
      <c r="L34" s="37" t="n">
        <f aca="false">SUM($C30:L30)+SUM($C31:L31)</f>
        <v>7040340.35421555</v>
      </c>
      <c r="M34" s="37" t="n">
        <f aca="false">SUM($C30:M30)+SUM($C31:M31)</f>
        <v>7040340.35421555</v>
      </c>
      <c r="N34" s="37" t="n">
        <f aca="false">SUM($C30:N30)+SUM($C31:N31)</f>
        <v>8428163.45153908</v>
      </c>
      <c r="O34" s="37" t="n">
        <f aca="false">SUM($C30:O30)+SUM($C31:O31)</f>
        <v>8428163.45153908</v>
      </c>
      <c r="P34" s="37" t="n">
        <f aca="false">SUM($C30:P30)+SUM($C31:P31)</f>
        <v>8428163.45153908</v>
      </c>
      <c r="Q34" s="37" t="n">
        <f aca="false">SUM($C30:Q30)+SUM($C31:Q31)</f>
        <v>8428163.45153908</v>
      </c>
      <c r="R34" s="37" t="n">
        <f aca="false">SUM($C30:R30)+SUM($C31:R31)</f>
        <v>8428163.45153908</v>
      </c>
      <c r="S34" s="37" t="n">
        <f aca="false">SUM($C30:S30)+SUM($C31:S31)</f>
        <v>8428163.45153908</v>
      </c>
      <c r="T34" s="37" t="n">
        <f aca="false">SUM($C30:T30)+SUM($C31:T31)</f>
        <v>9260857.30993319</v>
      </c>
    </row>
    <row r="35" customFormat="false" ht="15" hidden="false" customHeight="true" outlineLevel="0" collapsed="false">
      <c r="B35" s="19" t="s">
        <v>626</v>
      </c>
      <c r="U35" s="21" t="n">
        <f aca="false">MAX(C33:T33)</f>
        <v>6635164.56147501</v>
      </c>
    </row>
    <row r="38" customFormat="false" ht="15" hidden="false" customHeight="true" outlineLevel="0" collapsed="false">
      <c r="B38" s="3" t="s">
        <v>629</v>
      </c>
      <c r="C38" s="3"/>
      <c r="D38" s="48" t="n">
        <f aca="false">LOM_ResynDate</f>
        <v>47119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customFormat="false" ht="15" hidden="false" customHeight="true" outlineLevel="0" collapsed="false">
      <c r="B39" s="40" t="s">
        <v>578</v>
      </c>
      <c r="C39" s="81" t="n">
        <v>1</v>
      </c>
      <c r="D39" s="81" t="n">
        <v>2</v>
      </c>
      <c r="E39" s="81" t="n">
        <v>3</v>
      </c>
      <c r="F39" s="81" t="n">
        <v>4</v>
      </c>
      <c r="G39" s="81" t="n">
        <v>5</v>
      </c>
      <c r="H39" s="81" t="n">
        <v>6</v>
      </c>
      <c r="I39" s="81" t="n">
        <v>7</v>
      </c>
      <c r="J39" s="81" t="n">
        <v>8</v>
      </c>
      <c r="K39" s="81" t="n">
        <v>9</v>
      </c>
      <c r="L39" s="81" t="n">
        <v>10</v>
      </c>
      <c r="M39" s="81" t="n">
        <v>11</v>
      </c>
      <c r="N39" s="81" t="n">
        <v>12</v>
      </c>
      <c r="O39" s="81" t="n">
        <v>13</v>
      </c>
      <c r="P39" s="81" t="n">
        <v>14</v>
      </c>
      <c r="Q39" s="81" t="n">
        <v>15</v>
      </c>
      <c r="R39" s="81" t="n">
        <v>16</v>
      </c>
      <c r="S39" s="81" t="n">
        <v>17</v>
      </c>
      <c r="T39" s="81" t="n">
        <v>18</v>
      </c>
      <c r="U39" s="82" t="s">
        <v>613</v>
      </c>
    </row>
    <row r="40" customFormat="false" ht="15" hidden="false" customHeight="true" outlineLevel="0" collapsed="false">
      <c r="B40" s="13" t="s">
        <v>614</v>
      </c>
      <c r="C40" s="83" t="n">
        <f aca="false">EDATE(LOM_ResynDate,0)</f>
        <v>47119</v>
      </c>
      <c r="D40" s="83" t="n">
        <f aca="false">EDATE(LOM_ResynDate,1)</f>
        <v>47150</v>
      </c>
      <c r="E40" s="83" t="n">
        <f aca="false">EDATE(LOM_ResynDate,2)</f>
        <v>47178</v>
      </c>
      <c r="F40" s="83" t="n">
        <f aca="false">EDATE(LOM_ResynDate,3)</f>
        <v>47209</v>
      </c>
      <c r="G40" s="83" t="n">
        <f aca="false">EDATE(LOM_ResynDate,4)</f>
        <v>47239</v>
      </c>
      <c r="H40" s="83" t="n">
        <f aca="false">EDATE(LOM_ResynDate,5)</f>
        <v>47270</v>
      </c>
      <c r="I40" s="83" t="n">
        <f aca="false">EDATE(LOM_ResynDate,6)</f>
        <v>47300</v>
      </c>
      <c r="J40" s="83" t="n">
        <f aca="false">EDATE(LOM_ResynDate,7)</f>
        <v>47331</v>
      </c>
      <c r="K40" s="83" t="n">
        <f aca="false">EDATE(LOM_ResynDate,8)</f>
        <v>47362</v>
      </c>
      <c r="L40" s="83" t="n">
        <f aca="false">EDATE(LOM_ResynDate,9)</f>
        <v>47392</v>
      </c>
      <c r="M40" s="83" t="n">
        <f aca="false">EDATE(LOM_ResynDate,10)</f>
        <v>47423</v>
      </c>
      <c r="N40" s="83" t="n">
        <f aca="false">EDATE(LOM_ResynDate,11)</f>
        <v>47453</v>
      </c>
      <c r="O40" s="83" t="n">
        <f aca="false">EDATE(LOM_ResynDate,12)</f>
        <v>47484</v>
      </c>
      <c r="P40" s="83" t="n">
        <f aca="false">EDATE(LOM_ResynDate,13)</f>
        <v>47515</v>
      </c>
      <c r="Q40" s="83" t="n">
        <f aca="false">EDATE(LOM_ResynDate,14)</f>
        <v>47543</v>
      </c>
      <c r="R40" s="83" t="n">
        <f aca="false">EDATE(LOM_ResynDate,15)</f>
        <v>47574</v>
      </c>
      <c r="S40" s="83" t="n">
        <f aca="false">EDATE(LOM_ResynDate,16)</f>
        <v>47604</v>
      </c>
      <c r="T40" s="83" t="n">
        <f aca="false">EDATE(LOM_ResynDate,17)</f>
        <v>47635</v>
      </c>
    </row>
    <row r="41" customFormat="false" ht="15" hidden="false" customHeight="true" outlineLevel="0" collapsed="false">
      <c r="B41" s="13" t="s">
        <v>615</v>
      </c>
      <c r="C41" s="37" t="n">
        <f aca="false">IF(C39=1,LOM_AcqPrice,0)</f>
        <v>3000000</v>
      </c>
      <c r="D41" s="37" t="n">
        <f aca="false">IF(D39=1,LOM_AcqPrice,0)</f>
        <v>0</v>
      </c>
      <c r="E41" s="37" t="n">
        <f aca="false">IF(E39=1,LOM_AcqPrice,0)</f>
        <v>0</v>
      </c>
      <c r="F41" s="37" t="n">
        <f aca="false">IF(F39=1,LOM_AcqPrice,0)</f>
        <v>0</v>
      </c>
      <c r="G41" s="37" t="n">
        <f aca="false">IF(G39=1,LOM_AcqPrice,0)</f>
        <v>0</v>
      </c>
      <c r="H41" s="37" t="n">
        <f aca="false">IF(H39=1,LOM_AcqPrice,0)</f>
        <v>0</v>
      </c>
      <c r="I41" s="37" t="n">
        <f aca="false">IF(I39=1,LOM_AcqPrice,0)</f>
        <v>0</v>
      </c>
      <c r="J41" s="37" t="n">
        <f aca="false">IF(J39=1,LOM_AcqPrice,0)</f>
        <v>0</v>
      </c>
      <c r="K41" s="37" t="n">
        <f aca="false">IF(K39=1,LOM_AcqPrice,0)</f>
        <v>0</v>
      </c>
      <c r="L41" s="37" t="n">
        <f aca="false">IF(L39=1,LOM_AcqPrice,0)</f>
        <v>0</v>
      </c>
      <c r="M41" s="37" t="n">
        <f aca="false">IF(M39=1,LOM_AcqPrice,0)</f>
        <v>0</v>
      </c>
      <c r="N41" s="37" t="n">
        <f aca="false">IF(N39=1,LOM_AcqPrice,0)</f>
        <v>0</v>
      </c>
      <c r="O41" s="37" t="n">
        <f aca="false">IF(O39=1,LOM_AcqPrice,0)</f>
        <v>0</v>
      </c>
      <c r="P41" s="37" t="n">
        <f aca="false">IF(P39=1,LOM_AcqPrice,0)</f>
        <v>0</v>
      </c>
      <c r="Q41" s="37" t="n">
        <f aca="false">IF(Q39=1,LOM_AcqPrice,0)</f>
        <v>0</v>
      </c>
      <c r="R41" s="37" t="n">
        <f aca="false">IF(R39=1,LOM_AcqPrice,0)</f>
        <v>0</v>
      </c>
      <c r="S41" s="37" t="n">
        <f aca="false">IF(S39=1,LOM_AcqPrice,0)</f>
        <v>0</v>
      </c>
      <c r="T41" s="37" t="n">
        <f aca="false">IF(T39=1,LOM_AcqPrice,0)</f>
        <v>0</v>
      </c>
      <c r="U41" s="84" t="n">
        <f aca="false">SUM(C41:T41)</f>
        <v>3000000</v>
      </c>
    </row>
    <row r="42" customFormat="false" ht="15" hidden="false" customHeight="true" outlineLevel="0" collapsed="false">
      <c r="B42" s="13" t="s">
        <v>616</v>
      </c>
      <c r="C42" s="37" t="n">
        <v>0</v>
      </c>
      <c r="D42" s="37" t="n">
        <v>0</v>
      </c>
      <c r="E42" s="37" t="n">
        <v>0</v>
      </c>
      <c r="F42" s="37" t="n">
        <v>0</v>
      </c>
      <c r="G42" s="37" t="n">
        <v>0</v>
      </c>
      <c r="H42" s="37" t="n">
        <v>0</v>
      </c>
      <c r="I42" s="37" t="n">
        <v>0</v>
      </c>
      <c r="J42" s="37" t="n">
        <v>0</v>
      </c>
      <c r="K42" s="37" t="n">
        <v>0</v>
      </c>
      <c r="L42" s="37" t="n">
        <v>0</v>
      </c>
      <c r="M42" s="37" t="n">
        <v>0</v>
      </c>
      <c r="N42" s="37" t="n">
        <v>0</v>
      </c>
      <c r="O42" s="37" t="n">
        <v>0</v>
      </c>
      <c r="P42" s="37" t="n">
        <v>0</v>
      </c>
      <c r="Q42" s="37" t="n">
        <v>0</v>
      </c>
      <c r="R42" s="37" t="n">
        <v>0</v>
      </c>
      <c r="S42" s="37" t="n">
        <v>0</v>
      </c>
      <c r="T42" s="37" t="n">
        <v>0</v>
      </c>
      <c r="U42" s="84" t="n">
        <f aca="false">SUM(C42:T42)</f>
        <v>0</v>
      </c>
    </row>
    <row r="43" customFormat="false" ht="15" hidden="false" customHeight="true" outlineLevel="0" collapsed="false">
      <c r="B43" s="13" t="s">
        <v>617</v>
      </c>
      <c r="C43" s="37" t="n">
        <f aca="false">LOM_RehabBasis*INDEX(LOM_BurnCurve,1)</f>
        <v>87419.645470976</v>
      </c>
      <c r="D43" s="37" t="n">
        <f aca="false">LOM_RehabBasis*INDEX(LOM_BurnCurve,2)</f>
        <v>259050.876028672</v>
      </c>
      <c r="E43" s="37" t="n">
        <f aca="false">LOM_RehabBasis*INDEX(LOM_BurnCurve,3)</f>
        <v>419453.895241472</v>
      </c>
      <c r="F43" s="37" t="n">
        <f aca="false">LOM_RehabBasis*INDEX(LOM_BurnCurve,4)</f>
        <v>560608.552148736</v>
      </c>
      <c r="G43" s="37" t="n">
        <f aca="false">LOM_RehabBasis*INDEX(LOM_BurnCurve,5)</f>
        <v>678504.771270144</v>
      </c>
      <c r="H43" s="37" t="n">
        <f aca="false">LOM_RehabBasis*INDEX(LOM_BurnCurve,6)</f>
        <v>765924.41674112</v>
      </c>
      <c r="I43" s="37" t="n">
        <f aca="false">LOM_RehabBasis*INDEX(LOM_BurnCurve,7)</f>
        <v>819659.428177408</v>
      </c>
      <c r="J43" s="37" t="n">
        <f aca="false">LOM_RehabBasis*INDEX(LOM_BurnCurve,8)</f>
        <v>838105.77538688</v>
      </c>
      <c r="K43" s="37" t="n">
        <f aca="false">LOM_RehabBasis*INDEX(LOM_BurnCurve,9)</f>
        <v>819659.428177408</v>
      </c>
      <c r="L43" s="37" t="n">
        <f aca="false">LOM_RehabBasis*INDEX(LOM_BurnCurve,10)</f>
        <v>765924.41674112</v>
      </c>
      <c r="M43" s="37" t="n">
        <f aca="false">LOM_RehabBasis*INDEX(LOM_BurnCurve,11)</f>
        <v>678504.771270144</v>
      </c>
      <c r="N43" s="37" t="n">
        <f aca="false">LOM_RehabBasis*INDEX(LOM_BurnCurve,12)</f>
        <v>560608.552148736</v>
      </c>
      <c r="O43" s="37" t="n">
        <f aca="false">LOM_RehabBasis*INDEX(LOM_BurnCurve,13)</f>
        <v>419453.895241472</v>
      </c>
      <c r="P43" s="37" t="n">
        <f aca="false">LOM_RehabBasis*INDEX(LOM_BurnCurve,14)</f>
        <v>259050.876028672</v>
      </c>
      <c r="Q43" s="37" t="n">
        <f aca="false">LOM_RehabBasis*INDEX(LOM_BurnCurve,15)</f>
        <v>88221.66056704</v>
      </c>
      <c r="R43" s="37" t="n">
        <f aca="false">LOM_RehabBasis*INDEX(LOM_BurnCurve,16)</f>
        <v>0</v>
      </c>
      <c r="S43" s="37" t="n">
        <f aca="false">LOM_RehabBasis*INDEX(LOM_BurnCurve,17)</f>
        <v>0</v>
      </c>
      <c r="T43" s="37" t="n">
        <f aca="false">LOM_RehabBasis*INDEX(LOM_BurnCurve,18)</f>
        <v>0</v>
      </c>
      <c r="U43" s="84" t="n">
        <f aca="false">SUM(C43:T43)</f>
        <v>8020150.96064</v>
      </c>
    </row>
    <row r="44" customFormat="false" ht="15" hidden="false" customHeight="true" outlineLevel="0" collapsed="false">
      <c r="B44" s="13" t="s">
        <v>618</v>
      </c>
      <c r="C44" s="37" t="n">
        <f aca="false">IF(C39=1,LOM_FinFees+'Sources &amp; Uses'!E21+'Sources &amp; Uses'!E23,0)</f>
        <v>800678.659495009</v>
      </c>
      <c r="D44" s="37" t="n">
        <f aca="false">IF(D39=1,LOM_FinFees+'Sources &amp; Uses'!E21+'Sources &amp; Uses'!E23,0)</f>
        <v>0</v>
      </c>
      <c r="E44" s="37" t="n">
        <f aca="false">IF(E39=1,LOM_FinFees+'Sources &amp; Uses'!E21+'Sources &amp; Uses'!E23,0)</f>
        <v>0</v>
      </c>
      <c r="F44" s="37" t="n">
        <f aca="false">IF(F39=1,LOM_FinFees+'Sources &amp; Uses'!E21+'Sources &amp; Uses'!E23,0)</f>
        <v>0</v>
      </c>
      <c r="G44" s="37" t="n">
        <f aca="false">IF(G39=1,LOM_FinFees+'Sources &amp; Uses'!E21+'Sources &amp; Uses'!E23,0)</f>
        <v>0</v>
      </c>
      <c r="H44" s="37" t="n">
        <f aca="false">IF(H39=1,LOM_FinFees+'Sources &amp; Uses'!E21+'Sources &amp; Uses'!E23,0)</f>
        <v>0</v>
      </c>
      <c r="I44" s="37" t="n">
        <f aca="false">IF(I39=1,LOM_FinFees+'Sources &amp; Uses'!E21+'Sources &amp; Uses'!E23,0)</f>
        <v>0</v>
      </c>
      <c r="J44" s="37" t="n">
        <f aca="false">IF(J39=1,LOM_FinFees+'Sources &amp; Uses'!E21+'Sources &amp; Uses'!E23,0)</f>
        <v>0</v>
      </c>
      <c r="K44" s="37" t="n">
        <f aca="false">IF(K39=1,LOM_FinFees+'Sources &amp; Uses'!E21+'Sources &amp; Uses'!E23,0)</f>
        <v>0</v>
      </c>
      <c r="L44" s="37" t="n">
        <f aca="false">IF(L39=1,LOM_FinFees+'Sources &amp; Uses'!E21+'Sources &amp; Uses'!E23,0)</f>
        <v>0</v>
      </c>
      <c r="M44" s="37" t="n">
        <f aca="false">IF(M39=1,LOM_FinFees+'Sources &amp; Uses'!E21+'Sources &amp; Uses'!E23,0)</f>
        <v>0</v>
      </c>
      <c r="N44" s="37" t="n">
        <f aca="false">IF(N39=1,LOM_FinFees+'Sources &amp; Uses'!E21+'Sources &amp; Uses'!E23,0)</f>
        <v>0</v>
      </c>
      <c r="O44" s="37" t="n">
        <f aca="false">IF(O39=1,LOM_FinFees+'Sources &amp; Uses'!E21+'Sources &amp; Uses'!E23,0)</f>
        <v>0</v>
      </c>
      <c r="P44" s="37" t="n">
        <f aca="false">IF(P39=1,LOM_FinFees+'Sources &amp; Uses'!E21+'Sources &amp; Uses'!E23,0)</f>
        <v>0</v>
      </c>
      <c r="Q44" s="37" t="n">
        <f aca="false">IF(Q39=1,LOM_FinFees+'Sources &amp; Uses'!E21+'Sources &amp; Uses'!E23,0)</f>
        <v>0</v>
      </c>
      <c r="R44" s="37" t="n">
        <f aca="false">IF(R39=1,LOM_FinFees+'Sources &amp; Uses'!E21+'Sources &amp; Uses'!E23,0)</f>
        <v>0</v>
      </c>
      <c r="S44" s="37" t="n">
        <f aca="false">IF(S39=1,LOM_FinFees+'Sources &amp; Uses'!E21+'Sources &amp; Uses'!E23,0)</f>
        <v>0</v>
      </c>
      <c r="T44" s="37" t="n">
        <f aca="false">IF(T39=1,LOM_FinFees+'Sources &amp; Uses'!E21+'Sources &amp; Uses'!E23,0)</f>
        <v>0</v>
      </c>
      <c r="U44" s="84" t="n">
        <f aca="false">SUM(C44:T44)</f>
        <v>800678.659495009</v>
      </c>
    </row>
    <row r="45" customFormat="false" ht="15" hidden="false" customHeight="true" outlineLevel="0" collapsed="false">
      <c r="B45" s="13" t="s">
        <v>619</v>
      </c>
      <c r="C45" s="37" t="n">
        <f aca="false">IF(C39=LOM_RehabMonths+6,LOM_DevFee-LOM_DDF,0)</f>
        <v>0</v>
      </c>
      <c r="D45" s="37" t="n">
        <f aca="false">IF(D39=LOM_RehabMonths+6,LOM_DevFee-LOM_DDF,0)</f>
        <v>0</v>
      </c>
      <c r="E45" s="37" t="n">
        <f aca="false">IF(E39=LOM_RehabMonths+6,LOM_DevFee-LOM_DDF,0)</f>
        <v>0</v>
      </c>
      <c r="F45" s="37" t="n">
        <f aca="false">IF(F39=LOM_RehabMonths+6,LOM_DevFee-LOM_DDF,0)</f>
        <v>0</v>
      </c>
      <c r="G45" s="37" t="n">
        <f aca="false">IF(G39=LOM_RehabMonths+6,LOM_DevFee-LOM_DDF,0)</f>
        <v>0</v>
      </c>
      <c r="H45" s="37" t="n">
        <f aca="false">IF(H39=LOM_RehabMonths+6,LOM_DevFee-LOM_DDF,0)</f>
        <v>0</v>
      </c>
      <c r="I45" s="37" t="n">
        <f aca="false">IF(I39=LOM_RehabMonths+6,LOM_DevFee-LOM_DDF,0)</f>
        <v>0</v>
      </c>
      <c r="J45" s="37" t="n">
        <f aca="false">IF(J39=LOM_RehabMonths+6,LOM_DevFee-LOM_DDF,0)</f>
        <v>0</v>
      </c>
      <c r="K45" s="37" t="n">
        <f aca="false">IF(K39=LOM_RehabMonths+6,LOM_DevFee-LOM_DDF,0)</f>
        <v>0</v>
      </c>
      <c r="L45" s="37" t="n">
        <f aca="false">IF(L39=LOM_RehabMonths+6,LOM_DevFee-LOM_DDF,0)</f>
        <v>0</v>
      </c>
      <c r="M45" s="37" t="n">
        <f aca="false">IF(M39=LOM_RehabMonths+6,LOM_DevFee-LOM_DDF,0)</f>
        <v>0</v>
      </c>
      <c r="N45" s="37" t="n">
        <f aca="false">IF(N39=LOM_RehabMonths+6,LOM_DevFee-LOM_DDF,0)</f>
        <v>0</v>
      </c>
      <c r="O45" s="37" t="n">
        <f aca="false">IF(O39=LOM_RehabMonths+6,LOM_DevFee-LOM_DDF,0)</f>
        <v>0</v>
      </c>
      <c r="P45" s="37" t="n">
        <f aca="false">IF(P39=LOM_RehabMonths+6,LOM_DevFee-LOM_DDF,0)</f>
        <v>0</v>
      </c>
      <c r="Q45" s="37" t="n">
        <f aca="false">IF(Q39=LOM_RehabMonths+6,LOM_DevFee-LOM_DDF,0)</f>
        <v>0</v>
      </c>
      <c r="R45" s="37" t="n">
        <f aca="false">IF(R39=LOM_RehabMonths+6,LOM_DevFee-LOM_DDF,0)</f>
        <v>0</v>
      </c>
      <c r="S45" s="37" t="n">
        <f aca="false">IF(S39=LOM_RehabMonths+6,LOM_DevFee-LOM_DDF,0)</f>
        <v>0</v>
      </c>
      <c r="T45" s="37" t="n">
        <f aca="false">IF(T39=LOM_RehabMonths+6,LOM_DevFee-LOM_DDF,0)</f>
        <v>0</v>
      </c>
      <c r="U45" s="84" t="n">
        <f aca="false">SUM(C45:T45)</f>
        <v>0</v>
      </c>
    </row>
    <row r="46" customFormat="false" ht="15" hidden="false" customHeight="true" outlineLevel="0" collapsed="false">
      <c r="B46" s="19" t="s">
        <v>620</v>
      </c>
      <c r="C46" s="84" t="n">
        <f aca="false">SUM(C41:C45)</f>
        <v>3888098.30496599</v>
      </c>
      <c r="D46" s="84" t="n">
        <f aca="false">SUM(D41:D45)</f>
        <v>259050.876028672</v>
      </c>
      <c r="E46" s="84" t="n">
        <f aca="false">SUM(E41:E45)</f>
        <v>419453.895241472</v>
      </c>
      <c r="F46" s="84" t="n">
        <f aca="false">SUM(F41:F45)</f>
        <v>560608.552148736</v>
      </c>
      <c r="G46" s="84" t="n">
        <f aca="false">SUM(G41:G45)</f>
        <v>678504.771270144</v>
      </c>
      <c r="H46" s="84" t="n">
        <f aca="false">SUM(H41:H45)</f>
        <v>765924.41674112</v>
      </c>
      <c r="I46" s="84" t="n">
        <f aca="false">SUM(I41:I45)</f>
        <v>819659.428177408</v>
      </c>
      <c r="J46" s="84" t="n">
        <f aca="false">SUM(J41:J45)</f>
        <v>838105.77538688</v>
      </c>
      <c r="K46" s="84" t="n">
        <f aca="false">SUM(K41:K45)</f>
        <v>819659.428177408</v>
      </c>
      <c r="L46" s="84" t="n">
        <f aca="false">SUM(L41:L45)</f>
        <v>765924.41674112</v>
      </c>
      <c r="M46" s="84" t="n">
        <f aca="false">SUM(M41:M45)</f>
        <v>678504.771270144</v>
      </c>
      <c r="N46" s="84" t="n">
        <f aca="false">SUM(N41:N45)</f>
        <v>560608.552148736</v>
      </c>
      <c r="O46" s="84" t="n">
        <f aca="false">SUM(O41:O45)</f>
        <v>419453.895241472</v>
      </c>
      <c r="P46" s="84" t="n">
        <f aca="false">SUM(P41:P45)</f>
        <v>259050.876028672</v>
      </c>
      <c r="Q46" s="84" t="n">
        <f aca="false">SUM(Q41:Q45)</f>
        <v>88221.66056704</v>
      </c>
      <c r="R46" s="84" t="n">
        <f aca="false">SUM(R41:R45)</f>
        <v>0</v>
      </c>
      <c r="S46" s="84" t="n">
        <f aca="false">SUM(S41:S45)</f>
        <v>0</v>
      </c>
      <c r="T46" s="84" t="n">
        <f aca="false">SUM(T41:T45)</f>
        <v>0</v>
      </c>
      <c r="U46" s="21" t="n">
        <f aca="false">SUM(C46:T46)</f>
        <v>11820829.620135</v>
      </c>
    </row>
    <row r="47" customFormat="false" ht="15" hidden="false" customHeight="true" outlineLevel="0" collapsed="false">
      <c r="B47" s="13" t="s">
        <v>621</v>
      </c>
      <c r="C47" s="37" t="n">
        <f aca="false">SUMPRODUCT((LOM_PayinMonths=C39)*LOM_PayinAmts)</f>
        <v>822171.794325996</v>
      </c>
      <c r="D47" s="37" t="n">
        <f aca="false">SUMPRODUCT((LOM_PayinMonths=D39)*LOM_PayinAmts)</f>
        <v>0</v>
      </c>
      <c r="E47" s="37" t="n">
        <f aca="false">SUMPRODUCT((LOM_PayinMonths=E39)*LOM_PayinAmts)</f>
        <v>0</v>
      </c>
      <c r="F47" s="37" t="n">
        <f aca="false">SUMPRODUCT((LOM_PayinMonths=F39)*LOM_PayinAmts)</f>
        <v>0</v>
      </c>
      <c r="G47" s="37" t="n">
        <f aca="false">SUMPRODUCT((LOM_PayinMonths=G39)*LOM_PayinAmts)</f>
        <v>0</v>
      </c>
      <c r="H47" s="37" t="n">
        <f aca="false">SUMPRODUCT((LOM_PayinMonths=H39)*LOM_PayinAmts)</f>
        <v>0</v>
      </c>
      <c r="I47" s="37" t="n">
        <f aca="false">SUMPRODUCT((LOM_PayinMonths=I39)*LOM_PayinAmts)</f>
        <v>0</v>
      </c>
      <c r="J47" s="37" t="n">
        <f aca="false">SUMPRODUCT((LOM_PayinMonths=J39)*LOM_PayinAmts)</f>
        <v>0</v>
      </c>
      <c r="K47" s="37" t="n">
        <f aca="false">SUMPRODUCT((LOM_PayinMonths=K39)*LOM_PayinAmts)</f>
        <v>0</v>
      </c>
      <c r="L47" s="37" t="n">
        <f aca="false">SUMPRODUCT((LOM_PayinMonths=L39)*LOM_PayinAmts)</f>
        <v>0</v>
      </c>
      <c r="M47" s="37" t="n">
        <f aca="false">SUMPRODUCT((LOM_PayinMonths=M39)*LOM_PayinAmts)</f>
        <v>0</v>
      </c>
      <c r="N47" s="37" t="n">
        <f aca="false">SUMPRODUCT((LOM_PayinMonths=N39)*LOM_PayinAmts)</f>
        <v>0</v>
      </c>
      <c r="O47" s="37" t="n">
        <f aca="false">SUMPRODUCT((LOM_PayinMonths=O39)*LOM_PayinAmts)</f>
        <v>0</v>
      </c>
      <c r="P47" s="37" t="n">
        <f aca="false">SUMPRODUCT((LOM_PayinMonths=P39)*LOM_PayinAmts)</f>
        <v>0</v>
      </c>
      <c r="Q47" s="37" t="n">
        <f aca="false">SUMPRODUCT((LOM_PayinMonths=Q39)*LOM_PayinAmts)</f>
        <v>2055429.48581499</v>
      </c>
      <c r="R47" s="37" t="n">
        <f aca="false">SUMPRODUCT((LOM_PayinMonths=R39)*LOM_PayinAmts)</f>
        <v>0</v>
      </c>
      <c r="S47" s="37" t="n">
        <f aca="false">SUMPRODUCT((LOM_PayinMonths=S39)*LOM_PayinAmts)</f>
        <v>0</v>
      </c>
      <c r="T47" s="37" t="n">
        <f aca="false">SUMPRODUCT((LOM_PayinMonths=T39)*LOM_PayinAmts)</f>
        <v>0</v>
      </c>
      <c r="U47" s="84" t="n">
        <f aca="false">SUM(C47:T47)</f>
        <v>2877601.28014099</v>
      </c>
    </row>
    <row r="48" customFormat="false" ht="15" hidden="false" customHeight="true" outlineLevel="0" collapsed="false">
      <c r="B48" s="13" t="s">
        <v>622</v>
      </c>
      <c r="C48" s="37" t="n">
        <f aca="false">MAX(0,MIN(LOM_SelProceeds-(0),(SUM($C46:C46)+SUM($C49:C49))-(SUM($C47:C47))-(0)))</f>
        <v>3065926.51063999</v>
      </c>
      <c r="D48" s="37" t="n">
        <f aca="false">MAX(0,MIN(LOM_SelProceeds-(SUM($C48:C48)),(SUM($C46:D46)+SUM($C49:D49))-(SUM($C47:D47))-(SUM($C48:C48))))</f>
        <v>259050.876028672</v>
      </c>
      <c r="E48" s="37" t="n">
        <f aca="false">MAX(0,MIN(LOM_SelProceeds-(SUM($C48:D48)),(SUM($C46:E46)+SUM($C49:E49))-(SUM($C47:E47))-(SUM($C48:D48))))</f>
        <v>420749.149621615</v>
      </c>
      <c r="F48" s="37" t="n">
        <f aca="false">MAX(0,MIN(LOM_SelProceeds-(SUM($C48:E48)),(SUM($C46:F46)+SUM($C49:F49))-(SUM($C47:F47))-(SUM($C48:E48))))</f>
        <v>564014.028548888</v>
      </c>
      <c r="G48" s="37" t="n">
        <f aca="false">MAX(0,MIN(LOM_SelProceeds-(SUM($C48:F48)),(SUM($C46:G46)+SUM($C49:G49))-(SUM($C47:G47))-(SUM($C48:F48))))</f>
        <v>684747.345195042</v>
      </c>
      <c r="H48" s="37" t="n">
        <f aca="false">MAX(0,MIN(LOM_SelProceeds-(SUM($C48:G48)),(SUM($C46:H46)+SUM($C49:H49))-(SUM($C47:H47))-(SUM($C48:G48))))</f>
        <v>775621.940261617</v>
      </c>
      <c r="I48" s="37" t="n">
        <f aca="false">MAX(0,MIN(LOM_SelProceeds-(SUM($C48:H48)),(SUM($C46:I46)+SUM($C49:I49))-(SUM($C47:I47))-(SUM($C48:H48))))</f>
        <v>833283.549016817</v>
      </c>
      <c r="J48" s="37" t="n">
        <f aca="false">MAX(0,MIN(LOM_SelProceeds-(SUM($C48:I48)),(SUM($C46:J46)+SUM($C49:J49))-(SUM($C47:J47))-(SUM($C48:I48))))</f>
        <v>855964.434575569</v>
      </c>
      <c r="K48" s="37" t="n">
        <f aca="false">MAX(0,MIN(LOM_SelProceeds-(SUM($C48:J48)),(SUM($C46:K46)+SUM($C49:K49))-(SUM($C47:K47))-(SUM($C48:J48))))</f>
        <v>332301.008471043</v>
      </c>
      <c r="L48" s="37" t="n">
        <f aca="false">MAX(0,MIN(LOM_SelProceeds-(SUM($C48:K48)),(SUM($C46:L46)+SUM($C49:L49))-(SUM($C47:L47))-(SUM($C48:K48))))</f>
        <v>0</v>
      </c>
      <c r="M48" s="37" t="n">
        <f aca="false">MAX(0,MIN(LOM_SelProceeds-(SUM($C48:L48)),(SUM($C46:M46)+SUM($C49:M49))-(SUM($C47:M47))-(SUM($C48:L48))))</f>
        <v>0</v>
      </c>
      <c r="N48" s="37" t="n">
        <f aca="false">MAX(0,MIN(LOM_SelProceeds-(SUM($C48:M48)),(SUM($C46:N46)+SUM($C49:N49))-(SUM($C47:N47))-(SUM($C48:M48))))</f>
        <v>0</v>
      </c>
      <c r="O48" s="37" t="n">
        <f aca="false">MAX(0,MIN(LOM_SelProceeds-(SUM($C48:N48)),(SUM($C46:O46)+SUM($C49:O49))-(SUM($C47:O47))-(SUM($C48:N48))))</f>
        <v>0</v>
      </c>
      <c r="P48" s="37" t="n">
        <f aca="false">MAX(0,MIN(LOM_SelProceeds-(SUM($C48:O48)),(SUM($C46:P46)+SUM($C49:P49))-(SUM($C47:P47))-(SUM($C48:O48))))</f>
        <v>0</v>
      </c>
      <c r="Q48" s="37" t="n">
        <f aca="false">MAX(0,MIN(LOM_SelProceeds-(SUM($C48:P48)),(SUM($C46:Q46)+SUM($C49:Q49))-(SUM($C47:Q47))-(SUM($C48:P48))))</f>
        <v>0</v>
      </c>
      <c r="R48" s="37" t="n">
        <f aca="false">MAX(0,MIN(LOM_SelProceeds-(SUM($C48:Q48)),(SUM($C46:R46)+SUM($C49:R49))-(SUM($C47:R47))-(SUM($C48:Q48))))</f>
        <v>0</v>
      </c>
      <c r="S48" s="37" t="n">
        <f aca="false">MAX(0,MIN(LOM_SelProceeds-(SUM($C48:R48)),(SUM($C46:S46)+SUM($C49:S49))-(SUM($C47:S47))-(SUM($C48:R48))))</f>
        <v>0</v>
      </c>
      <c r="T48" s="37" t="n">
        <f aca="false">MAX(0,MIN(LOM_SelProceeds-(SUM($C48:S48)),(SUM($C46:T46)+SUM($C49:T49))-(SUM($C47:T47))-(SUM($C48:S48))))</f>
        <v>0</v>
      </c>
      <c r="U48" s="84" t="n">
        <f aca="false">SUM(C48:T48)</f>
        <v>7791658.84235925</v>
      </c>
    </row>
    <row r="49" customFormat="false" ht="15" hidden="false" customHeight="true" outlineLevel="0" collapsed="false">
      <c r="B49" s="13" t="s">
        <v>623</v>
      </c>
      <c r="C49" s="37" t="n">
        <v>0</v>
      </c>
      <c r="D49" s="37" t="n">
        <f aca="false">IF(D39&lt;=LOM_RehabMonths,MAX(0,C50-$C$50)*PermRate/12,0)</f>
        <v>0</v>
      </c>
      <c r="E49" s="37" t="n">
        <f aca="false">IF(E39&lt;=LOM_RehabMonths,MAX(0,D50-$C$50)*PermRate/12,0)</f>
        <v>1295.25438014336</v>
      </c>
      <c r="F49" s="37" t="n">
        <f aca="false">IF(F39&lt;=LOM_RehabMonths,MAX(0,E50-$C$50)*PermRate/12,0)</f>
        <v>3405.47640015215</v>
      </c>
      <c r="G49" s="37" t="n">
        <f aca="false">IF(G39&lt;=LOM_RehabMonths,MAX(0,F50-$C$50)*PermRate/12,0)</f>
        <v>6242.57392489735</v>
      </c>
      <c r="H49" s="37" t="n">
        <f aca="false">IF(H39&lt;=LOM_RehabMonths,MAX(0,G50-$C$50)*PermRate/12,0)</f>
        <v>9697.52352049704</v>
      </c>
      <c r="I49" s="37" t="n">
        <f aca="false">IF(I39&lt;=LOM_RehabMonths,MAX(0,H50-$C$50)*PermRate/12,0)</f>
        <v>13624.1208394076</v>
      </c>
      <c r="J49" s="37" t="n">
        <f aca="false">IF(J39&lt;=LOM_RehabMonths,MAX(0,I50-$C$50)*PermRate/12,0)</f>
        <v>17858.6591886887</v>
      </c>
      <c r="K49" s="37" t="n">
        <f aca="false">IF(K39&lt;=LOM_RehabMonths,MAX(0,J50-$C$50)*PermRate/12,0)</f>
        <v>22227.77465751</v>
      </c>
      <c r="L49" s="37" t="n">
        <f aca="false">IF(L39&lt;=LOM_RehabMonths,MAX(0,K50-$C$50)*PermRate/12,0)</f>
        <v>24000.4185731528</v>
      </c>
      <c r="M49" s="37" t="n">
        <f aca="false">IF(M39&lt;=LOM_RehabMonths,MAX(0,L50-$C$50)*PermRate/12,0)</f>
        <v>24120.4206660186</v>
      </c>
      <c r="N49" s="37" t="n">
        <f aca="false">IF(N39&lt;=LOM_RehabMonths,MAX(0,M50-$C$50)*PermRate/12,0)</f>
        <v>24241.0227693487</v>
      </c>
      <c r="O49" s="37" t="n">
        <f aca="false">IF(O39&lt;=LOM_RehabMonths,MAX(0,N50-$C$50)*PermRate/12,0)</f>
        <v>24362.2278831954</v>
      </c>
      <c r="P49" s="37" t="n">
        <f aca="false">IF(P39&lt;=LOM_RehabMonths,MAX(0,O50-$C$50)*PermRate/12,0)</f>
        <v>24484.0390226114</v>
      </c>
      <c r="Q49" s="37" t="n">
        <f aca="false">IF(Q39&lt;=LOM_RehabMonths,MAX(0,P50-$C$50)*PermRate/12,0)</f>
        <v>24606.4592177244</v>
      </c>
      <c r="R49" s="37" t="n">
        <f aca="false">IF(R39&lt;=LOM_RehabMonths,MAX(0,Q50-$C$50)*PermRate/12,0)</f>
        <v>0</v>
      </c>
      <c r="S49" s="37" t="n">
        <f aca="false">IF(S39&lt;=LOM_RehabMonths,MAX(0,R50-$C$50)*PermRate/12,0)</f>
        <v>0</v>
      </c>
      <c r="T49" s="37" t="n">
        <f aca="false">IF(T39&lt;=LOM_RehabMonths,MAX(0,S50-$C$50)*PermRate/12,0)</f>
        <v>0</v>
      </c>
      <c r="U49" s="84" t="n">
        <f aca="false">SUM(C49:T49)</f>
        <v>220165.971043347</v>
      </c>
    </row>
    <row r="50" customFormat="false" ht="15" hidden="false" customHeight="true" outlineLevel="0" collapsed="false">
      <c r="B50" s="13" t="s">
        <v>624</v>
      </c>
      <c r="C50" s="37" t="n">
        <f aca="false">0+C48+C49</f>
        <v>3065926.51063999</v>
      </c>
      <c r="D50" s="37" t="n">
        <f aca="false">C50+D48+D49</f>
        <v>3324977.38666866</v>
      </c>
      <c r="E50" s="37" t="n">
        <f aca="false">D50+E48+E49</f>
        <v>3747021.79067042</v>
      </c>
      <c r="F50" s="37" t="n">
        <f aca="false">E50+F48+F49</f>
        <v>4314441.29561946</v>
      </c>
      <c r="G50" s="37" t="n">
        <f aca="false">F50+G48+G49</f>
        <v>5005431.2147394</v>
      </c>
      <c r="H50" s="37" t="n">
        <f aca="false">G50+H48+H49</f>
        <v>5790750.67852151</v>
      </c>
      <c r="I50" s="37" t="n">
        <f aca="false">H50+I48+I49</f>
        <v>6637658.34837774</v>
      </c>
      <c r="J50" s="37" t="n">
        <f aca="false">I50+J48+J49</f>
        <v>7511481.44214199</v>
      </c>
      <c r="K50" s="37" t="n">
        <f aca="false">J50+K48+K49</f>
        <v>7866010.22527055</v>
      </c>
      <c r="L50" s="37" t="n">
        <f aca="false">K50+L48+L49</f>
        <v>7890010.6438437</v>
      </c>
      <c r="M50" s="37" t="n">
        <f aca="false">L50+M48+M49</f>
        <v>7914131.06450972</v>
      </c>
      <c r="N50" s="37" t="n">
        <f aca="false">M50+N48+N49</f>
        <v>7938372.08727907</v>
      </c>
      <c r="O50" s="37" t="n">
        <f aca="false">N50+O48+O49</f>
        <v>7962734.31516226</v>
      </c>
      <c r="P50" s="37" t="n">
        <f aca="false">O50+P48+P49</f>
        <v>7987218.35418487</v>
      </c>
      <c r="Q50" s="37" t="n">
        <f aca="false">P50+Q48+Q49</f>
        <v>8011824.8134026</v>
      </c>
      <c r="R50" s="37" t="n">
        <f aca="false">Q50+R48+R49</f>
        <v>8011824.8134026</v>
      </c>
      <c r="S50" s="37" t="n">
        <f aca="false">R50+S48+S49</f>
        <v>8011824.8134026</v>
      </c>
      <c r="T50" s="37" t="n">
        <f aca="false">S50+T48+T49</f>
        <v>8011824.8134026</v>
      </c>
    </row>
    <row r="51" customFormat="false" ht="15" hidden="false" customHeight="true" outlineLevel="0" collapsed="false">
      <c r="B51" s="13" t="s">
        <v>625</v>
      </c>
      <c r="C51" s="37" t="n">
        <f aca="false">SUM($C47:C47)+SUM($C48:C48)</f>
        <v>3888098.30496599</v>
      </c>
      <c r="D51" s="37" t="n">
        <f aca="false">SUM($C47:D47)+SUM($C48:D48)</f>
        <v>4147149.18099466</v>
      </c>
      <c r="E51" s="37" t="n">
        <f aca="false">SUM($C47:E47)+SUM($C48:E48)</f>
        <v>4567898.33061627</v>
      </c>
      <c r="F51" s="37" t="n">
        <f aca="false">SUM($C47:F47)+SUM($C48:F48)</f>
        <v>5131912.35916516</v>
      </c>
      <c r="G51" s="37" t="n">
        <f aca="false">SUM($C47:G47)+SUM($C48:G48)</f>
        <v>5816659.7043602</v>
      </c>
      <c r="H51" s="37" t="n">
        <f aca="false">SUM($C47:H47)+SUM($C48:H48)</f>
        <v>6592281.64462182</v>
      </c>
      <c r="I51" s="37" t="n">
        <f aca="false">SUM($C47:I47)+SUM($C48:I48)</f>
        <v>7425565.19363864</v>
      </c>
      <c r="J51" s="37" t="n">
        <f aca="false">SUM($C47:J47)+SUM($C48:J48)</f>
        <v>8281529.62821421</v>
      </c>
      <c r="K51" s="37" t="n">
        <f aca="false">SUM($C47:K47)+SUM($C48:K48)</f>
        <v>8613830.63668525</v>
      </c>
      <c r="L51" s="37" t="n">
        <f aca="false">SUM($C47:L47)+SUM($C48:L48)</f>
        <v>8613830.63668525</v>
      </c>
      <c r="M51" s="37" t="n">
        <f aca="false">SUM($C47:M47)+SUM($C48:M48)</f>
        <v>8613830.63668525</v>
      </c>
      <c r="N51" s="37" t="n">
        <f aca="false">SUM($C47:N47)+SUM($C48:N48)</f>
        <v>8613830.63668525</v>
      </c>
      <c r="O51" s="37" t="n">
        <f aca="false">SUM($C47:O47)+SUM($C48:O48)</f>
        <v>8613830.63668525</v>
      </c>
      <c r="P51" s="37" t="n">
        <f aca="false">SUM($C47:P47)+SUM($C48:P48)</f>
        <v>8613830.63668525</v>
      </c>
      <c r="Q51" s="37" t="n">
        <f aca="false">SUM($C47:Q47)+SUM($C48:Q48)</f>
        <v>10669260.1225002</v>
      </c>
      <c r="R51" s="37" t="n">
        <f aca="false">SUM($C47:R47)+SUM($C48:R48)</f>
        <v>10669260.1225002</v>
      </c>
      <c r="S51" s="37" t="n">
        <f aca="false">SUM($C47:S47)+SUM($C48:S48)</f>
        <v>10669260.1225002</v>
      </c>
      <c r="T51" s="37" t="n">
        <f aca="false">SUM($C47:T47)+SUM($C48:T48)</f>
        <v>10669260.1225002</v>
      </c>
    </row>
    <row r="52" customFormat="false" ht="15" hidden="false" customHeight="true" outlineLevel="0" collapsed="false">
      <c r="B52" s="19" t="s">
        <v>626</v>
      </c>
      <c r="U52" s="21" t="n">
        <f aca="false">MAX(C50:T50)</f>
        <v>8011824.8134026</v>
      </c>
    </row>
    <row r="55" customFormat="false" ht="15" hidden="false" customHeight="true" outlineLevel="0" collapsed="false">
      <c r="B55" s="3" t="s">
        <v>630</v>
      </c>
      <c r="C55" s="3"/>
      <c r="D55" s="48" t="n">
        <f aca="false">SA_ResynDate</f>
        <v>46357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customFormat="false" ht="15" hidden="false" customHeight="true" outlineLevel="0" collapsed="false">
      <c r="B56" s="40" t="s">
        <v>578</v>
      </c>
      <c r="C56" s="81" t="n">
        <v>1</v>
      </c>
      <c r="D56" s="81" t="n">
        <v>2</v>
      </c>
      <c r="E56" s="81" t="n">
        <v>3</v>
      </c>
      <c r="F56" s="81" t="n">
        <v>4</v>
      </c>
      <c r="G56" s="81" t="n">
        <v>5</v>
      </c>
      <c r="H56" s="81" t="n">
        <v>6</v>
      </c>
      <c r="I56" s="81" t="n">
        <v>7</v>
      </c>
      <c r="J56" s="81" t="n">
        <v>8</v>
      </c>
      <c r="K56" s="81" t="n">
        <v>9</v>
      </c>
      <c r="L56" s="81" t="n">
        <v>10</v>
      </c>
      <c r="M56" s="81" t="n">
        <v>11</v>
      </c>
      <c r="N56" s="81" t="n">
        <v>12</v>
      </c>
      <c r="O56" s="81" t="n">
        <v>13</v>
      </c>
      <c r="P56" s="81" t="n">
        <v>14</v>
      </c>
      <c r="Q56" s="81" t="n">
        <v>15</v>
      </c>
      <c r="R56" s="81" t="n">
        <v>16</v>
      </c>
      <c r="S56" s="81" t="n">
        <v>17</v>
      </c>
      <c r="T56" s="81" t="n">
        <v>18</v>
      </c>
      <c r="U56" s="82" t="s">
        <v>613</v>
      </c>
    </row>
    <row r="57" customFormat="false" ht="15" hidden="false" customHeight="true" outlineLevel="0" collapsed="false">
      <c r="B57" s="13" t="s">
        <v>614</v>
      </c>
      <c r="C57" s="83" t="n">
        <f aca="false">EDATE(SA_ResynDate,0)</f>
        <v>46357</v>
      </c>
      <c r="D57" s="83" t="n">
        <f aca="false">EDATE(SA_ResynDate,1)</f>
        <v>46388</v>
      </c>
      <c r="E57" s="83" t="n">
        <f aca="false">EDATE(SA_ResynDate,2)</f>
        <v>46419</v>
      </c>
      <c r="F57" s="83" t="n">
        <f aca="false">EDATE(SA_ResynDate,3)</f>
        <v>46447</v>
      </c>
      <c r="G57" s="83" t="n">
        <f aca="false">EDATE(SA_ResynDate,4)</f>
        <v>46478</v>
      </c>
      <c r="H57" s="83" t="n">
        <f aca="false">EDATE(SA_ResynDate,5)</f>
        <v>46508</v>
      </c>
      <c r="I57" s="83" t="n">
        <f aca="false">EDATE(SA_ResynDate,6)</f>
        <v>46539</v>
      </c>
      <c r="J57" s="83" t="n">
        <f aca="false">EDATE(SA_ResynDate,7)</f>
        <v>46569</v>
      </c>
      <c r="K57" s="83" t="n">
        <f aca="false">EDATE(SA_ResynDate,8)</f>
        <v>46600</v>
      </c>
      <c r="L57" s="83" t="n">
        <f aca="false">EDATE(SA_ResynDate,9)</f>
        <v>46631</v>
      </c>
      <c r="M57" s="83" t="n">
        <f aca="false">EDATE(SA_ResynDate,10)</f>
        <v>46661</v>
      </c>
      <c r="N57" s="83" t="n">
        <f aca="false">EDATE(SA_ResynDate,11)</f>
        <v>46692</v>
      </c>
      <c r="O57" s="83" t="n">
        <f aca="false">EDATE(SA_ResynDate,12)</f>
        <v>46722</v>
      </c>
      <c r="P57" s="83" t="n">
        <f aca="false">EDATE(SA_ResynDate,13)</f>
        <v>46753</v>
      </c>
      <c r="Q57" s="83" t="n">
        <f aca="false">EDATE(SA_ResynDate,14)</f>
        <v>46784</v>
      </c>
      <c r="R57" s="83" t="n">
        <f aca="false">EDATE(SA_ResynDate,15)</f>
        <v>46813</v>
      </c>
      <c r="S57" s="83" t="n">
        <f aca="false">EDATE(SA_ResynDate,16)</f>
        <v>46844</v>
      </c>
      <c r="T57" s="83" t="n">
        <f aca="false">EDATE(SA_ResynDate,17)</f>
        <v>46874</v>
      </c>
    </row>
    <row r="58" customFormat="false" ht="15" hidden="false" customHeight="true" outlineLevel="0" collapsed="false">
      <c r="B58" s="13" t="s">
        <v>615</v>
      </c>
      <c r="C58" s="37" t="n">
        <f aca="false">IF(C56=1,SA_AcqPrice,0)</f>
        <v>500000</v>
      </c>
      <c r="D58" s="37" t="n">
        <f aca="false">IF(D56=1,SA_AcqPrice,0)</f>
        <v>0</v>
      </c>
      <c r="E58" s="37" t="n">
        <f aca="false">IF(E56=1,SA_AcqPrice,0)</f>
        <v>0</v>
      </c>
      <c r="F58" s="37" t="n">
        <f aca="false">IF(F56=1,SA_AcqPrice,0)</f>
        <v>0</v>
      </c>
      <c r="G58" s="37" t="n">
        <f aca="false">IF(G56=1,SA_AcqPrice,0)</f>
        <v>0</v>
      </c>
      <c r="H58" s="37" t="n">
        <f aca="false">IF(H56=1,SA_AcqPrice,0)</f>
        <v>0</v>
      </c>
      <c r="I58" s="37" t="n">
        <f aca="false">IF(I56=1,SA_AcqPrice,0)</f>
        <v>0</v>
      </c>
      <c r="J58" s="37" t="n">
        <f aca="false">IF(J56=1,SA_AcqPrice,0)</f>
        <v>0</v>
      </c>
      <c r="K58" s="37" t="n">
        <f aca="false">IF(K56=1,SA_AcqPrice,0)</f>
        <v>0</v>
      </c>
      <c r="L58" s="37" t="n">
        <f aca="false">IF(L56=1,SA_AcqPrice,0)</f>
        <v>0</v>
      </c>
      <c r="M58" s="37" t="n">
        <f aca="false">IF(M56=1,SA_AcqPrice,0)</f>
        <v>0</v>
      </c>
      <c r="N58" s="37" t="n">
        <f aca="false">IF(N56=1,SA_AcqPrice,0)</f>
        <v>0</v>
      </c>
      <c r="O58" s="37" t="n">
        <f aca="false">IF(O56=1,SA_AcqPrice,0)</f>
        <v>0</v>
      </c>
      <c r="P58" s="37" t="n">
        <f aca="false">IF(P56=1,SA_AcqPrice,0)</f>
        <v>0</v>
      </c>
      <c r="Q58" s="37" t="n">
        <f aca="false">IF(Q56=1,SA_AcqPrice,0)</f>
        <v>0</v>
      </c>
      <c r="R58" s="37" t="n">
        <f aca="false">IF(R56=1,SA_AcqPrice,0)</f>
        <v>0</v>
      </c>
      <c r="S58" s="37" t="n">
        <f aca="false">IF(S56=1,SA_AcqPrice,0)</f>
        <v>0</v>
      </c>
      <c r="T58" s="37" t="n">
        <f aca="false">IF(T56=1,SA_AcqPrice,0)</f>
        <v>0</v>
      </c>
      <c r="U58" s="84" t="n">
        <f aca="false">SUM(C58:T58)</f>
        <v>500000</v>
      </c>
    </row>
    <row r="59" customFormat="false" ht="15" hidden="false" customHeight="true" outlineLevel="0" collapsed="false">
      <c r="B59" s="13" t="s">
        <v>616</v>
      </c>
      <c r="C59" s="37" t="n">
        <v>0</v>
      </c>
      <c r="D59" s="37" t="n">
        <v>0</v>
      </c>
      <c r="E59" s="37" t="n">
        <v>0</v>
      </c>
      <c r="F59" s="37" t="n">
        <v>0</v>
      </c>
      <c r="G59" s="37" t="n">
        <v>0</v>
      </c>
      <c r="H59" s="37" t="n">
        <v>0</v>
      </c>
      <c r="I59" s="37" t="n">
        <v>0</v>
      </c>
      <c r="J59" s="37" t="n">
        <v>0</v>
      </c>
      <c r="K59" s="37" t="n">
        <v>0</v>
      </c>
      <c r="L59" s="37" t="n">
        <v>0</v>
      </c>
      <c r="M59" s="37" t="n">
        <v>0</v>
      </c>
      <c r="N59" s="37" t="n">
        <v>0</v>
      </c>
      <c r="O59" s="37" t="n">
        <v>0</v>
      </c>
      <c r="P59" s="37" t="n">
        <v>0</v>
      </c>
      <c r="Q59" s="37" t="n">
        <v>0</v>
      </c>
      <c r="R59" s="37" t="n">
        <v>0</v>
      </c>
      <c r="S59" s="37" t="n">
        <v>0</v>
      </c>
      <c r="T59" s="37" t="n">
        <v>0</v>
      </c>
      <c r="U59" s="84" t="n">
        <f aca="false">SUM(C59:T59)</f>
        <v>0</v>
      </c>
    </row>
    <row r="60" customFormat="false" ht="15" hidden="false" customHeight="true" outlineLevel="0" collapsed="false">
      <c r="B60" s="13" t="s">
        <v>617</v>
      </c>
      <c r="C60" s="37" t="n">
        <f aca="false">SA_RehabBasis*INDEX(SA_BurnCurve,1)</f>
        <v>92892.216</v>
      </c>
      <c r="D60" s="37" t="n">
        <f aca="false">SA_RehabBasis*INDEX(SA_BurnCurve,2)</f>
        <v>276232.116</v>
      </c>
      <c r="E60" s="37" t="n">
        <f aca="false">SA_RehabBasis*INDEX(SA_BurnCurve,3)</f>
        <v>449793.888</v>
      </c>
      <c r="F60" s="37" t="n">
        <f aca="false">SA_RehabBasis*INDEX(SA_BurnCurve,4)</f>
        <v>611133</v>
      </c>
      <c r="G60" s="37" t="n">
        <f aca="false">SA_RehabBasis*INDEX(SA_BurnCurve,5)</f>
        <v>752915.856</v>
      </c>
      <c r="H60" s="37" t="n">
        <f aca="false">SA_RehabBasis*INDEX(SA_BurnCurve,6)</f>
        <v>872697.924</v>
      </c>
      <c r="I60" s="37" t="n">
        <f aca="false">SA_RehabBasis*INDEX(SA_BurnCurve,7)</f>
        <v>965590.14</v>
      </c>
      <c r="J60" s="37" t="n">
        <f aca="false">SA_RehabBasis*INDEX(SA_BurnCurve,8)</f>
        <v>1029147.972</v>
      </c>
      <c r="K60" s="37" t="n">
        <f aca="false">SA_RehabBasis*INDEX(SA_BurnCurve,9)</f>
        <v>1060926.888</v>
      </c>
      <c r="L60" s="37" t="n">
        <f aca="false">SA_RehabBasis*INDEX(SA_BurnCurve,10)</f>
        <v>1060926.888</v>
      </c>
      <c r="M60" s="37" t="n">
        <f aca="false">SA_RehabBasis*INDEX(SA_BurnCurve,11)</f>
        <v>1029147.972</v>
      </c>
      <c r="N60" s="37" t="n">
        <f aca="false">SA_RehabBasis*INDEX(SA_BurnCurve,12)</f>
        <v>965590.14</v>
      </c>
      <c r="O60" s="37" t="n">
        <f aca="false">SA_RehabBasis*INDEX(SA_BurnCurve,13)</f>
        <v>872697.924</v>
      </c>
      <c r="P60" s="37" t="n">
        <f aca="false">SA_RehabBasis*INDEX(SA_BurnCurve,14)</f>
        <v>752915.856</v>
      </c>
      <c r="Q60" s="37" t="n">
        <f aca="false">SA_RehabBasis*INDEX(SA_BurnCurve,15)</f>
        <v>611133</v>
      </c>
      <c r="R60" s="37" t="n">
        <f aca="false">SA_RehabBasis*INDEX(SA_BurnCurve,16)</f>
        <v>449793.888</v>
      </c>
      <c r="S60" s="37" t="n">
        <f aca="false">SA_RehabBasis*INDEX(SA_BurnCurve,17)</f>
        <v>276232.116</v>
      </c>
      <c r="T60" s="37" t="n">
        <f aca="false">SA_RehabBasis*INDEX(SA_BurnCurve,18)</f>
        <v>92892.216</v>
      </c>
      <c r="U60" s="84" t="n">
        <f aca="false">SUM(C60:T60)</f>
        <v>12222660</v>
      </c>
    </row>
    <row r="61" customFormat="false" ht="15" hidden="false" customHeight="true" outlineLevel="0" collapsed="false">
      <c r="B61" s="13" t="s">
        <v>618</v>
      </c>
      <c r="C61" s="37" t="n">
        <f aca="false">IF(C56=1,SA_FinFees+'Sources &amp; Uses'!F21+'Sources &amp; Uses'!F23,0)</f>
        <v>1058001.12569272</v>
      </c>
      <c r="D61" s="37" t="n">
        <f aca="false">IF(D56=1,SA_FinFees+'Sources &amp; Uses'!F21+'Sources &amp; Uses'!F23,0)</f>
        <v>0</v>
      </c>
      <c r="E61" s="37" t="n">
        <f aca="false">IF(E56=1,SA_FinFees+'Sources &amp; Uses'!F21+'Sources &amp; Uses'!F23,0)</f>
        <v>0</v>
      </c>
      <c r="F61" s="37" t="n">
        <f aca="false">IF(F56=1,SA_FinFees+'Sources &amp; Uses'!F21+'Sources &amp; Uses'!F23,0)</f>
        <v>0</v>
      </c>
      <c r="G61" s="37" t="n">
        <f aca="false">IF(G56=1,SA_FinFees+'Sources &amp; Uses'!F21+'Sources &amp; Uses'!F23,0)</f>
        <v>0</v>
      </c>
      <c r="H61" s="37" t="n">
        <f aca="false">IF(H56=1,SA_FinFees+'Sources &amp; Uses'!F21+'Sources &amp; Uses'!F23,0)</f>
        <v>0</v>
      </c>
      <c r="I61" s="37" t="n">
        <f aca="false">IF(I56=1,SA_FinFees+'Sources &amp; Uses'!F21+'Sources &amp; Uses'!F23,0)</f>
        <v>0</v>
      </c>
      <c r="J61" s="37" t="n">
        <f aca="false">IF(J56=1,SA_FinFees+'Sources &amp; Uses'!F21+'Sources &amp; Uses'!F23,0)</f>
        <v>0</v>
      </c>
      <c r="K61" s="37" t="n">
        <f aca="false">IF(K56=1,SA_FinFees+'Sources &amp; Uses'!F21+'Sources &amp; Uses'!F23,0)</f>
        <v>0</v>
      </c>
      <c r="L61" s="37" t="n">
        <f aca="false">IF(L56=1,SA_FinFees+'Sources &amp; Uses'!F21+'Sources &amp; Uses'!F23,0)</f>
        <v>0</v>
      </c>
      <c r="M61" s="37" t="n">
        <f aca="false">IF(M56=1,SA_FinFees+'Sources &amp; Uses'!F21+'Sources &amp; Uses'!F23,0)</f>
        <v>0</v>
      </c>
      <c r="N61" s="37" t="n">
        <f aca="false">IF(N56=1,SA_FinFees+'Sources &amp; Uses'!F21+'Sources &amp; Uses'!F23,0)</f>
        <v>0</v>
      </c>
      <c r="O61" s="37" t="n">
        <f aca="false">IF(O56=1,SA_FinFees+'Sources &amp; Uses'!F21+'Sources &amp; Uses'!F23,0)</f>
        <v>0</v>
      </c>
      <c r="P61" s="37" t="n">
        <f aca="false">IF(P56=1,SA_FinFees+'Sources &amp; Uses'!F21+'Sources &amp; Uses'!F23,0)</f>
        <v>0</v>
      </c>
      <c r="Q61" s="37" t="n">
        <f aca="false">IF(Q56=1,SA_FinFees+'Sources &amp; Uses'!F21+'Sources &amp; Uses'!F23,0)</f>
        <v>0</v>
      </c>
      <c r="R61" s="37" t="n">
        <f aca="false">IF(R56=1,SA_FinFees+'Sources &amp; Uses'!F21+'Sources &amp; Uses'!F23,0)</f>
        <v>0</v>
      </c>
      <c r="S61" s="37" t="n">
        <f aca="false">IF(S56=1,SA_FinFees+'Sources &amp; Uses'!F21+'Sources &amp; Uses'!F23,0)</f>
        <v>0</v>
      </c>
      <c r="T61" s="37" t="n">
        <f aca="false">IF(T56=1,SA_FinFees+'Sources &amp; Uses'!F21+'Sources &amp; Uses'!F23,0)</f>
        <v>0</v>
      </c>
      <c r="U61" s="84" t="n">
        <f aca="false">SUM(C61:T61)</f>
        <v>1058001.12569272</v>
      </c>
    </row>
    <row r="62" customFormat="false" ht="15" hidden="false" customHeight="true" outlineLevel="0" collapsed="false">
      <c r="B62" s="13" t="s">
        <v>619</v>
      </c>
      <c r="C62" s="37" t="n">
        <f aca="false">IF(C56=SA_RehabMonths+6,SA_DevFee-SA_DDF,0)</f>
        <v>0</v>
      </c>
      <c r="D62" s="37" t="n">
        <f aca="false">IF(D56=SA_RehabMonths+6,SA_DevFee-SA_DDF,0)</f>
        <v>0</v>
      </c>
      <c r="E62" s="37" t="n">
        <f aca="false">IF(E56=SA_RehabMonths+6,SA_DevFee-SA_DDF,0)</f>
        <v>0</v>
      </c>
      <c r="F62" s="37" t="n">
        <f aca="false">IF(F56=SA_RehabMonths+6,SA_DevFee-SA_DDF,0)</f>
        <v>0</v>
      </c>
      <c r="G62" s="37" t="n">
        <f aca="false">IF(G56=SA_RehabMonths+6,SA_DevFee-SA_DDF,0)</f>
        <v>0</v>
      </c>
      <c r="H62" s="37" t="n">
        <f aca="false">IF(H56=SA_RehabMonths+6,SA_DevFee-SA_DDF,0)</f>
        <v>0</v>
      </c>
      <c r="I62" s="37" t="n">
        <f aca="false">IF(I56=SA_RehabMonths+6,SA_DevFee-SA_DDF,0)</f>
        <v>0</v>
      </c>
      <c r="J62" s="37" t="n">
        <f aca="false">IF(J56=SA_RehabMonths+6,SA_DevFee-SA_DDF,0)</f>
        <v>0</v>
      </c>
      <c r="K62" s="37" t="n">
        <f aca="false">IF(K56=SA_RehabMonths+6,SA_DevFee-SA_DDF,0)</f>
        <v>0</v>
      </c>
      <c r="L62" s="37" t="n">
        <f aca="false">IF(L56=SA_RehabMonths+6,SA_DevFee-SA_DDF,0)</f>
        <v>0</v>
      </c>
      <c r="M62" s="37" t="n">
        <f aca="false">IF(M56=SA_RehabMonths+6,SA_DevFee-SA_DDF,0)</f>
        <v>0</v>
      </c>
      <c r="N62" s="37" t="n">
        <f aca="false">IF(N56=SA_RehabMonths+6,SA_DevFee-SA_DDF,0)</f>
        <v>0</v>
      </c>
      <c r="O62" s="37" t="n">
        <f aca="false">IF(O56=SA_RehabMonths+6,SA_DevFee-SA_DDF,0)</f>
        <v>0</v>
      </c>
      <c r="P62" s="37" t="n">
        <f aca="false">IF(P56=SA_RehabMonths+6,SA_DevFee-SA_DDF,0)</f>
        <v>0</v>
      </c>
      <c r="Q62" s="37" t="n">
        <f aca="false">IF(Q56=SA_RehabMonths+6,SA_DevFee-SA_DDF,0)</f>
        <v>0</v>
      </c>
      <c r="R62" s="37" t="n">
        <f aca="false">IF(R56=SA_RehabMonths+6,SA_DevFee-SA_DDF,0)</f>
        <v>0</v>
      </c>
      <c r="S62" s="37" t="n">
        <f aca="false">IF(S56=SA_RehabMonths+6,SA_DevFee-SA_DDF,0)</f>
        <v>0</v>
      </c>
      <c r="T62" s="37" t="n">
        <f aca="false">IF(T56=SA_RehabMonths+6,SA_DevFee-SA_DDF,0)</f>
        <v>0</v>
      </c>
      <c r="U62" s="84" t="n">
        <f aca="false">SUM(C62:T62)</f>
        <v>0</v>
      </c>
    </row>
    <row r="63" customFormat="false" ht="15" hidden="false" customHeight="true" outlineLevel="0" collapsed="false">
      <c r="B63" s="19" t="s">
        <v>620</v>
      </c>
      <c r="C63" s="84" t="n">
        <f aca="false">SUM(C58:C62)</f>
        <v>1650893.34169272</v>
      </c>
      <c r="D63" s="84" t="n">
        <f aca="false">SUM(D58:D62)</f>
        <v>276232.116</v>
      </c>
      <c r="E63" s="84" t="n">
        <f aca="false">SUM(E58:E62)</f>
        <v>449793.888</v>
      </c>
      <c r="F63" s="84" t="n">
        <f aca="false">SUM(F58:F62)</f>
        <v>611133</v>
      </c>
      <c r="G63" s="84" t="n">
        <f aca="false">SUM(G58:G62)</f>
        <v>752915.856</v>
      </c>
      <c r="H63" s="84" t="n">
        <f aca="false">SUM(H58:H62)</f>
        <v>872697.924</v>
      </c>
      <c r="I63" s="84" t="n">
        <f aca="false">SUM(I58:I62)</f>
        <v>965590.14</v>
      </c>
      <c r="J63" s="84" t="n">
        <f aca="false">SUM(J58:J62)</f>
        <v>1029147.972</v>
      </c>
      <c r="K63" s="84" t="n">
        <f aca="false">SUM(K58:K62)</f>
        <v>1060926.888</v>
      </c>
      <c r="L63" s="84" t="n">
        <f aca="false">SUM(L58:L62)</f>
        <v>1060926.888</v>
      </c>
      <c r="M63" s="84" t="n">
        <f aca="false">SUM(M58:M62)</f>
        <v>1029147.972</v>
      </c>
      <c r="N63" s="84" t="n">
        <f aca="false">SUM(N58:N62)</f>
        <v>965590.14</v>
      </c>
      <c r="O63" s="84" t="n">
        <f aca="false">SUM(O58:O62)</f>
        <v>872697.924</v>
      </c>
      <c r="P63" s="84" t="n">
        <f aca="false">SUM(P58:P62)</f>
        <v>752915.856</v>
      </c>
      <c r="Q63" s="84" t="n">
        <f aca="false">SUM(Q58:Q62)</f>
        <v>611133</v>
      </c>
      <c r="R63" s="84" t="n">
        <f aca="false">SUM(R58:R62)</f>
        <v>449793.888</v>
      </c>
      <c r="S63" s="84" t="n">
        <f aca="false">SUM(S58:S62)</f>
        <v>276232.116</v>
      </c>
      <c r="T63" s="84" t="n">
        <f aca="false">SUM(T58:T62)</f>
        <v>92892.216</v>
      </c>
      <c r="U63" s="21" t="n">
        <f aca="false">SUM(C63:T63)</f>
        <v>13780661.1256927</v>
      </c>
    </row>
    <row r="64" customFormat="false" ht="15" hidden="false" customHeight="true" outlineLevel="0" collapsed="false">
      <c r="B64" s="13" t="s">
        <v>621</v>
      </c>
      <c r="C64" s="37" t="n">
        <f aca="false">SUMPRODUCT((SA_PayinMonths=C56)*SA_PayinAmts)</f>
        <v>1023553.95510298</v>
      </c>
      <c r="D64" s="37" t="n">
        <f aca="false">SUMPRODUCT((SA_PayinMonths=D56)*SA_PayinAmts)</f>
        <v>0</v>
      </c>
      <c r="E64" s="37" t="n">
        <f aca="false">SUMPRODUCT((SA_PayinMonths=E56)*SA_PayinAmts)</f>
        <v>0</v>
      </c>
      <c r="F64" s="37" t="n">
        <f aca="false">SUMPRODUCT((SA_PayinMonths=F56)*SA_PayinAmts)</f>
        <v>0</v>
      </c>
      <c r="G64" s="37" t="n">
        <f aca="false">SUMPRODUCT((SA_PayinMonths=G56)*SA_PayinAmts)</f>
        <v>0</v>
      </c>
      <c r="H64" s="37" t="n">
        <f aca="false">SUMPRODUCT((SA_PayinMonths=H56)*SA_PayinAmts)</f>
        <v>0</v>
      </c>
      <c r="I64" s="37" t="n">
        <f aca="false">SUMPRODUCT((SA_PayinMonths=I56)*SA_PayinAmts)</f>
        <v>0</v>
      </c>
      <c r="J64" s="37" t="n">
        <f aca="false">SUMPRODUCT((SA_PayinMonths=J56)*SA_PayinAmts)</f>
        <v>0</v>
      </c>
      <c r="K64" s="37" t="n">
        <f aca="false">SUMPRODUCT((SA_PayinMonths=K56)*SA_PayinAmts)</f>
        <v>0</v>
      </c>
      <c r="L64" s="37" t="n">
        <f aca="false">SUMPRODUCT((SA_PayinMonths=L56)*SA_PayinAmts)</f>
        <v>0</v>
      </c>
      <c r="M64" s="37" t="n">
        <f aca="false">SUMPRODUCT((SA_PayinMonths=M56)*SA_PayinAmts)</f>
        <v>0</v>
      </c>
      <c r="N64" s="37" t="n">
        <f aca="false">SUMPRODUCT((SA_PayinMonths=N56)*SA_PayinAmts)</f>
        <v>0</v>
      </c>
      <c r="O64" s="37" t="n">
        <f aca="false">SUMPRODUCT((SA_PayinMonths=O56)*SA_PayinAmts)</f>
        <v>0</v>
      </c>
      <c r="P64" s="37" t="n">
        <f aca="false">SUMPRODUCT((SA_PayinMonths=P56)*SA_PayinAmts)</f>
        <v>0</v>
      </c>
      <c r="Q64" s="37" t="n">
        <f aca="false">SUMPRODUCT((SA_PayinMonths=Q56)*SA_PayinAmts)</f>
        <v>0</v>
      </c>
      <c r="R64" s="37" t="n">
        <f aca="false">SUMPRODUCT((SA_PayinMonths=R56)*SA_PayinAmts)</f>
        <v>0</v>
      </c>
      <c r="S64" s="37" t="n">
        <f aca="false">SUMPRODUCT((SA_PayinMonths=S56)*SA_PayinAmts)</f>
        <v>0</v>
      </c>
      <c r="T64" s="37" t="n">
        <f aca="false">SUMPRODUCT((SA_PayinMonths=T56)*SA_PayinAmts)</f>
        <v>2558884.88775744</v>
      </c>
      <c r="U64" s="84" t="n">
        <f aca="false">SUM(C64:T64)</f>
        <v>3582438.84286042</v>
      </c>
    </row>
    <row r="65" customFormat="false" ht="15" hidden="false" customHeight="true" outlineLevel="0" collapsed="false">
      <c r="B65" s="13" t="s">
        <v>622</v>
      </c>
      <c r="C65" s="37" t="n">
        <f aca="false">MAX(0,MIN(SA_SelProceeds-(0),(SUM($C63:C63)+SUM($C66:C66))-(SUM($C64:C64))-(0)))</f>
        <v>627339.386589747</v>
      </c>
      <c r="D65" s="37" t="n">
        <f aca="false">MAX(0,MIN(SA_SelProceeds-(SUM($C65:C65)),(SUM($C63:D63)+SUM($C66:D66))-(SUM($C64:D64))-(SUM($C65:C65))))</f>
        <v>276232.116</v>
      </c>
      <c r="E65" s="37" t="n">
        <f aca="false">MAX(0,MIN(SA_SelProceeds-(SUM($C65:D65)),(SUM($C63:E63)+SUM($C66:E66))-(SUM($C64:E64))-(SUM($C65:D65))))</f>
        <v>451175.04858</v>
      </c>
      <c r="F65" s="37" t="n">
        <f aca="false">MAX(0,MIN(SA_SelProceeds-(SUM($C65:E65)),(SUM($C63:F63)+SUM($C66:F66))-(SUM($C64:F64))-(SUM($C65:E65))))</f>
        <v>614776.9416258</v>
      </c>
      <c r="G65" s="37" t="n">
        <f aca="false">MAX(0,MIN(SA_SelProceeds-(SUM($C65:F65)),(SUM($C63:G63)+SUM($C66:G66))-(SUM($C64:G64))-(SUM($C65:F65))))</f>
        <v>759651.902042058</v>
      </c>
      <c r="H65" s="37" t="n">
        <f aca="false">MAX(0,MIN(SA_SelProceeds-(SUM($C65:G65)),(SUM($C63:H63)+SUM($C66:H66))-(SUM($C64:H64))-(SUM($C65:G65))))</f>
        <v>883265.909782478</v>
      </c>
      <c r="I65" s="37" t="n">
        <f aca="false">MAX(0,MIN(SA_SelProceeds-(SUM($C65:H65)),(SUM($C63:I63)+SUM($C66:I66))-(SUM($C64:I64))-(SUM($C65:H65))))</f>
        <v>980627.295260302</v>
      </c>
      <c r="J65" s="37" t="n">
        <f aca="false">MAX(0,MIN(SA_SelProceeds-(SUM($C65:I65)),(SUM($C63:J63)+SUM($C66:J66))-(SUM($C64:J64))-(SUM($C65:I65))))</f>
        <v>1049163.44951291</v>
      </c>
      <c r="K65" s="37" t="n">
        <f aca="false">MAX(0,MIN(SA_SelProceeds-(SUM($C65:J65)),(SUM($C63:K63)+SUM($C66:K66))-(SUM($C64:K64))-(SUM($C65:J65))))</f>
        <v>1086288.26014804</v>
      </c>
      <c r="L65" s="37" t="n">
        <f aca="false">MAX(0,MIN(SA_SelProceeds-(SUM($C65:K65)),(SUM($C63:L63)+SUM($C66:L66))-(SUM($C64:L64))-(SUM($C65:K65))))</f>
        <v>1091846.50830952</v>
      </c>
      <c r="M65" s="37" t="n">
        <f aca="false">MAX(0,MIN(SA_SelProceeds-(SUM($C65:L65)),(SUM($C63:M63)+SUM($C66:M66))-(SUM($C64:M64))-(SUM($C65:L65))))</f>
        <v>1065681.42295261</v>
      </c>
      <c r="N65" s="37" t="n">
        <f aca="false">MAX(0,MIN(SA_SelProceeds-(SUM($C65:M65)),(SUM($C63:N63)+SUM($C66:N66))-(SUM($C64:N64))-(SUM($C65:M65))))</f>
        <v>333762.672733095</v>
      </c>
      <c r="O65" s="37" t="n">
        <f aca="false">MAX(0,MIN(SA_SelProceeds-(SUM($C65:N65)),(SUM($C63:O63)+SUM($C66:O66))-(SUM($C64:O64))-(SUM($C65:N65))))</f>
        <v>0</v>
      </c>
      <c r="P65" s="37" t="n">
        <f aca="false">MAX(0,MIN(SA_SelProceeds-(SUM($C65:O65)),(SUM($C63:P63)+SUM($C66:P66))-(SUM($C64:P64))-(SUM($C65:O65))))</f>
        <v>0</v>
      </c>
      <c r="Q65" s="37" t="n">
        <f aca="false">MAX(0,MIN(SA_SelProceeds-(SUM($C65:P65)),(SUM($C63:Q63)+SUM($C66:Q66))-(SUM($C64:Q64))-(SUM($C65:P65))))</f>
        <v>0</v>
      </c>
      <c r="R65" s="37" t="n">
        <f aca="false">MAX(0,MIN(SA_SelProceeds-(SUM($C65:Q65)),(SUM($C63:R63)+SUM($C66:R66))-(SUM($C64:R64))-(SUM($C65:Q65))))</f>
        <v>0</v>
      </c>
      <c r="S65" s="37" t="n">
        <f aca="false">MAX(0,MIN(SA_SelProceeds-(SUM($C65:R65)),(SUM($C63:S63)+SUM($C66:S66))-(SUM($C64:S64))-(SUM($C65:R65))))</f>
        <v>0</v>
      </c>
      <c r="T65" s="37" t="n">
        <f aca="false">MAX(0,MIN(SA_SelProceeds-(SUM($C65:S65)),(SUM($C63:T63)+SUM($C66:T66))-(SUM($C64:T64))-(SUM($C65:S65))))</f>
        <v>0</v>
      </c>
      <c r="U65" s="84" t="n">
        <f aca="false">SUM(C65:T65)</f>
        <v>9219810.91353655</v>
      </c>
    </row>
    <row r="66" customFormat="false" ht="15" hidden="false" customHeight="true" outlineLevel="0" collapsed="false">
      <c r="B66" s="13" t="s">
        <v>623</v>
      </c>
      <c r="C66" s="37" t="n">
        <v>0</v>
      </c>
      <c r="D66" s="37" t="n">
        <f aca="false">IF(D56&lt;=SA_RehabMonths,MAX(0,C67-$C$67)*PermRate/12,0)</f>
        <v>0</v>
      </c>
      <c r="E66" s="37" t="n">
        <f aca="false">IF(E56&lt;=SA_RehabMonths,MAX(0,D67-$C$67)*PermRate/12,0)</f>
        <v>1381.16058</v>
      </c>
      <c r="F66" s="37" t="n">
        <f aca="false">IF(F56&lt;=SA_RehabMonths,MAX(0,E67-$C$67)*PermRate/12,0)</f>
        <v>3643.9416258</v>
      </c>
      <c r="G66" s="37" t="n">
        <f aca="false">IF(G56&lt;=SA_RehabMonths,MAX(0,F67-$C$67)*PermRate/12,0)</f>
        <v>6736.046042058</v>
      </c>
      <c r="H66" s="37" t="n">
        <f aca="false">IF(H56&lt;=SA_RehabMonths,MAX(0,G67-$C$67)*PermRate/12,0)</f>
        <v>10567.9857824786</v>
      </c>
      <c r="I66" s="37" t="n">
        <f aca="false">IF(I56&lt;=SA_RehabMonths,MAX(0,H67-$C$67)*PermRate/12,0)</f>
        <v>15037.1552603034</v>
      </c>
      <c r="J66" s="37" t="n">
        <f aca="false">IF(J56&lt;=SA_RehabMonths,MAX(0,I67-$C$67)*PermRate/12,0)</f>
        <v>20015.4775129064</v>
      </c>
      <c r="K66" s="37" t="n">
        <f aca="false">IF(K56&lt;=SA_RehabMonths,MAX(0,J67-$C$67)*PermRate/12,0)</f>
        <v>25361.3721480355</v>
      </c>
      <c r="L66" s="37" t="n">
        <f aca="false">IF(L56&lt;=SA_RehabMonths,MAX(0,K67-$C$67)*PermRate/12,0)</f>
        <v>30919.6203095158</v>
      </c>
      <c r="M66" s="37" t="n">
        <f aca="false">IF(M56&lt;=SA_RehabMonths,MAX(0,L67-$C$67)*PermRate/12,0)</f>
        <v>36533.450952611</v>
      </c>
      <c r="N66" s="37" t="n">
        <f aca="false">IF(N56&lt;=SA_RehabMonths,MAX(0,M67-$C$67)*PermRate/12,0)</f>
        <v>42044.5253221371</v>
      </c>
      <c r="O66" s="37" t="n">
        <f aca="false">IF(O56&lt;=SA_RehabMonths,MAX(0,N67-$C$67)*PermRate/12,0)</f>
        <v>43923.5613124132</v>
      </c>
      <c r="P66" s="37" t="n">
        <f aca="false">IF(P56&lt;=SA_RehabMonths,MAX(0,O67-$C$67)*PermRate/12,0)</f>
        <v>44143.1791189753</v>
      </c>
      <c r="Q66" s="37" t="n">
        <f aca="false">IF(Q56&lt;=SA_RehabMonths,MAX(0,P67-$C$67)*PermRate/12,0)</f>
        <v>44363.8950145702</v>
      </c>
      <c r="R66" s="37" t="n">
        <f aca="false">IF(R56&lt;=SA_RehabMonths,MAX(0,Q67-$C$67)*PermRate/12,0)</f>
        <v>44585.714489643</v>
      </c>
      <c r="S66" s="37" t="n">
        <f aca="false">IF(S56&lt;=SA_RehabMonths,MAX(0,R67-$C$67)*PermRate/12,0)</f>
        <v>44808.6430620912</v>
      </c>
      <c r="T66" s="37" t="n">
        <f aca="false">IF(T56&lt;=SA_RehabMonths,MAX(0,S67-$C$67)*PermRate/12,0)</f>
        <v>45032.6862774017</v>
      </c>
      <c r="U66" s="84" t="n">
        <f aca="false">SUM(C66:T66)</f>
        <v>459098.41481094</v>
      </c>
    </row>
    <row r="67" customFormat="false" ht="15" hidden="false" customHeight="true" outlineLevel="0" collapsed="false">
      <c r="B67" s="13" t="s">
        <v>624</v>
      </c>
      <c r="C67" s="37" t="n">
        <f aca="false">0+C65+C66</f>
        <v>627339.386589747</v>
      </c>
      <c r="D67" s="37" t="n">
        <f aca="false">C67+D65+D66</f>
        <v>903571.502589747</v>
      </c>
      <c r="E67" s="37" t="n">
        <f aca="false">D67+E65+E66</f>
        <v>1356127.71174975</v>
      </c>
      <c r="F67" s="37" t="n">
        <f aca="false">E67+F65+F66</f>
        <v>1974548.59500135</v>
      </c>
      <c r="G67" s="37" t="n">
        <f aca="false">F67+G65+G66</f>
        <v>2740936.54308546</v>
      </c>
      <c r="H67" s="37" t="n">
        <f aca="false">G67+H65+H66</f>
        <v>3634770.43865042</v>
      </c>
      <c r="I67" s="37" t="n">
        <f aca="false">H67+I65+I66</f>
        <v>4630434.88917103</v>
      </c>
      <c r="J67" s="37" t="n">
        <f aca="false">I67+J65+J66</f>
        <v>5699613.81619684</v>
      </c>
      <c r="K67" s="37" t="n">
        <f aca="false">J67+K65+K66</f>
        <v>6811263.44849291</v>
      </c>
      <c r="L67" s="37" t="n">
        <f aca="false">K67+L65+L66</f>
        <v>7934029.57711194</v>
      </c>
      <c r="M67" s="37" t="n">
        <f aca="false">L67+M65+M66</f>
        <v>9036244.45101716</v>
      </c>
      <c r="N67" s="37" t="n">
        <f aca="false">M67+N65+N66</f>
        <v>9412051.64907239</v>
      </c>
      <c r="O67" s="37" t="n">
        <f aca="false">N67+O65+O66</f>
        <v>9455975.21038481</v>
      </c>
      <c r="P67" s="37" t="n">
        <f aca="false">O67+P65+P66</f>
        <v>9500118.38950378</v>
      </c>
      <c r="Q67" s="37" t="n">
        <f aca="false">P67+Q65+Q66</f>
        <v>9544482.28451835</v>
      </c>
      <c r="R67" s="37" t="n">
        <f aca="false">Q67+R65+R66</f>
        <v>9589067.99900799</v>
      </c>
      <c r="S67" s="37" t="n">
        <f aca="false">R67+S65+S66</f>
        <v>9633876.64207009</v>
      </c>
      <c r="T67" s="37" t="n">
        <f aca="false">S67+T65+T66</f>
        <v>9678909.32834749</v>
      </c>
    </row>
    <row r="68" customFormat="false" ht="15" hidden="false" customHeight="true" outlineLevel="0" collapsed="false">
      <c r="B68" s="13" t="s">
        <v>625</v>
      </c>
      <c r="C68" s="37" t="n">
        <f aca="false">SUM($C64:C64)+SUM($C65:C65)</f>
        <v>1650893.34169272</v>
      </c>
      <c r="D68" s="37" t="n">
        <f aca="false">SUM($C64:D64)+SUM($C65:D65)</f>
        <v>1927125.45769272</v>
      </c>
      <c r="E68" s="37" t="n">
        <f aca="false">SUM($C64:E64)+SUM($C65:E65)</f>
        <v>2378300.50627272</v>
      </c>
      <c r="F68" s="37" t="n">
        <f aca="false">SUM($C64:F64)+SUM($C65:F65)</f>
        <v>2993077.44789852</v>
      </c>
      <c r="G68" s="37" t="n">
        <f aca="false">SUM($C64:G64)+SUM($C65:G65)</f>
        <v>3752729.34994058</v>
      </c>
      <c r="H68" s="37" t="n">
        <f aca="false">SUM($C64:H64)+SUM($C65:H65)</f>
        <v>4635995.25972306</v>
      </c>
      <c r="I68" s="37" t="n">
        <f aca="false">SUM($C64:I64)+SUM($C65:I65)</f>
        <v>5616622.55498336</v>
      </c>
      <c r="J68" s="37" t="n">
        <f aca="false">SUM($C64:J64)+SUM($C65:J65)</f>
        <v>6665786.00449627</v>
      </c>
      <c r="K68" s="37" t="n">
        <f aca="false">SUM($C64:K64)+SUM($C65:K65)</f>
        <v>7752074.2646443</v>
      </c>
      <c r="L68" s="37" t="n">
        <f aca="false">SUM($C64:L64)+SUM($C65:L65)</f>
        <v>8843920.77295382</v>
      </c>
      <c r="M68" s="37" t="n">
        <f aca="false">SUM($C64:M64)+SUM($C65:M65)</f>
        <v>9909602.19590643</v>
      </c>
      <c r="N68" s="37" t="n">
        <f aca="false">SUM($C64:N64)+SUM($C65:N65)</f>
        <v>10243364.8686395</v>
      </c>
      <c r="O68" s="37" t="n">
        <f aca="false">SUM($C64:O64)+SUM($C65:O65)</f>
        <v>10243364.8686395</v>
      </c>
      <c r="P68" s="37" t="n">
        <f aca="false">SUM($C64:P64)+SUM($C65:P65)</f>
        <v>10243364.8686395</v>
      </c>
      <c r="Q68" s="37" t="n">
        <f aca="false">SUM($C64:Q64)+SUM($C65:Q65)</f>
        <v>10243364.8686395</v>
      </c>
      <c r="R68" s="37" t="n">
        <f aca="false">SUM($C64:R64)+SUM($C65:R65)</f>
        <v>10243364.8686395</v>
      </c>
      <c r="S68" s="37" t="n">
        <f aca="false">SUM($C64:S64)+SUM($C65:S65)</f>
        <v>10243364.8686395</v>
      </c>
      <c r="T68" s="37" t="n">
        <f aca="false">SUM($C64:T64)+SUM($C65:T65)</f>
        <v>12802249.756397</v>
      </c>
    </row>
    <row r="69" customFormat="false" ht="15" hidden="false" customHeight="true" outlineLevel="0" collapsed="false">
      <c r="B69" s="19" t="s">
        <v>626</v>
      </c>
      <c r="U69" s="21" t="n">
        <f aca="false">MAX(C67:T67)</f>
        <v>9678909.32834749</v>
      </c>
    </row>
    <row r="72" customFormat="false" ht="15" hidden="false" customHeight="true" outlineLevel="0" collapsed="false">
      <c r="B72" s="63" t="s">
        <v>631</v>
      </c>
    </row>
    <row r="73" customFormat="false" ht="15" hidden="false" customHeight="true" outlineLevel="0" collapsed="false">
      <c r="B73" s="40" t="s">
        <v>632</v>
      </c>
      <c r="C73" s="85" t="n">
        <f aca="false">EDATE(DATE(2026,10,1),0)</f>
        <v>46296</v>
      </c>
      <c r="D73" s="85" t="n">
        <f aca="false">EDATE(DATE(2026,10,1),3)</f>
        <v>46388</v>
      </c>
      <c r="E73" s="85" t="n">
        <f aca="false">EDATE(DATE(2026,10,1),6)</f>
        <v>46478</v>
      </c>
      <c r="F73" s="85" t="n">
        <f aca="false">EDATE(DATE(2026,10,1),9)</f>
        <v>46569</v>
      </c>
      <c r="G73" s="85" t="n">
        <f aca="false">EDATE(DATE(2026,10,1),12)</f>
        <v>46661</v>
      </c>
      <c r="H73" s="85" t="n">
        <f aca="false">EDATE(DATE(2026,10,1),15)</f>
        <v>46753</v>
      </c>
      <c r="I73" s="85" t="n">
        <f aca="false">EDATE(DATE(2026,10,1),18)</f>
        <v>46844</v>
      </c>
      <c r="J73" s="85" t="n">
        <f aca="false">EDATE(DATE(2026,10,1),21)</f>
        <v>46935</v>
      </c>
      <c r="K73" s="85" t="n">
        <f aca="false">EDATE(DATE(2026,10,1),24)</f>
        <v>47027</v>
      </c>
      <c r="L73" s="85" t="n">
        <f aca="false">EDATE(DATE(2026,10,1),27)</f>
        <v>47119</v>
      </c>
      <c r="M73" s="85" t="n">
        <f aca="false">EDATE(DATE(2026,10,1),30)</f>
        <v>47209</v>
      </c>
      <c r="N73" s="85" t="n">
        <f aca="false">EDATE(DATE(2026,10,1),33)</f>
        <v>47300</v>
      </c>
      <c r="O73" s="85" t="n">
        <f aca="false">EDATE(DATE(2026,10,1),36)</f>
        <v>47392</v>
      </c>
      <c r="P73" s="85" t="n">
        <f aca="false">EDATE(DATE(2026,10,1),39)</f>
        <v>47484</v>
      </c>
      <c r="Q73" s="85" t="n">
        <f aca="false">EDATE(DATE(2026,10,1),42)</f>
        <v>47574</v>
      </c>
      <c r="R73" s="85" t="n">
        <f aca="false">EDATE(DATE(2026,10,1),45)</f>
        <v>47665</v>
      </c>
      <c r="S73" s="85" t="n">
        <f aca="false">EDATE(DATE(2026,10,1),48)</f>
        <v>47757</v>
      </c>
      <c r="T73" s="85" t="n">
        <f aca="false">EDATE(DATE(2026,10,1),51)</f>
        <v>47849</v>
      </c>
      <c r="U73" s="85" t="n">
        <f aca="false">EDATE(DATE(2026,10,1),54)</f>
        <v>47939</v>
      </c>
      <c r="V73" s="85" t="n">
        <f aca="false">EDATE(DATE(2026,10,1),57)</f>
        <v>48030</v>
      </c>
      <c r="W73" s="85" t="n">
        <f aca="false">EDATE(DATE(2026,10,1),60)</f>
        <v>48122</v>
      </c>
    </row>
    <row r="74" customFormat="false" ht="15" hidden="false" customHeight="true" outlineLevel="0" collapsed="false">
      <c r="B74" s="13" t="s">
        <v>633</v>
      </c>
      <c r="C74" s="37" t="n">
        <f aca="false">SUMPRODUCT(($C$6:$T$6&gt;=C$73)*($C$6:$T$6&lt;EDATE(C$73,3))*$C$13:$T$13)+SUMPRODUCT(($C$23:$T$23&gt;=C$73)*($C$23:$T$23&lt;EDATE(C$73,3))*$C$30:$T$30)+SUMPRODUCT(($C$40:$T$40&gt;=C$73)*($C$40:$T$40&lt;EDATE(C$73,3))*$C$47:$T$47)+SUMPRODUCT(($C$57:$T$57&gt;=C$73)*($C$57:$T$57&lt;EDATE(C$73,3))*$C$64:$T$64)</f>
        <v>1023553.95510298</v>
      </c>
      <c r="D74" s="37" t="n">
        <f aca="false">SUMPRODUCT(($C$6:$T$6&gt;=D$73)*($C$6:$T$6&lt;EDATE(D$73,3))*$C$13:$T$13)+SUMPRODUCT(($C$23:$T$23&gt;=D$73)*($C$23:$T$23&lt;EDATE(D$73,3))*$C$30:$T$30)+SUMPRODUCT(($C$40:$T$40&gt;=D$73)*($C$40:$T$40&lt;EDATE(D$73,3))*$C$47:$T$47)+SUMPRODUCT(($C$57:$T$57&gt;=D$73)*($C$57:$T$57&lt;EDATE(D$73,3))*$C$64:$T$64)</f>
        <v>0</v>
      </c>
      <c r="E74" s="37" t="n">
        <f aca="false">SUMPRODUCT(($C$6:$T$6&gt;=E$73)*($C$6:$T$6&lt;EDATE(E$73,3))*$C$13:$T$13)+SUMPRODUCT(($C$23:$T$23&gt;=E$73)*($C$23:$T$23&lt;EDATE(E$73,3))*$C$30:$T$30)+SUMPRODUCT(($C$40:$T$40&gt;=E$73)*($C$40:$T$40&lt;EDATE(E$73,3))*$C$47:$T$47)+SUMPRODUCT(($C$57:$T$57&gt;=E$73)*($C$57:$T$57&lt;EDATE(E$73,3))*$C$64:$T$64)</f>
        <v>0</v>
      </c>
      <c r="F74" s="37" t="n">
        <f aca="false">SUMPRODUCT(($C$6:$T$6&gt;=F$73)*($C$6:$T$6&lt;EDATE(F$73,3))*$C$13:$T$13)+SUMPRODUCT(($C$23:$T$23&gt;=F$73)*($C$23:$T$23&lt;EDATE(F$73,3))*$C$30:$T$30)+SUMPRODUCT(($C$40:$T$40&gt;=F$73)*($C$40:$T$40&lt;EDATE(F$73,3))*$C$47:$T$47)+SUMPRODUCT(($C$57:$T$57&gt;=F$73)*($C$57:$T$57&lt;EDATE(F$73,3))*$C$64:$T$64)</f>
        <v>0</v>
      </c>
      <c r="G74" s="37" t="n">
        <f aca="false">SUMPRODUCT(($C$6:$T$6&gt;=G$73)*($C$6:$T$6&lt;EDATE(G$73,3))*$C$13:$T$13)+SUMPRODUCT(($C$23:$T$23&gt;=G$73)*($C$23:$T$23&lt;EDATE(G$73,3))*$C$30:$T$30)+SUMPRODUCT(($C$40:$T$40&gt;=G$73)*($C$40:$T$40&lt;EDATE(G$73,3))*$C$47:$T$47)+SUMPRODUCT(($C$57:$T$57&gt;=G$73)*($C$57:$T$57&lt;EDATE(G$73,3))*$C$64:$T$64)</f>
        <v>0</v>
      </c>
      <c r="H74" s="37" t="n">
        <f aca="false">SUMPRODUCT(($C$6:$T$6&gt;=H$73)*($C$6:$T$6&lt;EDATE(H$73,3))*$C$13:$T$13)+SUMPRODUCT(($C$23:$T$23&gt;=H$73)*($C$23:$T$23&lt;EDATE(H$73,3))*$C$30:$T$30)+SUMPRODUCT(($C$40:$T$40&gt;=H$73)*($C$40:$T$40&lt;EDATE(H$73,3))*$C$47:$T$47)+SUMPRODUCT(($C$57:$T$57&gt;=H$73)*($C$57:$T$57&lt;EDATE(H$73,3))*$C$64:$T$64)</f>
        <v>448373.616058368</v>
      </c>
      <c r="I74" s="37" t="n">
        <f aca="false">SUMPRODUCT(($C$6:$T$6&gt;=I$73)*($C$6:$T$6&lt;EDATE(I$73,3))*$C$13:$T$13)+SUMPRODUCT(($C$23:$T$23&gt;=I$73)*($C$23:$T$23&lt;EDATE(I$73,3))*$C$30:$T$30)+SUMPRODUCT(($C$40:$T$40&gt;=I$73)*($C$40:$T$40&lt;EDATE(I$73,3))*$C$47:$T$47)+SUMPRODUCT(($C$57:$T$57&gt;=I$73)*($C$57:$T$57&lt;EDATE(I$73,3))*$C$64:$T$64)</f>
        <v>2558884.88775744</v>
      </c>
      <c r="J74" s="37" t="n">
        <f aca="false">SUMPRODUCT(($C$6:$T$6&gt;=J$73)*($C$6:$T$6&lt;EDATE(J$73,3))*$C$13:$T$13)+SUMPRODUCT(($C$23:$T$23&gt;=J$73)*($C$23:$T$23&lt;EDATE(J$73,3))*$C$30:$T$30)+SUMPRODUCT(($C$40:$T$40&gt;=J$73)*($C$40:$T$40&lt;EDATE(J$73,3))*$C$47:$T$47)+SUMPRODUCT(($C$57:$T$57&gt;=J$73)*($C$57:$T$57&lt;EDATE(J$73,3))*$C$64:$T$64)</f>
        <v>0</v>
      </c>
      <c r="K74" s="37" t="n">
        <f aca="false">SUMPRODUCT(($C$6:$T$6&gt;=K$73)*($C$6:$T$6&lt;EDATE(K$73,3))*$C$13:$T$13)+SUMPRODUCT(($C$23:$T$23&gt;=K$73)*($C$23:$T$23&lt;EDATE(K$73,3))*$C$30:$T$30)+SUMPRODUCT(($C$40:$T$40&gt;=K$73)*($C$40:$T$40&lt;EDATE(K$73,3))*$C$47:$T$47)+SUMPRODUCT(($C$57:$T$57&gt;=K$73)*($C$57:$T$57&lt;EDATE(K$73,3))*$C$64:$T$64)</f>
        <v>1120934.04014592</v>
      </c>
      <c r="L74" s="37" t="n">
        <f aca="false">SUMPRODUCT(($C$6:$T$6&gt;=L$73)*($C$6:$T$6&lt;EDATE(L$73,3))*$C$13:$T$13)+SUMPRODUCT(($C$23:$T$23&gt;=L$73)*($C$23:$T$23&lt;EDATE(L$73,3))*$C$30:$T$30)+SUMPRODUCT(($C$40:$T$40&gt;=L$73)*($C$40:$T$40&lt;EDATE(L$73,3))*$C$47:$T$47)+SUMPRODUCT(($C$57:$T$57&gt;=L$73)*($C$57:$T$57&lt;EDATE(L$73,3))*$C$64:$T$64)</f>
        <v>1377301.0332554</v>
      </c>
      <c r="M74" s="37" t="n">
        <f aca="false">SUMPRODUCT(($C$6:$T$6&gt;=M$73)*($C$6:$T$6&lt;EDATE(M$73,3))*$C$13:$T$13)+SUMPRODUCT(($C$23:$T$23&gt;=M$73)*($C$23:$T$23&lt;EDATE(M$73,3))*$C$30:$T$30)+SUMPRODUCT(($C$40:$T$40&gt;=M$73)*($C$40:$T$40&lt;EDATE(M$73,3))*$C$47:$T$47)+SUMPRODUCT(($C$57:$T$57&gt;=M$73)*($C$57:$T$57&lt;EDATE(M$73,3))*$C$64:$T$64)</f>
        <v>672560.424087552</v>
      </c>
      <c r="N74" s="37" t="n">
        <f aca="false">SUMPRODUCT(($C$6:$T$6&gt;=N$73)*($C$6:$T$6&lt;EDATE(N$73,3))*$C$13:$T$13)+SUMPRODUCT(($C$23:$T$23&gt;=N$73)*($C$23:$T$23&lt;EDATE(N$73,3))*$C$30:$T$30)+SUMPRODUCT(($C$40:$T$40&gt;=N$73)*($C$40:$T$40&lt;EDATE(N$73,3))*$C$47:$T$47)+SUMPRODUCT(($C$57:$T$57&gt;=N$73)*($C$57:$T$57&lt;EDATE(N$73,3))*$C$64:$T$64)</f>
        <v>0</v>
      </c>
      <c r="O74" s="37" t="n">
        <f aca="false">SUMPRODUCT(($C$6:$T$6&gt;=O$73)*($C$6:$T$6&lt;EDATE(O$73,3))*$C$13:$T$13)+SUMPRODUCT(($C$23:$T$23&gt;=O$73)*($C$23:$T$23&lt;EDATE(O$73,3))*$C$30:$T$30)+SUMPRODUCT(($C$40:$T$40&gt;=O$73)*($C$40:$T$40&lt;EDATE(O$73,3))*$C$47:$T$47)+SUMPRODUCT(($C$57:$T$57&gt;=O$73)*($C$57:$T$57&lt;EDATE(O$73,3))*$C$64:$T$64)</f>
        <v>1387823.09732352</v>
      </c>
      <c r="P74" s="37" t="n">
        <f aca="false">SUMPRODUCT(($C$6:$T$6&gt;=P$73)*($C$6:$T$6&lt;EDATE(P$73,3))*$C$13:$T$13)+SUMPRODUCT(($C$23:$T$23&gt;=P$73)*($C$23:$T$23&lt;EDATE(P$73,3))*$C$30:$T$30)+SUMPRODUCT(($C$40:$T$40&gt;=P$73)*($C$40:$T$40&lt;EDATE(P$73,3))*$C$47:$T$47)+SUMPRODUCT(($C$57:$T$57&gt;=P$73)*($C$57:$T$57&lt;EDATE(P$73,3))*$C$64:$T$64)</f>
        <v>2055429.48581499</v>
      </c>
      <c r="Q74" s="37" t="n">
        <f aca="false">SUMPRODUCT(($C$6:$T$6&gt;=Q$73)*($C$6:$T$6&lt;EDATE(Q$73,3))*$C$13:$T$13)+SUMPRODUCT(($C$23:$T$23&gt;=Q$73)*($C$23:$T$23&lt;EDATE(Q$73,3))*$C$30:$T$30)+SUMPRODUCT(($C$40:$T$40&gt;=Q$73)*($C$40:$T$40&lt;EDATE(Q$73,3))*$C$47:$T$47)+SUMPRODUCT(($C$57:$T$57&gt;=Q$73)*($C$57:$T$57&lt;EDATE(Q$73,3))*$C$64:$T$64)</f>
        <v>832693.858394112</v>
      </c>
      <c r="R74" s="37" t="n">
        <f aca="false">SUMPRODUCT(($C$6:$T$6&gt;=R$73)*($C$6:$T$6&lt;EDATE(R$73,3))*$C$13:$T$13)+SUMPRODUCT(($C$23:$T$23&gt;=R$73)*($C$23:$T$23&lt;EDATE(R$73,3))*$C$30:$T$30)+SUMPRODUCT(($C$40:$T$40&gt;=R$73)*($C$40:$T$40&lt;EDATE(R$73,3))*$C$47:$T$47)+SUMPRODUCT(($C$57:$T$57&gt;=R$73)*($C$57:$T$57&lt;EDATE(R$73,3))*$C$64:$T$64)</f>
        <v>0</v>
      </c>
      <c r="S74" s="37" t="n">
        <f aca="false">SUMPRODUCT(($C$6:$T$6&gt;=S$73)*($C$6:$T$6&lt;EDATE(S$73,3))*$C$13:$T$13)+SUMPRODUCT(($C$23:$T$23&gt;=S$73)*($C$23:$T$23&lt;EDATE(S$73,3))*$C$30:$T$30)+SUMPRODUCT(($C$40:$T$40&gt;=S$73)*($C$40:$T$40&lt;EDATE(S$73,3))*$C$47:$T$47)+SUMPRODUCT(($C$57:$T$57&gt;=S$73)*($C$57:$T$57&lt;EDATE(S$73,3))*$C$64:$T$64)</f>
        <v>0</v>
      </c>
      <c r="T74" s="37" t="n">
        <f aca="false">SUMPRODUCT(($C$6:$T$6&gt;=T$73)*($C$6:$T$6&lt;EDATE(T$73,3))*$C$13:$T$13)+SUMPRODUCT(($C$23:$T$23&gt;=T$73)*($C$23:$T$23&lt;EDATE(T$73,3))*$C$30:$T$30)+SUMPRODUCT(($C$40:$T$40&gt;=T$73)*($C$40:$T$40&lt;EDATE(T$73,3))*$C$47:$T$47)+SUMPRODUCT(($C$57:$T$57&gt;=T$73)*($C$57:$T$57&lt;EDATE(T$73,3))*$C$64:$T$64)</f>
        <v>0</v>
      </c>
      <c r="U74" s="37" t="n">
        <f aca="false">SUMPRODUCT(($C$6:$T$6&gt;=U$73)*($C$6:$T$6&lt;EDATE(U$73,3))*$C$13:$T$13)+SUMPRODUCT(($C$23:$T$23&gt;=U$73)*($C$23:$T$23&lt;EDATE(U$73,3))*$C$30:$T$30)+SUMPRODUCT(($C$40:$T$40&gt;=U$73)*($C$40:$T$40&lt;EDATE(U$73,3))*$C$47:$T$47)+SUMPRODUCT(($C$57:$T$57&gt;=U$73)*($C$57:$T$57&lt;EDATE(U$73,3))*$C$64:$T$64)</f>
        <v>0</v>
      </c>
      <c r="V74" s="37" t="n">
        <f aca="false">SUMPRODUCT(($C$6:$T$6&gt;=V$73)*($C$6:$T$6&lt;EDATE(V$73,3))*$C$13:$T$13)+SUMPRODUCT(($C$23:$T$23&gt;=V$73)*($C$23:$T$23&lt;EDATE(V$73,3))*$C$30:$T$30)+SUMPRODUCT(($C$40:$T$40&gt;=V$73)*($C$40:$T$40&lt;EDATE(V$73,3))*$C$47:$T$47)+SUMPRODUCT(($C$57:$T$57&gt;=V$73)*($C$57:$T$57&lt;EDATE(V$73,3))*$C$64:$T$64)</f>
        <v>0</v>
      </c>
      <c r="W74" s="37" t="n">
        <f aca="false">SUMPRODUCT(($C$6:$T$6&gt;=W$73)*($C$6:$T$6&lt;EDATE(W$73,3))*$C$13:$T$13)+SUMPRODUCT(($C$23:$T$23&gt;=W$73)*($C$23:$T$23&lt;EDATE(W$73,3))*$C$30:$T$30)+SUMPRODUCT(($C$40:$T$40&gt;=W$73)*($C$40:$T$40&lt;EDATE(W$73,3))*$C$47:$T$47)+SUMPRODUCT(($C$57:$T$57&gt;=W$73)*($C$57:$T$57&lt;EDATE(W$73,3))*$C$64:$T$64)</f>
        <v>0</v>
      </c>
    </row>
    <row r="75" customFormat="false" ht="15" hidden="false" customHeight="true" outlineLevel="0" collapsed="false">
      <c r="B75" s="13" t="s">
        <v>634</v>
      </c>
      <c r="C75" s="37" t="n">
        <f aca="false">SUMPRODUCT(($C$6:$T$6&gt;=C$73)*($C$6:$T$6&lt;EDATE(C$73,3))*$C$14:$T$14)+SUMPRODUCT(($C$23:$T$23&gt;=C$73)*($C$23:$T$23&lt;EDATE(C$73,3))*$C$31:$T$31)+SUMPRODUCT(($C$40:$T$40&gt;=C$73)*($C$40:$T$40&lt;EDATE(C$73,3))*$C$48:$T$48)+SUMPRODUCT(($C$57:$T$57&gt;=C$73)*($C$57:$T$57&lt;EDATE(C$73,3))*$C$65:$T$65)</f>
        <v>627339.386589747</v>
      </c>
      <c r="D75" s="37" t="n">
        <f aca="false">SUMPRODUCT(($C$6:$T$6&gt;=D$73)*($C$6:$T$6&lt;EDATE(D$73,3))*$C$14:$T$14)+SUMPRODUCT(($C$23:$T$23&gt;=D$73)*($C$23:$T$23&lt;EDATE(D$73,3))*$C$31:$T$31)+SUMPRODUCT(($C$40:$T$40&gt;=D$73)*($C$40:$T$40&lt;EDATE(D$73,3))*$C$48:$T$48)+SUMPRODUCT(($C$57:$T$57&gt;=D$73)*($C$57:$T$57&lt;EDATE(D$73,3))*$C$65:$T$65)</f>
        <v>1342184.1062058</v>
      </c>
      <c r="E75" s="37" t="n">
        <f aca="false">SUMPRODUCT(($C$6:$T$6&gt;=E$73)*($C$6:$T$6&lt;EDATE(E$73,3))*$C$14:$T$14)+SUMPRODUCT(($C$23:$T$23&gt;=E$73)*($C$23:$T$23&lt;EDATE(E$73,3))*$C$31:$T$31)+SUMPRODUCT(($C$40:$T$40&gt;=E$73)*($C$40:$T$40&lt;EDATE(E$73,3))*$C$48:$T$48)+SUMPRODUCT(($C$57:$T$57&gt;=E$73)*($C$57:$T$57&lt;EDATE(E$73,3))*$C$65:$T$65)</f>
        <v>2623545.10708484</v>
      </c>
      <c r="F75" s="37" t="n">
        <f aca="false">SUMPRODUCT(($C$6:$T$6&gt;=F$73)*($C$6:$T$6&lt;EDATE(F$73,3))*$C$14:$T$14)+SUMPRODUCT(($C$23:$T$23&gt;=F$73)*($C$23:$T$23&lt;EDATE(F$73,3))*$C$31:$T$31)+SUMPRODUCT(($C$40:$T$40&gt;=F$73)*($C$40:$T$40&lt;EDATE(F$73,3))*$C$48:$T$48)+SUMPRODUCT(($C$57:$T$57&gt;=F$73)*($C$57:$T$57&lt;EDATE(F$73,3))*$C$65:$T$65)</f>
        <v>3227298.21797046</v>
      </c>
      <c r="G75" s="37" t="n">
        <f aca="false">SUMPRODUCT(($C$6:$T$6&gt;=G$73)*($C$6:$T$6&lt;EDATE(G$73,3))*$C$14:$T$14)+SUMPRODUCT(($C$23:$T$23&gt;=G$73)*($C$23:$T$23&lt;EDATE(G$73,3))*$C$31:$T$31)+SUMPRODUCT(($C$40:$T$40&gt;=G$73)*($C$40:$T$40&lt;EDATE(G$73,3))*$C$48:$T$48)+SUMPRODUCT(($C$57:$T$57&gt;=G$73)*($C$57:$T$57&lt;EDATE(G$73,3))*$C$65:$T$65)</f>
        <v>1399444.0956857</v>
      </c>
      <c r="H75" s="37" t="n">
        <f aca="false">SUMPRODUCT(($C$6:$T$6&gt;=H$73)*($C$6:$T$6&lt;EDATE(H$73,3))*$C$14:$T$14)+SUMPRODUCT(($C$23:$T$23&gt;=H$73)*($C$23:$T$23&lt;EDATE(H$73,3))*$C$31:$T$31)+SUMPRODUCT(($C$40:$T$40&gt;=H$73)*($C$40:$T$40&lt;EDATE(H$73,3))*$C$48:$T$48)+SUMPRODUCT(($C$57:$T$57&gt;=H$73)*($C$57:$T$57&lt;EDATE(H$73,3))*$C$65:$T$65)</f>
        <v>904677.108321271</v>
      </c>
      <c r="I75" s="37" t="n">
        <f aca="false">SUMPRODUCT(($C$6:$T$6&gt;=I$73)*($C$6:$T$6&lt;EDATE(I$73,3))*$C$14:$T$14)+SUMPRODUCT(($C$23:$T$23&gt;=I$73)*($C$23:$T$23&lt;EDATE(I$73,3))*$C$31:$T$31)+SUMPRODUCT(($C$40:$T$40&gt;=I$73)*($C$40:$T$40&lt;EDATE(I$73,3))*$C$48:$T$48)+SUMPRODUCT(($C$57:$T$57&gt;=I$73)*($C$57:$T$57&lt;EDATE(I$73,3))*$C$65:$T$65)</f>
        <v>1944507.80098341</v>
      </c>
      <c r="J75" s="37" t="n">
        <f aca="false">SUMPRODUCT(($C$6:$T$6&gt;=J$73)*($C$6:$T$6&lt;EDATE(J$73,3))*$C$14:$T$14)+SUMPRODUCT(($C$23:$T$23&gt;=J$73)*($C$23:$T$23&lt;EDATE(J$73,3))*$C$31:$T$31)+SUMPRODUCT(($C$40:$T$40&gt;=J$73)*($C$40:$T$40&lt;EDATE(J$73,3))*$C$48:$T$48)+SUMPRODUCT(($C$57:$T$57&gt;=J$73)*($C$57:$T$57&lt;EDATE(J$73,3))*$C$65:$T$65)</f>
        <v>561167.465864428</v>
      </c>
      <c r="K75" s="37" t="n">
        <f aca="false">SUMPRODUCT(($C$6:$T$6&gt;=K$73)*($C$6:$T$6&lt;EDATE(K$73,3))*$C$14:$T$14)+SUMPRODUCT(($C$23:$T$23&gt;=K$73)*($C$23:$T$23&lt;EDATE(K$73,3))*$C$31:$T$31)+SUMPRODUCT(($C$40:$T$40&gt;=K$73)*($C$40:$T$40&lt;EDATE(K$73,3))*$C$48:$T$48)+SUMPRODUCT(($C$57:$T$57&gt;=K$73)*($C$57:$T$57&lt;EDATE(K$73,3))*$C$65:$T$65)</f>
        <v>0</v>
      </c>
      <c r="L75" s="37" t="n">
        <f aca="false">SUMPRODUCT(($C$6:$T$6&gt;=L$73)*($C$6:$T$6&lt;EDATE(L$73,3))*$C$14:$T$14)+SUMPRODUCT(($C$23:$T$23&gt;=L$73)*($C$23:$T$23&lt;EDATE(L$73,3))*$C$31:$T$31)+SUMPRODUCT(($C$40:$T$40&gt;=L$73)*($C$40:$T$40&lt;EDATE(L$73,3))*$C$48:$T$48)+SUMPRODUCT(($C$57:$T$57&gt;=L$73)*($C$57:$T$57&lt;EDATE(L$73,3))*$C$65:$T$65)</f>
        <v>6885910.1563608</v>
      </c>
      <c r="M75" s="37" t="n">
        <f aca="false">SUMPRODUCT(($C$6:$T$6&gt;=M$73)*($C$6:$T$6&lt;EDATE(M$73,3))*$C$14:$T$14)+SUMPRODUCT(($C$23:$T$23&gt;=M$73)*($C$23:$T$23&lt;EDATE(M$73,3))*$C$31:$T$31)+SUMPRODUCT(($C$40:$T$40&gt;=M$73)*($C$40:$T$40&lt;EDATE(M$73,3))*$C$48:$T$48)+SUMPRODUCT(($C$57:$T$57&gt;=M$73)*($C$57:$T$57&lt;EDATE(M$73,3))*$C$65:$T$65)</f>
        <v>4431869.16284215</v>
      </c>
      <c r="N75" s="37" t="n">
        <f aca="false">SUMPRODUCT(($C$6:$T$6&gt;=N$73)*($C$6:$T$6&lt;EDATE(N$73,3))*$C$14:$T$14)+SUMPRODUCT(($C$23:$T$23&gt;=N$73)*($C$23:$T$23&lt;EDATE(N$73,3))*$C$31:$T$31)+SUMPRODUCT(($C$40:$T$40&gt;=N$73)*($C$40:$T$40&lt;EDATE(N$73,3))*$C$48:$T$48)+SUMPRODUCT(($C$57:$T$57&gt;=N$73)*($C$57:$T$57&lt;EDATE(N$73,3))*$C$65:$T$65)</f>
        <v>2959090.63844244</v>
      </c>
      <c r="O75" s="37" t="n">
        <f aca="false">SUMPRODUCT(($C$6:$T$6&gt;=O$73)*($C$6:$T$6&lt;EDATE(O$73,3))*$C$14:$T$14)+SUMPRODUCT(($C$23:$T$23&gt;=O$73)*($C$23:$T$23&lt;EDATE(O$73,3))*$C$31:$T$31)+SUMPRODUCT(($C$40:$T$40&gt;=O$73)*($C$40:$T$40&lt;EDATE(O$73,3))*$C$48:$T$48)+SUMPRODUCT(($C$57:$T$57&gt;=O$73)*($C$57:$T$57&lt;EDATE(O$73,3))*$C$65:$T$65)</f>
        <v>0</v>
      </c>
      <c r="P75" s="37" t="n">
        <f aca="false">SUMPRODUCT(($C$6:$T$6&gt;=P$73)*($C$6:$T$6&lt;EDATE(P$73,3))*$C$14:$T$14)+SUMPRODUCT(($C$23:$T$23&gt;=P$73)*($C$23:$T$23&lt;EDATE(P$73,3))*$C$31:$T$31)+SUMPRODUCT(($C$40:$T$40&gt;=P$73)*($C$40:$T$40&lt;EDATE(P$73,3))*$C$48:$T$48)+SUMPRODUCT(($C$57:$T$57&gt;=P$73)*($C$57:$T$57&lt;EDATE(P$73,3))*$C$65:$T$65)</f>
        <v>0</v>
      </c>
      <c r="Q75" s="37" t="n">
        <f aca="false">SUMPRODUCT(($C$6:$T$6&gt;=Q$73)*($C$6:$T$6&lt;EDATE(Q$73,3))*$C$14:$T$14)+SUMPRODUCT(($C$23:$T$23&gt;=Q$73)*($C$23:$T$23&lt;EDATE(Q$73,3))*$C$31:$T$31)+SUMPRODUCT(($C$40:$T$40&gt;=Q$73)*($C$40:$T$40&lt;EDATE(Q$73,3))*$C$48:$T$48)+SUMPRODUCT(($C$57:$T$57&gt;=Q$73)*($C$57:$T$57&lt;EDATE(Q$73,3))*$C$65:$T$65)</f>
        <v>0</v>
      </c>
      <c r="R75" s="37" t="n">
        <f aca="false">SUMPRODUCT(($C$6:$T$6&gt;=R$73)*($C$6:$T$6&lt;EDATE(R$73,3))*$C$14:$T$14)+SUMPRODUCT(($C$23:$T$23&gt;=R$73)*($C$23:$T$23&lt;EDATE(R$73,3))*$C$31:$T$31)+SUMPRODUCT(($C$40:$T$40&gt;=R$73)*($C$40:$T$40&lt;EDATE(R$73,3))*$C$48:$T$48)+SUMPRODUCT(($C$57:$T$57&gt;=R$73)*($C$57:$T$57&lt;EDATE(R$73,3))*$C$65:$T$65)</f>
        <v>0</v>
      </c>
      <c r="S75" s="37" t="n">
        <f aca="false">SUMPRODUCT(($C$6:$T$6&gt;=S$73)*($C$6:$T$6&lt;EDATE(S$73,3))*$C$14:$T$14)+SUMPRODUCT(($C$23:$T$23&gt;=S$73)*($C$23:$T$23&lt;EDATE(S$73,3))*$C$31:$T$31)+SUMPRODUCT(($C$40:$T$40&gt;=S$73)*($C$40:$T$40&lt;EDATE(S$73,3))*$C$48:$T$48)+SUMPRODUCT(($C$57:$T$57&gt;=S$73)*($C$57:$T$57&lt;EDATE(S$73,3))*$C$65:$T$65)</f>
        <v>0</v>
      </c>
      <c r="T75" s="37" t="n">
        <f aca="false">SUMPRODUCT(($C$6:$T$6&gt;=T$73)*($C$6:$T$6&lt;EDATE(T$73,3))*$C$14:$T$14)+SUMPRODUCT(($C$23:$T$23&gt;=T$73)*($C$23:$T$23&lt;EDATE(T$73,3))*$C$31:$T$31)+SUMPRODUCT(($C$40:$T$40&gt;=T$73)*($C$40:$T$40&lt;EDATE(T$73,3))*$C$48:$T$48)+SUMPRODUCT(($C$57:$T$57&gt;=T$73)*($C$57:$T$57&lt;EDATE(T$73,3))*$C$65:$T$65)</f>
        <v>0</v>
      </c>
      <c r="U75" s="37" t="n">
        <f aca="false">SUMPRODUCT(($C$6:$T$6&gt;=U$73)*($C$6:$T$6&lt;EDATE(U$73,3))*$C$14:$T$14)+SUMPRODUCT(($C$23:$T$23&gt;=U$73)*($C$23:$T$23&lt;EDATE(U$73,3))*$C$31:$T$31)+SUMPRODUCT(($C$40:$T$40&gt;=U$73)*($C$40:$T$40&lt;EDATE(U$73,3))*$C$48:$T$48)+SUMPRODUCT(($C$57:$T$57&gt;=U$73)*($C$57:$T$57&lt;EDATE(U$73,3))*$C$65:$T$65)</f>
        <v>0</v>
      </c>
      <c r="V75" s="37" t="n">
        <f aca="false">SUMPRODUCT(($C$6:$T$6&gt;=V$73)*($C$6:$T$6&lt;EDATE(V$73,3))*$C$14:$T$14)+SUMPRODUCT(($C$23:$T$23&gt;=V$73)*($C$23:$T$23&lt;EDATE(V$73,3))*$C$31:$T$31)+SUMPRODUCT(($C$40:$T$40&gt;=V$73)*($C$40:$T$40&lt;EDATE(V$73,3))*$C$48:$T$48)+SUMPRODUCT(($C$57:$T$57&gt;=V$73)*($C$57:$T$57&lt;EDATE(V$73,3))*$C$65:$T$65)</f>
        <v>0</v>
      </c>
      <c r="W75" s="37" t="n">
        <f aca="false">SUMPRODUCT(($C$6:$T$6&gt;=W$73)*($C$6:$T$6&lt;EDATE(W$73,3))*$C$14:$T$14)+SUMPRODUCT(($C$23:$T$23&gt;=W$73)*($C$23:$T$23&lt;EDATE(W$73,3))*$C$31:$T$31)+SUMPRODUCT(($C$40:$T$40&gt;=W$73)*($C$40:$T$40&lt;EDATE(W$73,3))*$C$48:$T$48)+SUMPRODUCT(($C$57:$T$57&gt;=W$73)*($C$57:$T$57&lt;EDATE(W$73,3))*$C$65:$T$65)</f>
        <v>0</v>
      </c>
    </row>
    <row r="76" customFormat="false" ht="15" hidden="false" customHeight="true" outlineLevel="0" collapsed="false">
      <c r="B76" s="13" t="s">
        <v>635</v>
      </c>
      <c r="C76" s="37" t="n">
        <f aca="false">SUMPRODUCT(($C$6:$T$6&gt;=C$73)*($C$6:$T$6&lt;EDATE(C$73,3))*$C$12:$T$12)+SUMPRODUCT(($C$23:$T$23&gt;=C$73)*($C$23:$T$23&lt;EDATE(C$73,3))*$C$29:$T$29)+SUMPRODUCT(($C$40:$T$40&gt;=C$73)*($C$40:$T$40&lt;EDATE(C$73,3))*$C$46:$T$46)+SUMPRODUCT(($C$57:$T$57&gt;=C$73)*($C$57:$T$57&lt;EDATE(C$73,3))*$C$63:$T$63)</f>
        <v>1650893.34169272</v>
      </c>
      <c r="D76" s="37" t="n">
        <f aca="false">SUMPRODUCT(($C$6:$T$6&gt;=D$73)*($C$6:$T$6&lt;EDATE(D$73,3))*$C$12:$T$12)+SUMPRODUCT(($C$23:$T$23&gt;=D$73)*($C$23:$T$23&lt;EDATE(D$73,3))*$C$29:$T$29)+SUMPRODUCT(($C$40:$T$40&gt;=D$73)*($C$40:$T$40&lt;EDATE(D$73,3))*$C$46:$T$46)+SUMPRODUCT(($C$57:$T$57&gt;=D$73)*($C$57:$T$57&lt;EDATE(D$73,3))*$C$63:$T$63)</f>
        <v>1337159.004</v>
      </c>
      <c r="E76" s="37" t="n">
        <f aca="false">SUMPRODUCT(($C$6:$T$6&gt;=E$73)*($C$6:$T$6&lt;EDATE(E$73,3))*$C$12:$T$12)+SUMPRODUCT(($C$23:$T$23&gt;=E$73)*($C$23:$T$23&lt;EDATE(E$73,3))*$C$29:$T$29)+SUMPRODUCT(($C$40:$T$40&gt;=E$73)*($C$40:$T$40&lt;EDATE(E$73,3))*$C$46:$T$46)+SUMPRODUCT(($C$57:$T$57&gt;=E$73)*($C$57:$T$57&lt;EDATE(E$73,3))*$C$63:$T$63)</f>
        <v>2591203.92</v>
      </c>
      <c r="F76" s="37" t="n">
        <f aca="false">SUMPRODUCT(($C$6:$T$6&gt;=F$73)*($C$6:$T$6&lt;EDATE(F$73,3))*$C$12:$T$12)+SUMPRODUCT(($C$23:$T$23&gt;=F$73)*($C$23:$T$23&lt;EDATE(F$73,3))*$C$29:$T$29)+SUMPRODUCT(($C$40:$T$40&gt;=F$73)*($C$40:$T$40&lt;EDATE(F$73,3))*$C$46:$T$46)+SUMPRODUCT(($C$57:$T$57&gt;=F$73)*($C$57:$T$57&lt;EDATE(F$73,3))*$C$63:$T$63)</f>
        <v>3151001.748</v>
      </c>
      <c r="G76" s="37" t="n">
        <f aca="false">SUMPRODUCT(($C$6:$T$6&gt;=G$73)*($C$6:$T$6&lt;EDATE(G$73,3))*$C$12:$T$12)+SUMPRODUCT(($C$23:$T$23&gt;=G$73)*($C$23:$T$23&lt;EDATE(G$73,3))*$C$29:$T$29)+SUMPRODUCT(($C$40:$T$40&gt;=G$73)*($C$40:$T$40&lt;EDATE(G$73,3))*$C$46:$T$46)+SUMPRODUCT(($C$57:$T$57&gt;=G$73)*($C$57:$T$57&lt;EDATE(G$73,3))*$C$63:$T$63)</f>
        <v>2867436.036</v>
      </c>
      <c r="H76" s="37" t="n">
        <f aca="false">SUMPRODUCT(($C$6:$T$6&gt;=H$73)*($C$6:$T$6&lt;EDATE(H$73,3))*$C$12:$T$12)+SUMPRODUCT(($C$23:$T$23&gt;=H$73)*($C$23:$T$23&lt;EDATE(H$73,3))*$C$29:$T$29)+SUMPRODUCT(($C$40:$T$40&gt;=H$73)*($C$40:$T$40&lt;EDATE(H$73,3))*$C$46:$T$46)+SUMPRODUCT(($C$57:$T$57&gt;=H$73)*($C$57:$T$57&lt;EDATE(H$73,3))*$C$63:$T$63)</f>
        <v>3165532.58303564</v>
      </c>
      <c r="I76" s="37" t="n">
        <f aca="false">SUMPRODUCT(($C$6:$T$6&gt;=I$73)*($C$6:$T$6&lt;EDATE(I$73,3))*$C$12:$T$12)+SUMPRODUCT(($C$23:$T$23&gt;=I$73)*($C$23:$T$23&lt;EDATE(I$73,3))*$C$29:$T$29)+SUMPRODUCT(($C$40:$T$40&gt;=I$73)*($C$40:$T$40&lt;EDATE(I$73,3))*$C$46:$T$46)+SUMPRODUCT(($C$57:$T$57&gt;=I$73)*($C$57:$T$57&lt;EDATE(I$73,3))*$C$63:$T$63)</f>
        <v>2293960.5625536</v>
      </c>
      <c r="J76" s="37" t="n">
        <f aca="false">SUMPRODUCT(($C$6:$T$6&gt;=J$73)*($C$6:$T$6&lt;EDATE(J$73,3))*$C$12:$T$12)+SUMPRODUCT(($C$23:$T$23&gt;=J$73)*($C$23:$T$23&lt;EDATE(J$73,3))*$C$29:$T$29)+SUMPRODUCT(($C$40:$T$40&gt;=J$73)*($C$40:$T$40&lt;EDATE(J$73,3))*$C$46:$T$46)+SUMPRODUCT(($C$57:$T$57&gt;=J$73)*($C$57:$T$57&lt;EDATE(J$73,3))*$C$63:$T$63)</f>
        <v>1924836.2305536</v>
      </c>
      <c r="K76" s="37" t="n">
        <f aca="false">SUMPRODUCT(($C$6:$T$6&gt;=K$73)*($C$6:$T$6&lt;EDATE(K$73,3))*$C$12:$T$12)+SUMPRODUCT(($C$23:$T$23&gt;=K$73)*($C$23:$T$23&lt;EDATE(K$73,3))*$C$29:$T$29)+SUMPRODUCT(($C$40:$T$40&gt;=K$73)*($C$40:$T$40&lt;EDATE(K$73,3))*$C$46:$T$46)+SUMPRODUCT(($C$57:$T$57&gt;=K$73)*($C$57:$T$57&lt;EDATE(K$73,3))*$C$63:$T$63)</f>
        <v>796390.1033088</v>
      </c>
      <c r="L76" s="37" t="n">
        <f aca="false">SUMPRODUCT(($C$6:$T$6&gt;=L$73)*($C$6:$T$6&lt;EDATE(L$73,3))*$C$12:$T$12)+SUMPRODUCT(($C$23:$T$23&gt;=L$73)*($C$23:$T$23&lt;EDATE(L$73,3))*$C$29:$T$29)+SUMPRODUCT(($C$40:$T$40&gt;=L$73)*($C$40:$T$40&lt;EDATE(L$73,3))*$C$46:$T$46)+SUMPRODUCT(($C$57:$T$57&gt;=L$73)*($C$57:$T$57&lt;EDATE(L$73,3))*$C$63:$T$63)</f>
        <v>8260231.02957206</v>
      </c>
      <c r="M76" s="37" t="n">
        <f aca="false">SUMPRODUCT(($C$6:$T$6&gt;=M$73)*($C$6:$T$6&lt;EDATE(M$73,3))*$C$12:$T$12)+SUMPRODUCT(($C$23:$T$23&gt;=M$73)*($C$23:$T$23&lt;EDATE(M$73,3))*$C$29:$T$29)+SUMPRODUCT(($C$40:$T$40&gt;=M$73)*($C$40:$T$40&lt;EDATE(M$73,3))*$C$46:$T$46)+SUMPRODUCT(($C$57:$T$57&gt;=M$73)*($C$57:$T$57&lt;EDATE(M$73,3))*$C$63:$T$63)</f>
        <v>4388168.3113216</v>
      </c>
      <c r="N76" s="37" t="n">
        <f aca="false">SUMPRODUCT(($C$6:$T$6&gt;=N$73)*($C$6:$T$6&lt;EDATE(N$73,3))*$C$12:$T$12)+SUMPRODUCT(($C$23:$T$23&gt;=N$73)*($C$23:$T$23&lt;EDATE(N$73,3))*$C$29:$T$29)+SUMPRODUCT(($C$40:$T$40&gt;=N$73)*($C$40:$T$40&lt;EDATE(N$73,3))*$C$46:$T$46)+SUMPRODUCT(($C$57:$T$57&gt;=N$73)*($C$57:$T$57&lt;EDATE(N$73,3))*$C$63:$T$63)</f>
        <v>4860555.2029033</v>
      </c>
      <c r="O76" s="37" t="n">
        <f aca="false">SUMPRODUCT(($C$6:$T$6&gt;=O$73)*($C$6:$T$6&lt;EDATE(O$73,3))*$C$12:$T$12)+SUMPRODUCT(($C$23:$T$23&gt;=O$73)*($C$23:$T$23&lt;EDATE(O$73,3))*$C$29:$T$29)+SUMPRODUCT(($C$40:$T$40&gt;=O$73)*($C$40:$T$40&lt;EDATE(O$73,3))*$C$46:$T$46)+SUMPRODUCT(($C$57:$T$57&gt;=O$73)*($C$57:$T$57&lt;EDATE(O$73,3))*$C$63:$T$63)</f>
        <v>2991044.5347328</v>
      </c>
      <c r="P76" s="37" t="n">
        <f aca="false">SUMPRODUCT(($C$6:$T$6&gt;=P$73)*($C$6:$T$6&lt;EDATE(P$73,3))*$C$12:$T$12)+SUMPRODUCT(($C$23:$T$23&gt;=P$73)*($C$23:$T$23&lt;EDATE(P$73,3))*$C$29:$T$29)+SUMPRODUCT(($C$40:$T$40&gt;=P$73)*($C$40:$T$40&lt;EDATE(P$73,3))*$C$46:$T$46)+SUMPRODUCT(($C$57:$T$57&gt;=P$73)*($C$57:$T$57&lt;EDATE(P$73,3))*$C$63:$T$63)</f>
        <v>766726.431837184</v>
      </c>
      <c r="Q76" s="37" t="n">
        <f aca="false">SUMPRODUCT(($C$6:$T$6&gt;=Q$73)*($C$6:$T$6&lt;EDATE(Q$73,3))*$C$12:$T$12)+SUMPRODUCT(($C$23:$T$23&gt;=Q$73)*($C$23:$T$23&lt;EDATE(Q$73,3))*$C$29:$T$29)+SUMPRODUCT(($C$40:$T$40&gt;=Q$73)*($C$40:$T$40&lt;EDATE(Q$73,3))*$C$46:$T$46)+SUMPRODUCT(($C$57:$T$57&gt;=Q$73)*($C$57:$T$57&lt;EDATE(Q$73,3))*$C$63:$T$63)</f>
        <v>0</v>
      </c>
      <c r="R76" s="37" t="n">
        <f aca="false">SUMPRODUCT(($C$6:$T$6&gt;=R$73)*($C$6:$T$6&lt;EDATE(R$73,3))*$C$12:$T$12)+SUMPRODUCT(($C$23:$T$23&gt;=R$73)*($C$23:$T$23&lt;EDATE(R$73,3))*$C$29:$T$29)+SUMPRODUCT(($C$40:$T$40&gt;=R$73)*($C$40:$T$40&lt;EDATE(R$73,3))*$C$46:$T$46)+SUMPRODUCT(($C$57:$T$57&gt;=R$73)*($C$57:$T$57&lt;EDATE(R$73,3))*$C$63:$T$63)</f>
        <v>0</v>
      </c>
      <c r="S76" s="37" t="n">
        <f aca="false">SUMPRODUCT(($C$6:$T$6&gt;=S$73)*($C$6:$T$6&lt;EDATE(S$73,3))*$C$12:$T$12)+SUMPRODUCT(($C$23:$T$23&gt;=S$73)*($C$23:$T$23&lt;EDATE(S$73,3))*$C$29:$T$29)+SUMPRODUCT(($C$40:$T$40&gt;=S$73)*($C$40:$T$40&lt;EDATE(S$73,3))*$C$46:$T$46)+SUMPRODUCT(($C$57:$T$57&gt;=S$73)*($C$57:$T$57&lt;EDATE(S$73,3))*$C$63:$T$63)</f>
        <v>0</v>
      </c>
      <c r="T76" s="37" t="n">
        <f aca="false">SUMPRODUCT(($C$6:$T$6&gt;=T$73)*($C$6:$T$6&lt;EDATE(T$73,3))*$C$12:$T$12)+SUMPRODUCT(($C$23:$T$23&gt;=T$73)*($C$23:$T$23&lt;EDATE(T$73,3))*$C$29:$T$29)+SUMPRODUCT(($C$40:$T$40&gt;=T$73)*($C$40:$T$40&lt;EDATE(T$73,3))*$C$46:$T$46)+SUMPRODUCT(($C$57:$T$57&gt;=T$73)*($C$57:$T$57&lt;EDATE(T$73,3))*$C$63:$T$63)</f>
        <v>0</v>
      </c>
      <c r="U76" s="37" t="n">
        <f aca="false">SUMPRODUCT(($C$6:$T$6&gt;=U$73)*($C$6:$T$6&lt;EDATE(U$73,3))*$C$12:$T$12)+SUMPRODUCT(($C$23:$T$23&gt;=U$73)*($C$23:$T$23&lt;EDATE(U$73,3))*$C$29:$T$29)+SUMPRODUCT(($C$40:$T$40&gt;=U$73)*($C$40:$T$40&lt;EDATE(U$73,3))*$C$46:$T$46)+SUMPRODUCT(($C$57:$T$57&gt;=U$73)*($C$57:$T$57&lt;EDATE(U$73,3))*$C$63:$T$63)</f>
        <v>0</v>
      </c>
      <c r="V76" s="37" t="n">
        <f aca="false">SUMPRODUCT(($C$6:$T$6&gt;=V$73)*($C$6:$T$6&lt;EDATE(V$73,3))*$C$12:$T$12)+SUMPRODUCT(($C$23:$T$23&gt;=V$73)*($C$23:$T$23&lt;EDATE(V$73,3))*$C$29:$T$29)+SUMPRODUCT(($C$40:$T$40&gt;=V$73)*($C$40:$T$40&lt;EDATE(V$73,3))*$C$46:$T$46)+SUMPRODUCT(($C$57:$T$57&gt;=V$73)*($C$57:$T$57&lt;EDATE(V$73,3))*$C$63:$T$63)</f>
        <v>0</v>
      </c>
      <c r="W76" s="37" t="n">
        <f aca="false">SUMPRODUCT(($C$6:$T$6&gt;=W$73)*($C$6:$T$6&lt;EDATE(W$73,3))*$C$12:$T$12)+SUMPRODUCT(($C$23:$T$23&gt;=W$73)*($C$23:$T$23&lt;EDATE(W$73,3))*$C$29:$T$29)+SUMPRODUCT(($C$40:$T$40&gt;=W$73)*($C$40:$T$40&lt;EDATE(W$73,3))*$C$46:$T$46)+SUMPRODUCT(($C$57:$T$57&gt;=W$73)*($C$57:$T$57&lt;EDATE(W$73,3))*$C$63:$T$63)</f>
        <v>0</v>
      </c>
    </row>
    <row r="77" customFormat="false" ht="15" hidden="false" customHeight="true" outlineLevel="0" collapsed="false">
      <c r="B77" s="13" t="s">
        <v>636</v>
      </c>
      <c r="C77" s="37" t="n">
        <f aca="false">C74+C75</f>
        <v>1650893.34169272</v>
      </c>
      <c r="D77" s="37" t="n">
        <f aca="false">D74+D75+C77</f>
        <v>2993077.44789852</v>
      </c>
      <c r="E77" s="37" t="n">
        <f aca="false">E74+E75+D77</f>
        <v>5616622.55498336</v>
      </c>
      <c r="F77" s="37" t="n">
        <f aca="false">F74+F75+E77</f>
        <v>8843920.77295382</v>
      </c>
      <c r="G77" s="37" t="n">
        <f aca="false">G74+G75+F77</f>
        <v>10243364.8686395</v>
      </c>
      <c r="H77" s="37" t="n">
        <f aca="false">H74+H75+G77</f>
        <v>11596415.5930192</v>
      </c>
      <c r="I77" s="37" t="n">
        <f aca="false">I74+I75+H77</f>
        <v>16099808.28176</v>
      </c>
      <c r="J77" s="37" t="n">
        <f aca="false">J74+J75+I77</f>
        <v>16660975.7476244</v>
      </c>
      <c r="K77" s="37" t="n">
        <f aca="false">K74+K75+J77</f>
        <v>17781909.7877704</v>
      </c>
      <c r="L77" s="37" t="n">
        <f aca="false">L74+L75+K77</f>
        <v>26045120.9773866</v>
      </c>
      <c r="M77" s="37" t="n">
        <f aca="false">M74+M75+L77</f>
        <v>31149550.5643163</v>
      </c>
      <c r="N77" s="37" t="n">
        <f aca="false">N74+N75+M77</f>
        <v>34108641.2027587</v>
      </c>
      <c r="O77" s="37" t="n">
        <f aca="false">O74+O75+N77</f>
        <v>35496464.3000822</v>
      </c>
      <c r="P77" s="37" t="n">
        <f aca="false">P74+P75+O77</f>
        <v>37551893.7858972</v>
      </c>
      <c r="Q77" s="37" t="n">
        <f aca="false">Q74+Q75+P77</f>
        <v>38384587.6442913</v>
      </c>
      <c r="R77" s="37" t="n">
        <f aca="false">R74+R75+Q77</f>
        <v>38384587.6442913</v>
      </c>
      <c r="S77" s="37" t="n">
        <f aca="false">S74+S75+R77</f>
        <v>38384587.6442913</v>
      </c>
      <c r="T77" s="37" t="n">
        <f aca="false">T74+T75+S77</f>
        <v>38384587.6442913</v>
      </c>
      <c r="U77" s="37" t="n">
        <f aca="false">U74+U75+T77</f>
        <v>38384587.6442913</v>
      </c>
      <c r="V77" s="37" t="n">
        <f aca="false">V74+V75+U77</f>
        <v>38384587.6442913</v>
      </c>
      <c r="W77" s="37" t="n">
        <f aca="false">W74+W75+V77</f>
        <v>38384587.6442913</v>
      </c>
    </row>
    <row r="78" customFormat="false" ht="15" hidden="false" customHeight="true" outlineLevel="0" collapsed="false">
      <c r="B78" s="13" t="s">
        <v>637</v>
      </c>
      <c r="C78" s="37" t="n">
        <f aca="false" t="array" ref="C78:C78">IFERROR(INDEX($C$16:$T$16,MATCH(MAX(IF(($C$6:$T$6&gt;=C$73)*($C$6:$T$6&lt;EDATE(C$73,3)),$C$6:$T$6)),$C$6:$T$6,0)),0)+IFERROR(INDEX($C$33:$T$33,MATCH(MAX(IF(($C$23:$T$23&gt;=C$73)*($C$23:$T$23&lt;EDATE(C$73,3)),$C$23:$T$23)),$C$23:$T$23,0)),0)+IFERROR(INDEX($C$50:$T$50,MATCH(MAX(IF(($C$40:$T$40&gt;=C$73)*($C$40:$T$40&lt;EDATE(C$73,3)),$C$40:$T$40)),$C$40:$T$40,0)),0)+IFERROR(INDEX($C$67:$T$67,MATCH(MAX(IF(($C$57:$T$57&gt;=C$73)*($C$57:$T$57&lt;EDATE(C$73,3)),$C$57:$T$57)),$C$57:$T$57,0)),0)</f>
        <v>627339.386589747</v>
      </c>
      <c r="D78" s="37" t="n">
        <f aca="false" t="array" ref="D78:D78">IFERROR(INDEX($C$16:$T$16,MATCH(MAX(IF(($C$6:$T$6&gt;=D$73)*($C$6:$T$6&lt;EDATE(D$73,3)),$C$6:$T$6)),$C$6:$T$6,0)),0)+IFERROR(INDEX($C$33:$T$33,MATCH(MAX(IF(($C$23:$T$23&gt;=D$73)*($C$23:$T$23&lt;EDATE(D$73,3)),$C$23:$T$23)),$C$23:$T$23,0)),0)+IFERROR(INDEX($C$50:$T$50,MATCH(MAX(IF(($C$40:$T$40&gt;=D$73)*($C$40:$T$40&lt;EDATE(D$73,3)),$C$40:$T$40)),$C$40:$T$40,0)),0)+IFERROR(INDEX($C$67:$T$67,MATCH(MAX(IF(($C$57:$T$57&gt;=D$73)*($C$57:$T$57&lt;EDATE(D$73,3)),$C$57:$T$57)),$C$57:$T$57,0)),0)</f>
        <v>1974548.59500135</v>
      </c>
      <c r="E78" s="37" t="n">
        <f aca="false" t="array" ref="E78:E78">IFERROR(INDEX($C$16:$T$16,MATCH(MAX(IF(($C$6:$T$6&gt;=E$73)*($C$6:$T$6&lt;EDATE(E$73,3)),$C$6:$T$6)),$C$6:$T$6,0)),0)+IFERROR(INDEX($C$33:$T$33,MATCH(MAX(IF(($C$23:$T$23&gt;=E$73)*($C$23:$T$23&lt;EDATE(E$73,3)),$C$23:$T$23)),$C$23:$T$23,0)),0)+IFERROR(INDEX($C$50:$T$50,MATCH(MAX(IF(($C$40:$T$40&gt;=E$73)*($C$40:$T$40&lt;EDATE(E$73,3)),$C$40:$T$40)),$C$40:$T$40,0)),0)+IFERROR(INDEX($C$67:$T$67,MATCH(MAX(IF(($C$57:$T$57&gt;=E$73)*($C$57:$T$57&lt;EDATE(E$73,3)),$C$57:$T$57)),$C$57:$T$57,0)),0)</f>
        <v>4630434.88917103</v>
      </c>
      <c r="F78" s="37" t="n">
        <f aca="false" t="array" ref="F78:F78">IFERROR(INDEX($C$16:$T$16,MATCH(MAX(IF(($C$6:$T$6&gt;=F$73)*($C$6:$T$6&lt;EDATE(F$73,3)),$C$6:$T$6)),$C$6:$T$6,0)),0)+IFERROR(INDEX($C$33:$T$33,MATCH(MAX(IF(($C$23:$T$23&gt;=F$73)*($C$23:$T$23&lt;EDATE(F$73,3)),$C$23:$T$23)),$C$23:$T$23,0)),0)+IFERROR(INDEX($C$50:$T$50,MATCH(MAX(IF(($C$40:$T$40&gt;=F$73)*($C$40:$T$40&lt;EDATE(F$73,3)),$C$40:$T$40)),$C$40:$T$40,0)),0)+IFERROR(INDEX($C$67:$T$67,MATCH(MAX(IF(($C$57:$T$57&gt;=F$73)*($C$57:$T$57&lt;EDATE(F$73,3)),$C$57:$T$57)),$C$57:$T$57,0)),0)</f>
        <v>7934029.57711194</v>
      </c>
      <c r="G78" s="37" t="n">
        <f aca="false" t="array" ref="G78:G78">IFERROR(INDEX($C$16:$T$16,MATCH(MAX(IF(($C$6:$T$6&gt;=G$73)*($C$6:$T$6&lt;EDATE(G$73,3)),$C$6:$T$6)),$C$6:$T$6,0)),0)+IFERROR(INDEX($C$33:$T$33,MATCH(MAX(IF(($C$23:$T$23&gt;=G$73)*($C$23:$T$23&lt;EDATE(G$73,3)),$C$23:$T$23)),$C$23:$T$23,0)),0)+IFERROR(INDEX($C$50:$T$50,MATCH(MAX(IF(($C$40:$T$40&gt;=G$73)*($C$40:$T$40&lt;EDATE(G$73,3)),$C$40:$T$40)),$C$40:$T$40,0)),0)+IFERROR(INDEX($C$67:$T$67,MATCH(MAX(IF(($C$57:$T$57&gt;=G$73)*($C$57:$T$57&lt;EDATE(G$73,3)),$C$57:$T$57)),$C$57:$T$57,0)),0)</f>
        <v>9455975.21038481</v>
      </c>
      <c r="H78" s="37" t="n">
        <f aca="false" t="array" ref="H78:H78">IFERROR(INDEX($C$16:$T$16,MATCH(MAX(IF(($C$6:$T$6&gt;=H$73)*($C$6:$T$6&lt;EDATE(H$73,3)),$C$6:$T$6)),$C$6:$T$6,0)),0)+IFERROR(INDEX($C$33:$T$33,MATCH(MAX(IF(($C$23:$T$23&gt;=H$73)*($C$23:$T$23&lt;EDATE(H$73,3)),$C$23:$T$23)),$C$23:$T$23,0)),0)+IFERROR(INDEX($C$50:$T$50,MATCH(MAX(IF(($C$40:$T$40&gt;=H$73)*($C$40:$T$40&lt;EDATE(H$73,3)),$C$40:$T$40)),$C$40:$T$40,0)),0)+IFERROR(INDEX($C$67:$T$67,MATCH(MAX(IF(($C$57:$T$57&gt;=H$73)*($C$57:$T$57&lt;EDATE(H$73,3)),$C$57:$T$57)),$C$57:$T$57,0)),0)</f>
        <v>10495105.9926733</v>
      </c>
      <c r="I78" s="37" t="n">
        <f aca="false" t="array" ref="I78:I78">IFERROR(INDEX($C$16:$T$16,MATCH(MAX(IF(($C$6:$T$6&gt;=I$73)*($C$6:$T$6&lt;EDATE(I$73,3)),$C$6:$T$6)),$C$6:$T$6,0)),0)+IFERROR(INDEX($C$33:$T$33,MATCH(MAX(IF(($C$23:$T$23&gt;=I$73)*($C$23:$T$23&lt;EDATE(I$73,3)),$C$23:$T$23)),$C$23:$T$23,0)),0)+IFERROR(INDEX($C$50:$T$50,MATCH(MAX(IF(($C$40:$T$40&gt;=I$73)*($C$40:$T$40&lt;EDATE(I$73,3)),$C$40:$T$40)),$C$40:$T$40,0)),0)+IFERROR(INDEX($C$67:$T$67,MATCH(MAX(IF(($C$57:$T$57&gt;=I$73)*($C$57:$T$57&lt;EDATE(I$73,3)),$C$57:$T$57)),$C$57:$T$57,0)),0)</f>
        <v>12549126.693426</v>
      </c>
      <c r="J78" s="37" t="n">
        <f aca="false" t="array" ref="J78:J78">IFERROR(INDEX($C$16:$T$16,MATCH(MAX(IF(($C$6:$T$6&gt;=J$73)*($C$6:$T$6&lt;EDATE(J$73,3)),$C$6:$T$6)),$C$6:$T$6,0)),0)+IFERROR(INDEX($C$33:$T$33,MATCH(MAX(IF(($C$23:$T$23&gt;=J$73)*($C$23:$T$23&lt;EDATE(J$73,3)),$C$23:$T$23)),$C$23:$T$23,0)),0)+IFERROR(INDEX($C$50:$T$50,MATCH(MAX(IF(($C$40:$T$40&gt;=J$73)*($C$40:$T$40&lt;EDATE(J$73,3)),$C$40:$T$40)),$C$40:$T$40,0)),0)+IFERROR(INDEX($C$67:$T$67,MATCH(MAX(IF(($C$57:$T$57&gt;=J$73)*($C$57:$T$57&lt;EDATE(J$73,3)),$C$57:$T$57)),$C$57:$T$57,0)),0)</f>
        <v>3477288.85300385</v>
      </c>
      <c r="K78" s="37" t="n">
        <f aca="false" t="array" ref="K78:K78">IFERROR(INDEX($C$16:$T$16,MATCH(MAX(IF(($C$6:$T$6&gt;=K$73)*($C$6:$T$6&lt;EDATE(K$73,3)),$C$6:$T$6)),$C$6:$T$6,0)),0)+IFERROR(INDEX($C$33:$T$33,MATCH(MAX(IF(($C$23:$T$23&gt;=K$73)*($C$23:$T$23&lt;EDATE(K$73,3)),$C$23:$T$23)),$C$23:$T$23,0)),0)+IFERROR(INDEX($C$50:$T$50,MATCH(MAX(IF(($C$40:$T$40&gt;=K$73)*($C$40:$T$40&lt;EDATE(K$73,3)),$C$40:$T$40)),$C$40:$T$40,0)),0)+IFERROR(INDEX($C$67:$T$67,MATCH(MAX(IF(($C$57:$T$57&gt;=K$73)*($C$57:$T$57&lt;EDATE(K$73,3)),$C$57:$T$57)),$C$57:$T$57,0)),0)</f>
        <v>3526718.8497839</v>
      </c>
      <c r="L78" s="37" t="n">
        <f aca="false" t="array" ref="L78:L78">IFERROR(INDEX($C$16:$T$16,MATCH(MAX(IF(($C$6:$T$6&gt;=L$73)*($C$6:$T$6&lt;EDATE(L$73,3)),$C$6:$T$6)),$C$6:$T$6,0)),0)+IFERROR(INDEX($C$33:$T$33,MATCH(MAX(IF(($C$23:$T$23&gt;=L$73)*($C$23:$T$23&lt;EDATE(L$73,3)),$C$23:$T$23)),$C$23:$T$23,0)),0)+IFERROR(INDEX($C$50:$T$50,MATCH(MAX(IF(($C$40:$T$40&gt;=L$73)*($C$40:$T$40&lt;EDATE(L$73,3)),$C$40:$T$40)),$C$40:$T$40,0)),0)+IFERROR(INDEX($C$67:$T$67,MATCH(MAX(IF(($C$57:$T$57&gt;=L$73)*($C$57:$T$57&lt;EDATE(L$73,3)),$C$57:$T$57)),$C$57:$T$57,0)),0)</f>
        <v>10415609.1661889</v>
      </c>
      <c r="M78" s="37" t="n">
        <f aca="false" t="array" ref="M78:M78">IFERROR(INDEX($C$16:$T$16,MATCH(MAX(IF(($C$6:$T$6&gt;=M$73)*($C$6:$T$6&lt;EDATE(M$73,3)),$C$6:$T$6)),$C$6:$T$6,0)),0)+IFERROR(INDEX($C$33:$T$33,MATCH(MAX(IF(($C$23:$T$23&gt;=M$73)*($C$23:$T$23&lt;EDATE(M$73,3)),$C$23:$T$23)),$C$23:$T$23,0)),0)+IFERROR(INDEX($C$50:$T$50,MATCH(MAX(IF(($C$40:$T$40&gt;=M$73)*($C$40:$T$40&lt;EDATE(M$73,3)),$C$40:$T$40)),$C$40:$T$40,0)),0)+IFERROR(INDEX($C$67:$T$67,MATCH(MAX(IF(($C$57:$T$57&gt;=M$73)*($C$57:$T$57&lt;EDATE(M$73,3)),$C$57:$T$57)),$C$57:$T$57,0)),0)</f>
        <v>14891179.1805516</v>
      </c>
      <c r="N78" s="37" t="n">
        <f aca="false" t="array" ref="N78:N78">IFERROR(INDEX($C$16:$T$16,MATCH(MAX(IF(($C$6:$T$6&gt;=N$73)*($C$6:$T$6&lt;EDATE(N$73,3)),$C$6:$T$6)),$C$6:$T$6,0)),0)+IFERROR(INDEX($C$33:$T$33,MATCH(MAX(IF(($C$23:$T$23&gt;=N$73)*($C$23:$T$23&lt;EDATE(N$73,3)),$C$23:$T$23)),$C$23:$T$23,0)),0)+IFERROR(INDEX($C$50:$T$50,MATCH(MAX(IF(($C$40:$T$40&gt;=N$73)*($C$40:$T$40&lt;EDATE(N$73,3)),$C$40:$T$40)),$C$40:$T$40,0)),0)+IFERROR(INDEX($C$67:$T$67,MATCH(MAX(IF(($C$57:$T$57&gt;=N$73)*($C$57:$T$57&lt;EDATE(N$73,3)),$C$57:$T$57)),$C$57:$T$57,0)),0)</f>
        <v>14436283.0779474</v>
      </c>
      <c r="O78" s="37" t="n">
        <f aca="false" t="array" ref="O78:O78">IFERROR(INDEX($C$16:$T$16,MATCH(MAX(IF(($C$6:$T$6&gt;=O$73)*($C$6:$T$6&lt;EDATE(O$73,3)),$C$6:$T$6)),$C$6:$T$6,0)),0)+IFERROR(INDEX($C$33:$T$33,MATCH(MAX(IF(($C$23:$T$23&gt;=O$73)*($C$23:$T$23&lt;EDATE(O$73,3)),$C$23:$T$23)),$C$23:$T$23,0)),0)+IFERROR(INDEX($C$50:$T$50,MATCH(MAX(IF(($C$40:$T$40&gt;=O$73)*($C$40:$T$40&lt;EDATE(O$73,3)),$C$40:$T$40)),$C$40:$T$40,0)),0)+IFERROR(INDEX($C$67:$T$67,MATCH(MAX(IF(($C$57:$T$57&gt;=O$73)*($C$57:$T$57&lt;EDATE(O$73,3)),$C$57:$T$57)),$C$57:$T$57,0)),0)</f>
        <v>14573536.6487541</v>
      </c>
      <c r="P78" s="37" t="n">
        <f aca="false" t="array" ref="P78:P78">IFERROR(INDEX($C$16:$T$16,MATCH(MAX(IF(($C$6:$T$6&gt;=P$73)*($C$6:$T$6&lt;EDATE(P$73,3)),$C$6:$T$6)),$C$6:$T$6,0)),0)+IFERROR(INDEX($C$33:$T$33,MATCH(MAX(IF(($C$23:$T$23&gt;=P$73)*($C$23:$T$23&lt;EDATE(P$73,3)),$C$23:$T$23)),$C$23:$T$23,0)),0)+IFERROR(INDEX($C$50:$T$50,MATCH(MAX(IF(($C$40:$T$40&gt;=P$73)*($C$40:$T$40&lt;EDATE(P$73,3)),$C$40:$T$40)),$C$40:$T$40,0)),0)+IFERROR(INDEX($C$67:$T$67,MATCH(MAX(IF(($C$57:$T$57&gt;=P$73)*($C$57:$T$57&lt;EDATE(P$73,3)),$C$57:$T$57)),$C$57:$T$57,0)),0)</f>
        <v>14646989.3748776</v>
      </c>
      <c r="Q78" s="37" t="n">
        <f aca="false" t="array" ref="Q78:Q78">IFERROR(INDEX($C$16:$T$16,MATCH(MAX(IF(($C$6:$T$6&gt;=Q$73)*($C$6:$T$6&lt;EDATE(Q$73,3)),$C$6:$T$6)),$C$6:$T$6,0)),0)+IFERROR(INDEX($C$33:$T$33,MATCH(MAX(IF(($C$23:$T$23&gt;=Q$73)*($C$23:$T$23&lt;EDATE(Q$73,3)),$C$23:$T$23)),$C$23:$T$23,0)),0)+IFERROR(INDEX($C$50:$T$50,MATCH(MAX(IF(($C$40:$T$40&gt;=Q$73)*($C$40:$T$40&lt;EDATE(Q$73,3)),$C$40:$T$40)),$C$40:$T$40,0)),0)+IFERROR(INDEX($C$67:$T$67,MATCH(MAX(IF(($C$57:$T$57&gt;=Q$73)*($C$57:$T$57&lt;EDATE(Q$73,3)),$C$57:$T$57)),$C$57:$T$57,0)),0)</f>
        <v>14646989.3748776</v>
      </c>
      <c r="R78" s="37" t="n">
        <f aca="false" t="array" ref="R78:R78">IFERROR(INDEX($C$16:$T$16,MATCH(MAX(IF(($C$6:$T$6&gt;=R$73)*($C$6:$T$6&lt;EDATE(R$73,3)),$C$6:$T$6)),$C$6:$T$6,0)),0)+IFERROR(INDEX($C$33:$T$33,MATCH(MAX(IF(($C$23:$T$23&gt;=R$73)*($C$23:$T$23&lt;EDATE(R$73,3)),$C$23:$T$23)),$C$23:$T$23,0)),0)+IFERROR(INDEX($C$50:$T$50,MATCH(MAX(IF(($C$40:$T$40&gt;=R$73)*($C$40:$T$40&lt;EDATE(R$73,3)),$C$40:$T$40)),$C$40:$T$40,0)),0)+IFERROR(INDEX($C$67:$T$67,MATCH(MAX(IF(($C$57:$T$57&gt;=R$73)*($C$57:$T$57&lt;EDATE(R$73,3)),$C$57:$T$57)),$C$57:$T$57,0)),0)</f>
        <v>0</v>
      </c>
      <c r="S78" s="37" t="n">
        <f aca="false" t="array" ref="S78:S78">IFERROR(INDEX($C$16:$T$16,MATCH(MAX(IF(($C$6:$T$6&gt;=S$73)*($C$6:$T$6&lt;EDATE(S$73,3)),$C$6:$T$6)),$C$6:$T$6,0)),0)+IFERROR(INDEX($C$33:$T$33,MATCH(MAX(IF(($C$23:$T$23&gt;=S$73)*($C$23:$T$23&lt;EDATE(S$73,3)),$C$23:$T$23)),$C$23:$T$23,0)),0)+IFERROR(INDEX($C$50:$T$50,MATCH(MAX(IF(($C$40:$T$40&gt;=S$73)*($C$40:$T$40&lt;EDATE(S$73,3)),$C$40:$T$40)),$C$40:$T$40,0)),0)+IFERROR(INDEX($C$67:$T$67,MATCH(MAX(IF(($C$57:$T$57&gt;=S$73)*($C$57:$T$57&lt;EDATE(S$73,3)),$C$57:$T$57)),$C$57:$T$57,0)),0)</f>
        <v>0</v>
      </c>
      <c r="T78" s="37" t="n">
        <f aca="false" t="array" ref="T78:T78">IFERROR(INDEX($C$16:$T$16,MATCH(MAX(IF(($C$6:$T$6&gt;=T$73)*($C$6:$T$6&lt;EDATE(T$73,3)),$C$6:$T$6)),$C$6:$T$6,0)),0)+IFERROR(INDEX($C$33:$T$33,MATCH(MAX(IF(($C$23:$T$23&gt;=T$73)*($C$23:$T$23&lt;EDATE(T$73,3)),$C$23:$T$23)),$C$23:$T$23,0)),0)+IFERROR(INDEX($C$50:$T$50,MATCH(MAX(IF(($C$40:$T$40&gt;=T$73)*($C$40:$T$40&lt;EDATE(T$73,3)),$C$40:$T$40)),$C$40:$T$40,0)),0)+IFERROR(INDEX($C$67:$T$67,MATCH(MAX(IF(($C$57:$T$57&gt;=T$73)*($C$57:$T$57&lt;EDATE(T$73,3)),$C$57:$T$57)),$C$57:$T$57,0)),0)</f>
        <v>0</v>
      </c>
      <c r="U78" s="37" t="n">
        <f aca="false" t="array" ref="U78:U78">IFERROR(INDEX($C$16:$T$16,MATCH(MAX(IF(($C$6:$T$6&gt;=U$73)*($C$6:$T$6&lt;EDATE(U$73,3)),$C$6:$T$6)),$C$6:$T$6,0)),0)+IFERROR(INDEX($C$33:$T$33,MATCH(MAX(IF(($C$23:$T$23&gt;=U$73)*($C$23:$T$23&lt;EDATE(U$73,3)),$C$23:$T$23)),$C$23:$T$23,0)),0)+IFERROR(INDEX($C$50:$T$50,MATCH(MAX(IF(($C$40:$T$40&gt;=U$73)*($C$40:$T$40&lt;EDATE(U$73,3)),$C$40:$T$40)),$C$40:$T$40,0)),0)+IFERROR(INDEX($C$67:$T$67,MATCH(MAX(IF(($C$57:$T$57&gt;=U$73)*($C$57:$T$57&lt;EDATE(U$73,3)),$C$57:$T$57)),$C$57:$T$57,0)),0)</f>
        <v>0</v>
      </c>
      <c r="V78" s="37" t="n">
        <f aca="false" t="array" ref="V78:V78">IFERROR(INDEX($C$16:$T$16,MATCH(MAX(IF(($C$6:$T$6&gt;=V$73)*($C$6:$T$6&lt;EDATE(V$73,3)),$C$6:$T$6)),$C$6:$T$6,0)),0)+IFERROR(INDEX($C$33:$T$33,MATCH(MAX(IF(($C$23:$T$23&gt;=V$73)*($C$23:$T$23&lt;EDATE(V$73,3)),$C$23:$T$23)),$C$23:$T$23,0)),0)+IFERROR(INDEX($C$50:$T$50,MATCH(MAX(IF(($C$40:$T$40&gt;=V$73)*($C$40:$T$40&lt;EDATE(V$73,3)),$C$40:$T$40)),$C$40:$T$40,0)),0)+IFERROR(INDEX($C$67:$T$67,MATCH(MAX(IF(($C$57:$T$57&gt;=V$73)*($C$57:$T$57&lt;EDATE(V$73,3)),$C$57:$T$57)),$C$57:$T$57,0)),0)</f>
        <v>0</v>
      </c>
      <c r="W78" s="37" t="n">
        <f aca="false" t="array" ref="W78:W78">IFERROR(INDEX($C$16:$T$16,MATCH(MAX(IF(($C$6:$T$6&gt;=W$73)*($C$6:$T$6&lt;EDATE(W$73,3)),$C$6:$T$6)),$C$6:$T$6,0)),0)+IFERROR(INDEX($C$33:$T$33,MATCH(MAX(IF(($C$23:$T$23&gt;=W$73)*($C$23:$T$23&lt;EDATE(W$73,3)),$C$23:$T$23)),$C$23:$T$23,0)),0)+IFERROR(INDEX($C$50:$T$50,MATCH(MAX(IF(($C$40:$T$40&gt;=W$73)*($C$40:$T$40&lt;EDATE(W$73,3)),$C$40:$T$40)),$C$40:$T$40,0)),0)+IFERROR(INDEX($C$67:$T$67,MATCH(MAX(IF(($C$57:$T$57&gt;=W$73)*($C$57:$T$57&lt;EDATE(W$73,3)),$C$57:$T$57)),$C$57:$T$57,0)),0)</f>
        <v>0</v>
      </c>
    </row>
    <row r="79" customFormat="false" ht="15" hidden="false" customHeight="true" outlineLevel="0" collapsed="false">
      <c r="B79" s="19" t="s">
        <v>638</v>
      </c>
      <c r="C79" s="21" t="n">
        <f aca="false">MAX(C78:W78)</f>
        <v>14891179.1805516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7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.43"/>
    <col collapsed="false" customWidth="true" hidden="false" outlineLevel="0" max="2" min="2" style="1" width="40"/>
    <col collapsed="false" customWidth="true" hidden="false" outlineLevel="0" max="7" min="3" style="1" width="15.7"/>
    <col collapsed="false" customWidth="true" hidden="false" outlineLevel="0" max="8" min="8" style="1" width="2"/>
  </cols>
  <sheetData>
    <row r="1" customFormat="false" ht="17.25" hidden="false" customHeight="true" outlineLevel="0" collapsed="false">
      <c r="A1" s="11" t="s">
        <v>639</v>
      </c>
    </row>
    <row r="2" customFormat="false" ht="15" hidden="false" customHeight="true" outlineLevel="0" collapsed="false">
      <c r="B2" s="3"/>
      <c r="C2" s="3" t="s">
        <v>20</v>
      </c>
      <c r="D2" s="3" t="s">
        <v>21</v>
      </c>
      <c r="E2" s="3" t="s">
        <v>22</v>
      </c>
      <c r="F2" s="3" t="s">
        <v>23</v>
      </c>
      <c r="G2" s="3" t="s">
        <v>472</v>
      </c>
    </row>
    <row r="4" customFormat="false" ht="15" hidden="false" customHeight="true" outlineLevel="0" collapsed="false">
      <c r="B4" s="13" t="s">
        <v>640</v>
      </c>
      <c r="C4" s="86" t="n">
        <f aca="false">EquityPrice</f>
        <v>0.8</v>
      </c>
    </row>
    <row r="5" customFormat="false" ht="15" hidden="false" customHeight="true" outlineLevel="0" collapsed="false">
      <c r="B5" s="13" t="s">
        <v>641</v>
      </c>
      <c r="C5" s="59" t="n">
        <v>0.01</v>
      </c>
    </row>
    <row r="7" customFormat="false" ht="15" hidden="false" customHeight="true" outlineLevel="0" collapsed="false">
      <c r="B7" s="63" t="s">
        <v>642</v>
      </c>
    </row>
    <row r="8" customFormat="false" ht="15" hidden="false" customHeight="true" outlineLevel="0" collapsed="false">
      <c r="B8" s="13" t="s">
        <v>593</v>
      </c>
      <c r="C8" s="87" t="n">
        <f aca="false">CH_AcqPrice</f>
        <v>0</v>
      </c>
      <c r="D8" s="87" t="n">
        <f aca="false">NZ_AcqPrice</f>
        <v>0</v>
      </c>
      <c r="E8" s="87" t="n">
        <f aca="false">LOM_AcqPrice</f>
        <v>3000000</v>
      </c>
      <c r="F8" s="87" t="n">
        <f aca="false">SA_AcqPrice</f>
        <v>500000</v>
      </c>
      <c r="G8" s="44" t="n">
        <f aca="false">SUM(C8:F8)</f>
        <v>3500000</v>
      </c>
    </row>
    <row r="9" customFormat="false" ht="15" hidden="false" customHeight="true" outlineLevel="0" collapsed="false">
      <c r="B9" s="13" t="s">
        <v>643</v>
      </c>
      <c r="C9" s="37" t="n">
        <f aca="false">-C8*CH_LandPct</f>
        <v>-0</v>
      </c>
      <c r="D9" s="37" t="n">
        <f aca="false">-D8*NZ_LandPct</f>
        <v>-0</v>
      </c>
      <c r="E9" s="37" t="n">
        <f aca="false">-E8*LOM_LandPct</f>
        <v>-450000</v>
      </c>
      <c r="F9" s="37" t="n">
        <f aca="false">-F8*SA_LandPct</f>
        <v>-75000</v>
      </c>
    </row>
    <row r="10" customFormat="false" ht="15" hidden="false" customHeight="true" outlineLevel="0" collapsed="false">
      <c r="B10" s="19" t="s">
        <v>644</v>
      </c>
      <c r="C10" s="21" t="n">
        <f aca="false">C8+C9</f>
        <v>0</v>
      </c>
      <c r="D10" s="21" t="n">
        <f aca="false">D8+D9</f>
        <v>0</v>
      </c>
      <c r="E10" s="21" t="n">
        <f aca="false">E8+E9</f>
        <v>2550000</v>
      </c>
      <c r="F10" s="21" t="n">
        <f aca="false">F8+F9</f>
        <v>425000</v>
      </c>
    </row>
    <row r="11" customFormat="false" ht="15" hidden="false" customHeight="true" outlineLevel="0" collapsed="false">
      <c r="B11" s="13" t="s">
        <v>645</v>
      </c>
      <c r="C11" s="60" t="s">
        <v>646</v>
      </c>
      <c r="D11" s="60" t="s">
        <v>646</v>
      </c>
      <c r="E11" s="60" t="s">
        <v>646</v>
      </c>
      <c r="F11" s="60" t="s">
        <v>646</v>
      </c>
    </row>
    <row r="12" customFormat="false" ht="15" hidden="false" customHeight="true" outlineLevel="0" collapsed="false">
      <c r="B12" s="13" t="s">
        <v>647</v>
      </c>
      <c r="C12" s="74" t="n">
        <v>1</v>
      </c>
      <c r="D12" s="74" t="n">
        <v>1</v>
      </c>
      <c r="E12" s="74" t="n">
        <v>1</v>
      </c>
      <c r="F12" s="74" t="n">
        <v>0.9902</v>
      </c>
    </row>
    <row r="13" customFormat="false" ht="15" hidden="false" customHeight="true" outlineLevel="0" collapsed="false">
      <c r="B13" s="13" t="s">
        <v>648</v>
      </c>
      <c r="C13" s="88" t="n">
        <f aca="false">LIHTCRate4</f>
        <v>0.04</v>
      </c>
      <c r="D13" s="88" t="n">
        <f aca="false">LIHTCRate4</f>
        <v>0.04</v>
      </c>
      <c r="E13" s="88" t="n">
        <f aca="false">LIHTCRate4</f>
        <v>0.04</v>
      </c>
      <c r="F13" s="88" t="n">
        <f aca="false">LIHTCRate4</f>
        <v>0.04</v>
      </c>
    </row>
    <row r="14" customFormat="false" ht="15" hidden="false" customHeight="true" outlineLevel="0" collapsed="false">
      <c r="B14" s="19" t="s">
        <v>649</v>
      </c>
      <c r="C14" s="21" t="n">
        <f aca="false">C10*C12*C13</f>
        <v>0</v>
      </c>
      <c r="D14" s="21" t="n">
        <f aca="false">D10*D12*D13</f>
        <v>0</v>
      </c>
      <c r="E14" s="21" t="n">
        <f aca="false">E10*E12*E13</f>
        <v>102000</v>
      </c>
      <c r="F14" s="21" t="n">
        <f aca="false">F10*F12*F13</f>
        <v>16833.4</v>
      </c>
      <c r="G14" s="21" t="n">
        <f aca="false">SUM(C14:F14)</f>
        <v>118833.4</v>
      </c>
    </row>
    <row r="16" customFormat="false" ht="15" hidden="false" customHeight="true" outlineLevel="0" collapsed="false">
      <c r="B16" s="63" t="s">
        <v>650</v>
      </c>
    </row>
    <row r="17" customFormat="false" ht="15" hidden="false" customHeight="true" outlineLevel="0" collapsed="false">
      <c r="B17" s="13" t="s">
        <v>651</v>
      </c>
      <c r="C17" s="37" t="n">
        <f aca="false">CH_RehabTotal*(1+CostInflation)^CH_InflYears</f>
        <v>4506378.24</v>
      </c>
      <c r="D17" s="37" t="n">
        <f aca="false">NZ_RehabTotal*(1+CostInflation)^NZ_InflYears</f>
        <v>5579325.44</v>
      </c>
      <c r="E17" s="37" t="n">
        <f aca="false">LOM_RehabTotal*(1+CostInflation)^LOM_InflYears</f>
        <v>6639397.2736</v>
      </c>
      <c r="F17" s="37" t="n">
        <f aca="false">SA_RehabTotal*(1+CostInflation)^SA_InflYears</f>
        <v>10118400</v>
      </c>
    </row>
    <row r="18" customFormat="false" ht="15" hidden="false" customHeight="true" outlineLevel="0" collapsed="false">
      <c r="B18" s="13" t="s">
        <v>652</v>
      </c>
      <c r="C18" s="37" t="n">
        <f aca="false">CH_RelocTotal*(1+CostInflation)^CH_InflYears</f>
        <v>227136</v>
      </c>
      <c r="D18" s="37" t="n">
        <f aca="false">NZ_RelocTotal*(1+CostInflation)^NZ_InflYears</f>
        <v>281216</v>
      </c>
      <c r="E18" s="37" t="n">
        <f aca="false">LOM_RelocTotal*(1+CostInflation)^LOM_InflYears</f>
        <v>334647.04</v>
      </c>
      <c r="F18" s="37" t="n">
        <f aca="false">SA_RelocTotal*(1+CostInflation)^SA_InflYears</f>
        <v>510000</v>
      </c>
    </row>
    <row r="19" customFormat="false" ht="15" hidden="false" customHeight="true" outlineLevel="0" collapsed="false">
      <c r="B19" s="13" t="s">
        <v>653</v>
      </c>
      <c r="C19" s="22" t="n">
        <v>0.15</v>
      </c>
      <c r="D19" s="22" t="n">
        <v>0.15</v>
      </c>
      <c r="E19" s="22" t="n">
        <v>0.15</v>
      </c>
      <c r="F19" s="22" t="n">
        <v>0.15</v>
      </c>
    </row>
    <row r="20" customFormat="false" ht="15" hidden="false" customHeight="true" outlineLevel="0" collapsed="false">
      <c r="B20" s="19" t="s">
        <v>654</v>
      </c>
      <c r="C20" s="21" t="n">
        <f aca="false">(C17+C18)*(1+C19)</f>
        <v>5443541.376</v>
      </c>
      <c r="D20" s="21" t="n">
        <f aca="false">(D17+D18)*(1+D19)</f>
        <v>6739622.656</v>
      </c>
      <c r="E20" s="21" t="n">
        <f aca="false">(E17+E18)*(1+E19)</f>
        <v>8020150.96064</v>
      </c>
      <c r="F20" s="21" t="n">
        <f aca="false">(F17+F18)*(1+F19)</f>
        <v>12222660</v>
      </c>
    </row>
    <row r="21" customFormat="false" ht="15" hidden="false" customHeight="true" outlineLevel="0" collapsed="false">
      <c r="B21" s="13" t="s">
        <v>655</v>
      </c>
      <c r="C21" s="89" t="n">
        <f aca="false">IF('Dashboard Calc'!C11="Yes",BoostCapPct,0)</f>
        <v>0.3</v>
      </c>
      <c r="D21" s="89" t="n">
        <f aca="false">IF('Dashboard Calc'!D11="Yes",BoostCapPct,0)</f>
        <v>0.3</v>
      </c>
      <c r="E21" s="89" t="n">
        <f aca="false">IF('Dashboard Calc'!E11="Yes",BoostCapPct,0)</f>
        <v>0.3</v>
      </c>
      <c r="F21" s="89" t="n">
        <f aca="false">IF('Dashboard Calc'!F11="Yes",BoostCapPct,0)</f>
        <v>0.3</v>
      </c>
    </row>
    <row r="22" customFormat="false" ht="15" hidden="false" customHeight="true" outlineLevel="0" collapsed="false">
      <c r="B22" s="13" t="s">
        <v>656</v>
      </c>
      <c r="C22" s="37" t="n">
        <f aca="false">C20*(1+C21)</f>
        <v>7076603.7888</v>
      </c>
      <c r="D22" s="37" t="n">
        <f aca="false">D20*(1+D21)</f>
        <v>8761509.4528</v>
      </c>
      <c r="E22" s="37" t="n">
        <f aca="false">E20*(1+E21)</f>
        <v>10426196.248832</v>
      </c>
      <c r="F22" s="37" t="n">
        <f aca="false">F20*(1+F21)</f>
        <v>15889458</v>
      </c>
    </row>
    <row r="23" customFormat="false" ht="15" hidden="false" customHeight="true" outlineLevel="0" collapsed="false">
      <c r="B23" s="19" t="s">
        <v>657</v>
      </c>
      <c r="C23" s="21" t="n">
        <f aca="false">C22*C12*C13</f>
        <v>283064.151552</v>
      </c>
      <c r="D23" s="21" t="n">
        <f aca="false">D22*D12*D13</f>
        <v>350460.378112</v>
      </c>
      <c r="E23" s="21" t="n">
        <f aca="false">E22*E12*E13</f>
        <v>417047.84995328</v>
      </c>
      <c r="F23" s="21" t="n">
        <f aca="false">F22*F12*F13</f>
        <v>629349.652464</v>
      </c>
      <c r="G23" s="21" t="n">
        <f aca="false">SUM(C23:F23)</f>
        <v>1679922.03208128</v>
      </c>
    </row>
    <row r="25" customFormat="false" ht="15" hidden="false" customHeight="true" outlineLevel="0" collapsed="false">
      <c r="B25" s="19" t="s">
        <v>658</v>
      </c>
      <c r="C25" s="21" t="n">
        <f aca="false">C14+C23</f>
        <v>283064.151552</v>
      </c>
      <c r="D25" s="21" t="n">
        <f aca="false">D14+D23</f>
        <v>350460.378112</v>
      </c>
      <c r="E25" s="21" t="n">
        <f aca="false">E14+E23</f>
        <v>519047.84995328</v>
      </c>
      <c r="F25" s="21" t="n">
        <f aca="false">F14+F23</f>
        <v>646183.052464</v>
      </c>
      <c r="G25" s="21" t="n">
        <f aca="false">SUM(C25:F25)</f>
        <v>1798755.43208128</v>
      </c>
    </row>
    <row r="26" customFormat="false" ht="15" hidden="false" customHeight="true" outlineLevel="0" collapsed="false">
      <c r="B26" s="13" t="s">
        <v>659</v>
      </c>
      <c r="C26" s="37" t="n">
        <f aca="false">C25*10</f>
        <v>2830641.51552</v>
      </c>
      <c r="D26" s="37" t="n">
        <f aca="false">D25*10</f>
        <v>3504603.78112</v>
      </c>
      <c r="E26" s="37" t="n">
        <f aca="false">E25*10</f>
        <v>5190478.4995328</v>
      </c>
      <c r="F26" s="37" t="n">
        <f aca="false">F25*10</f>
        <v>6461830.52464</v>
      </c>
    </row>
    <row r="27" customFormat="false" ht="15" hidden="false" customHeight="true" outlineLevel="0" collapsed="false">
      <c r="B27" s="13" t="s">
        <v>660</v>
      </c>
      <c r="C27" s="73" t="n">
        <f aca="false">1-$C$5</f>
        <v>0.99</v>
      </c>
      <c r="D27" s="73" t="n">
        <f aca="false">1-$C$5</f>
        <v>0.99</v>
      </c>
      <c r="E27" s="73" t="n">
        <f aca="false">1-$C$5</f>
        <v>0.99</v>
      </c>
      <c r="F27" s="73" t="n">
        <f aca="false">1-$C$5</f>
        <v>0.99</v>
      </c>
    </row>
    <row r="28" customFormat="false" ht="15" hidden="false" customHeight="true" outlineLevel="0" collapsed="false">
      <c r="B28" s="19" t="s">
        <v>661</v>
      </c>
      <c r="C28" s="21" t="n">
        <f aca="false">C26*C27*EquityPrice</f>
        <v>2241868.08029184</v>
      </c>
      <c r="D28" s="21" t="n">
        <f aca="false">D26*D27*EquityPrice</f>
        <v>2775646.19464704</v>
      </c>
      <c r="E28" s="21" t="n">
        <f aca="false">E26*E27*EquityPrice</f>
        <v>4110858.97162998</v>
      </c>
      <c r="F28" s="21" t="n">
        <f aca="false">F26*F27*EquityPrice</f>
        <v>5117769.77551488</v>
      </c>
      <c r="G28" s="21" t="n">
        <f aca="false">SUM(C28:F28)</f>
        <v>14246143.0220837</v>
      </c>
    </row>
    <row r="30" customFormat="false" ht="15" hidden="false" customHeight="true" outlineLevel="0" collapsed="false">
      <c r="B30" s="63" t="s">
        <v>662</v>
      </c>
    </row>
    <row r="31" customFormat="false" ht="15" hidden="false" customHeight="true" outlineLevel="0" collapsed="false">
      <c r="B31" s="13" t="s">
        <v>663</v>
      </c>
      <c r="C31" s="87" t="n">
        <f aca="false">CH_SelProceeds</f>
        <v>3410352.37516911</v>
      </c>
      <c r="D31" s="87" t="n">
        <f aca="false">NZ_SelProceeds</f>
        <v>6485211.11528615</v>
      </c>
      <c r="E31" s="87" t="n">
        <f aca="false">LOM_SelProceeds</f>
        <v>7791658.84235925</v>
      </c>
      <c r="F31" s="87" t="n">
        <f aca="false">SA_SelProceeds</f>
        <v>9219810.91353655</v>
      </c>
    </row>
    <row r="32" customFormat="false" ht="15" hidden="false" customHeight="true" outlineLevel="0" collapsed="false">
      <c r="B32" s="13" t="s">
        <v>664</v>
      </c>
      <c r="C32" s="37" t="n">
        <f aca="false">C10+C20-C9</f>
        <v>5443541.376</v>
      </c>
      <c r="D32" s="37" t="n">
        <f aca="false">D10+D20-D9</f>
        <v>6739622.656</v>
      </c>
      <c r="E32" s="37" t="n">
        <f aca="false">E10+E20-E9</f>
        <v>11020150.96064</v>
      </c>
      <c r="F32" s="37" t="n">
        <f aca="false">F10+F20-F9</f>
        <v>12722660</v>
      </c>
    </row>
    <row r="33" customFormat="false" ht="15" hidden="false" customHeight="true" outlineLevel="0" collapsed="false">
      <c r="B33" s="13" t="s">
        <v>665</v>
      </c>
      <c r="C33" s="73" t="n">
        <f aca="false">C31/C32</f>
        <v>0.626495169156791</v>
      </c>
      <c r="D33" s="73" t="n">
        <f aca="false">D31/D32</f>
        <v>0.962251367220484</v>
      </c>
      <c r="E33" s="73" t="n">
        <f aca="false">E31/E32</f>
        <v>0.707037396328621</v>
      </c>
      <c r="F33" s="73" t="n">
        <f aca="false">F31/F32</f>
        <v>0.724676358052211</v>
      </c>
    </row>
    <row r="34" customFormat="false" ht="15" hidden="false" customHeight="true" outlineLevel="0" collapsed="false">
      <c r="B34" s="13" t="s">
        <v>666</v>
      </c>
      <c r="C34" s="90" t="n">
        <f aca="false">Bond50Min</f>
        <v>0.25</v>
      </c>
      <c r="D34" s="90" t="n">
        <f aca="false">Bond50Min</f>
        <v>0.25</v>
      </c>
      <c r="E34" s="90" t="n">
        <f aca="false">Bond50Min</f>
        <v>0.25</v>
      </c>
      <c r="F34" s="90" t="n">
        <f aca="false">Bond50Min</f>
        <v>0.25</v>
      </c>
    </row>
    <row r="35" customFormat="false" ht="15" hidden="false" customHeight="true" outlineLevel="0" collapsed="false">
      <c r="B35" s="19" t="s">
        <v>667</v>
      </c>
      <c r="C35" s="58" t="str">
        <f aca="false">IF(C33&gt;=C34,"PASS","FAIL")</f>
        <v>PASS</v>
      </c>
      <c r="D35" s="58" t="str">
        <f aca="false">IF(D33&gt;=D34,"PASS","FAIL")</f>
        <v>PASS</v>
      </c>
      <c r="E35" s="58" t="str">
        <f aca="false">IF(E33&gt;=E34,"PASS","FAIL")</f>
        <v>PASS</v>
      </c>
      <c r="F35" s="58" t="str">
        <f aca="false">IF(F33&gt;=F34,"PASS","FAIL")</f>
        <v>PASS</v>
      </c>
    </row>
    <row r="38" customFormat="false" ht="15" hidden="false" customHeight="true" outlineLevel="0" collapsed="false">
      <c r="B38" s="63" t="s">
        <v>668</v>
      </c>
    </row>
    <row r="39" customFormat="false" ht="15" hidden="false" customHeight="true" outlineLevel="0" collapsed="false">
      <c r="B39" s="3" t="s">
        <v>669</v>
      </c>
      <c r="C39" s="3"/>
      <c r="D39" s="48" t="n">
        <f aca="false">CH_ResynDate</f>
        <v>46753</v>
      </c>
      <c r="E39" s="49" t="s">
        <v>670</v>
      </c>
      <c r="F39" s="91" t="n">
        <f aca="false">C28</f>
        <v>2241868.08029184</v>
      </c>
      <c r="G39" s="3"/>
    </row>
    <row r="40" customFormat="false" ht="15" hidden="false" customHeight="true" outlineLevel="0" collapsed="false">
      <c r="B40" s="40" t="s">
        <v>671</v>
      </c>
      <c r="C40" s="40" t="s">
        <v>672</v>
      </c>
      <c r="D40" s="40" t="s">
        <v>673</v>
      </c>
      <c r="E40" s="40" t="s">
        <v>674</v>
      </c>
    </row>
    <row r="41" customFormat="false" ht="15" hidden="false" customHeight="true" outlineLevel="0" collapsed="false">
      <c r="B41" s="92" t="s">
        <v>675</v>
      </c>
      <c r="C41" s="93" t="n">
        <v>1</v>
      </c>
      <c r="D41" s="94" t="n">
        <v>0.2</v>
      </c>
      <c r="E41" s="95" t="n">
        <f aca="false">D41*$C$28</f>
        <v>448373.616058368</v>
      </c>
    </row>
    <row r="42" customFormat="false" ht="15" hidden="false" customHeight="true" outlineLevel="0" collapsed="false">
      <c r="B42" s="92" t="s">
        <v>676</v>
      </c>
      <c r="C42" s="93" t="n">
        <v>12</v>
      </c>
      <c r="D42" s="94" t="n">
        <v>0.5</v>
      </c>
      <c r="E42" s="95" t="n">
        <f aca="false">D42*$C$28</f>
        <v>1120934.04014592</v>
      </c>
    </row>
    <row r="43" customFormat="false" ht="15" hidden="false" customHeight="true" outlineLevel="0" collapsed="false">
      <c r="B43" s="92" t="s">
        <v>677</v>
      </c>
      <c r="C43" s="93" t="n">
        <v>18</v>
      </c>
      <c r="D43" s="94" t="n">
        <v>0.3</v>
      </c>
      <c r="E43" s="95" t="n">
        <f aca="false">D43*$C$28</f>
        <v>672560.424087552</v>
      </c>
    </row>
    <row r="44" customFormat="false" ht="15" hidden="false" customHeight="true" outlineLevel="0" collapsed="false">
      <c r="B44" s="92" t="s">
        <v>678</v>
      </c>
      <c r="C44" s="93"/>
      <c r="D44" s="94" t="n">
        <v>0</v>
      </c>
      <c r="E44" s="95" t="n">
        <f aca="false">D44*$C$28</f>
        <v>0</v>
      </c>
    </row>
    <row r="45" customFormat="false" ht="15" hidden="false" customHeight="true" outlineLevel="0" collapsed="false">
      <c r="B45" s="92" t="s">
        <v>678</v>
      </c>
      <c r="C45" s="93"/>
      <c r="D45" s="94" t="n">
        <v>0</v>
      </c>
      <c r="E45" s="95" t="n">
        <f aca="false">D45*$C$28</f>
        <v>0</v>
      </c>
    </row>
    <row r="46" customFormat="false" ht="15" hidden="false" customHeight="true" outlineLevel="0" collapsed="false">
      <c r="B46" s="92" t="s">
        <v>678</v>
      </c>
      <c r="C46" s="93"/>
      <c r="D46" s="94" t="n">
        <v>0</v>
      </c>
      <c r="E46" s="95" t="n">
        <f aca="false">D46*$C$28</f>
        <v>0</v>
      </c>
    </row>
    <row r="47" customFormat="false" ht="15" hidden="false" customHeight="true" outlineLevel="0" collapsed="false">
      <c r="B47" s="96" t="s">
        <v>679</v>
      </c>
      <c r="C47" s="97" t="str">
        <f aca="false">IF(ABS(D47-1)&lt;0.0001,"OK","MUST = 100%")</f>
        <v>OK</v>
      </c>
      <c r="D47" s="98" t="n">
        <f aca="false">SUM(D41:D46)</f>
        <v>1</v>
      </c>
      <c r="E47" s="99" t="n">
        <f aca="false">SUM(E41:E46)</f>
        <v>2241868.08029184</v>
      </c>
    </row>
    <row r="49" customFormat="false" ht="15" hidden="false" customHeight="true" outlineLevel="0" collapsed="false">
      <c r="B49" s="3" t="s">
        <v>680</v>
      </c>
      <c r="C49" s="3"/>
      <c r="D49" s="48" t="n">
        <f aca="false">NZ_ResynDate</f>
        <v>47119</v>
      </c>
      <c r="E49" s="49" t="s">
        <v>670</v>
      </c>
      <c r="F49" s="91" t="n">
        <f aca="false">D28</f>
        <v>2775646.19464704</v>
      </c>
      <c r="G49" s="3"/>
    </row>
    <row r="50" customFormat="false" ht="15" hidden="false" customHeight="true" outlineLevel="0" collapsed="false">
      <c r="B50" s="40" t="s">
        <v>671</v>
      </c>
      <c r="C50" s="40" t="s">
        <v>672</v>
      </c>
      <c r="D50" s="40" t="s">
        <v>673</v>
      </c>
      <c r="E50" s="40" t="s">
        <v>674</v>
      </c>
    </row>
    <row r="51" customFormat="false" ht="15" hidden="false" customHeight="true" outlineLevel="0" collapsed="false">
      <c r="B51" s="92" t="s">
        <v>675</v>
      </c>
      <c r="C51" s="93" t="n">
        <v>1</v>
      </c>
      <c r="D51" s="94" t="n">
        <v>0.2</v>
      </c>
      <c r="E51" s="95" t="n">
        <f aca="false">D51*$D$28</f>
        <v>555129.238929408</v>
      </c>
    </row>
    <row r="52" customFormat="false" ht="15" hidden="false" customHeight="true" outlineLevel="0" collapsed="false">
      <c r="B52" s="92" t="s">
        <v>676</v>
      </c>
      <c r="C52" s="93" t="n">
        <v>12</v>
      </c>
      <c r="D52" s="94" t="n">
        <v>0.5</v>
      </c>
      <c r="E52" s="95" t="n">
        <f aca="false">D52*$D$28</f>
        <v>1387823.09732352</v>
      </c>
    </row>
    <row r="53" customFormat="false" ht="15" hidden="false" customHeight="true" outlineLevel="0" collapsed="false">
      <c r="B53" s="92" t="s">
        <v>677</v>
      </c>
      <c r="C53" s="93" t="n">
        <v>18</v>
      </c>
      <c r="D53" s="94" t="n">
        <v>0.3</v>
      </c>
      <c r="E53" s="95" t="n">
        <f aca="false">D53*$D$28</f>
        <v>832693.858394112</v>
      </c>
    </row>
    <row r="54" customFormat="false" ht="15" hidden="false" customHeight="true" outlineLevel="0" collapsed="false">
      <c r="B54" s="92" t="s">
        <v>678</v>
      </c>
      <c r="C54" s="93"/>
      <c r="D54" s="94" t="n">
        <v>0</v>
      </c>
      <c r="E54" s="95" t="n">
        <f aca="false">D54*$D$28</f>
        <v>0</v>
      </c>
    </row>
    <row r="55" customFormat="false" ht="15" hidden="false" customHeight="true" outlineLevel="0" collapsed="false">
      <c r="B55" s="92" t="s">
        <v>678</v>
      </c>
      <c r="C55" s="93"/>
      <c r="D55" s="94" t="n">
        <v>0</v>
      </c>
      <c r="E55" s="95" t="n">
        <f aca="false">D55*$D$28</f>
        <v>0</v>
      </c>
    </row>
    <row r="56" customFormat="false" ht="15" hidden="false" customHeight="true" outlineLevel="0" collapsed="false">
      <c r="B56" s="92" t="s">
        <v>678</v>
      </c>
      <c r="C56" s="93"/>
      <c r="D56" s="94" t="n">
        <v>0</v>
      </c>
      <c r="E56" s="95" t="n">
        <f aca="false">D56*$D$28</f>
        <v>0</v>
      </c>
    </row>
    <row r="57" customFormat="false" ht="15" hidden="false" customHeight="true" outlineLevel="0" collapsed="false">
      <c r="B57" s="96" t="s">
        <v>679</v>
      </c>
      <c r="C57" s="97" t="str">
        <f aca="false">IF(ABS(D57-1)&lt;0.0001,"OK","MUST = 100%")</f>
        <v>OK</v>
      </c>
      <c r="D57" s="98" t="n">
        <f aca="false">SUM(D51:D56)</f>
        <v>1</v>
      </c>
      <c r="E57" s="99" t="n">
        <f aca="false">SUM(E51:E56)</f>
        <v>2775646.19464704</v>
      </c>
    </row>
    <row r="59" customFormat="false" ht="15" hidden="false" customHeight="true" outlineLevel="0" collapsed="false">
      <c r="B59" s="3" t="s">
        <v>681</v>
      </c>
      <c r="C59" s="3"/>
      <c r="D59" s="48" t="n">
        <f aca="false">LOM_ResynDate</f>
        <v>47119</v>
      </c>
      <c r="E59" s="49" t="s">
        <v>670</v>
      </c>
      <c r="F59" s="91" t="n">
        <f aca="false">E28</f>
        <v>4110858.97162998</v>
      </c>
      <c r="G59" s="3"/>
    </row>
    <row r="60" customFormat="false" ht="15" hidden="false" customHeight="true" outlineLevel="0" collapsed="false">
      <c r="B60" s="40" t="s">
        <v>671</v>
      </c>
      <c r="C60" s="40" t="s">
        <v>672</v>
      </c>
      <c r="D60" s="40" t="s">
        <v>673</v>
      </c>
      <c r="E60" s="40" t="s">
        <v>674</v>
      </c>
    </row>
    <row r="61" customFormat="false" ht="15" hidden="false" customHeight="true" outlineLevel="0" collapsed="false">
      <c r="B61" s="92" t="s">
        <v>675</v>
      </c>
      <c r="C61" s="93" t="n">
        <v>1</v>
      </c>
      <c r="D61" s="94" t="n">
        <v>0.2</v>
      </c>
      <c r="E61" s="95" t="n">
        <f aca="false">D61*$E$28</f>
        <v>822171.794325996</v>
      </c>
    </row>
    <row r="62" customFormat="false" ht="15" hidden="false" customHeight="true" outlineLevel="0" collapsed="false">
      <c r="B62" s="92" t="s">
        <v>676</v>
      </c>
      <c r="C62" s="93" t="n">
        <v>15</v>
      </c>
      <c r="D62" s="94" t="n">
        <v>0.5</v>
      </c>
      <c r="E62" s="95" t="n">
        <f aca="false">D62*$E$28</f>
        <v>2055429.48581499</v>
      </c>
    </row>
    <row r="63" customFormat="false" ht="15" hidden="false" customHeight="true" outlineLevel="0" collapsed="false">
      <c r="B63" s="92" t="s">
        <v>677</v>
      </c>
      <c r="C63" s="93" t="n">
        <v>21</v>
      </c>
      <c r="D63" s="94" t="n">
        <v>0.3</v>
      </c>
      <c r="E63" s="95" t="n">
        <f aca="false">D63*$E$28</f>
        <v>1233257.69148899</v>
      </c>
    </row>
    <row r="64" customFormat="false" ht="15" hidden="false" customHeight="true" outlineLevel="0" collapsed="false">
      <c r="B64" s="92" t="s">
        <v>678</v>
      </c>
      <c r="C64" s="93"/>
      <c r="D64" s="94" t="n">
        <v>0</v>
      </c>
      <c r="E64" s="95" t="n">
        <f aca="false">D64*$E$28</f>
        <v>0</v>
      </c>
    </row>
    <row r="65" customFormat="false" ht="15" hidden="false" customHeight="true" outlineLevel="0" collapsed="false">
      <c r="B65" s="92" t="s">
        <v>678</v>
      </c>
      <c r="C65" s="93"/>
      <c r="D65" s="94" t="n">
        <v>0</v>
      </c>
      <c r="E65" s="95" t="n">
        <f aca="false">D65*$E$28</f>
        <v>0</v>
      </c>
    </row>
    <row r="66" customFormat="false" ht="15" hidden="false" customHeight="true" outlineLevel="0" collapsed="false">
      <c r="B66" s="92" t="s">
        <v>678</v>
      </c>
      <c r="C66" s="93"/>
      <c r="D66" s="94" t="n">
        <v>0</v>
      </c>
      <c r="E66" s="95" t="n">
        <f aca="false">D66*$E$28</f>
        <v>0</v>
      </c>
    </row>
    <row r="67" customFormat="false" ht="15" hidden="false" customHeight="true" outlineLevel="0" collapsed="false">
      <c r="B67" s="96" t="s">
        <v>679</v>
      </c>
      <c r="C67" s="97" t="str">
        <f aca="false">IF(ABS(D67-1)&lt;0.0001,"OK","MUST = 100%")</f>
        <v>OK</v>
      </c>
      <c r="D67" s="98" t="n">
        <f aca="false">SUM(D61:D66)</f>
        <v>1</v>
      </c>
      <c r="E67" s="99" t="n">
        <f aca="false">SUM(E61:E66)</f>
        <v>4110858.97162998</v>
      </c>
    </row>
    <row r="69" customFormat="false" ht="15" hidden="false" customHeight="true" outlineLevel="0" collapsed="false">
      <c r="B69" s="3" t="s">
        <v>682</v>
      </c>
      <c r="C69" s="3"/>
      <c r="D69" s="48" t="n">
        <f aca="false">SA_ResynDate</f>
        <v>46357</v>
      </c>
      <c r="E69" s="49" t="s">
        <v>670</v>
      </c>
      <c r="F69" s="91" t="n">
        <f aca="false">F28</f>
        <v>5117769.77551488</v>
      </c>
      <c r="G69" s="3"/>
    </row>
    <row r="70" customFormat="false" ht="15" hidden="false" customHeight="true" outlineLevel="0" collapsed="false">
      <c r="B70" s="40" t="s">
        <v>671</v>
      </c>
      <c r="C70" s="40" t="s">
        <v>672</v>
      </c>
      <c r="D70" s="40" t="s">
        <v>673</v>
      </c>
      <c r="E70" s="40" t="s">
        <v>674</v>
      </c>
    </row>
    <row r="71" customFormat="false" ht="15" hidden="false" customHeight="true" outlineLevel="0" collapsed="false">
      <c r="B71" s="92" t="s">
        <v>675</v>
      </c>
      <c r="C71" s="93" t="n">
        <v>1</v>
      </c>
      <c r="D71" s="94" t="n">
        <v>0.2</v>
      </c>
      <c r="E71" s="95" t="n">
        <f aca="false">D71*$F$28</f>
        <v>1023553.95510298</v>
      </c>
    </row>
    <row r="72" customFormat="false" ht="15" hidden="false" customHeight="true" outlineLevel="0" collapsed="false">
      <c r="B72" s="92" t="s">
        <v>676</v>
      </c>
      <c r="C72" s="93" t="n">
        <v>18</v>
      </c>
      <c r="D72" s="94" t="n">
        <v>0.5</v>
      </c>
      <c r="E72" s="95" t="n">
        <f aca="false">D72*$F$28</f>
        <v>2558884.88775744</v>
      </c>
    </row>
    <row r="73" customFormat="false" ht="15" hidden="false" customHeight="true" outlineLevel="0" collapsed="false">
      <c r="B73" s="92" t="s">
        <v>677</v>
      </c>
      <c r="C73" s="93" t="n">
        <v>24</v>
      </c>
      <c r="D73" s="94" t="n">
        <v>0.3</v>
      </c>
      <c r="E73" s="95" t="n">
        <f aca="false">D73*$F$28</f>
        <v>1535330.93265446</v>
      </c>
    </row>
    <row r="74" customFormat="false" ht="15" hidden="false" customHeight="true" outlineLevel="0" collapsed="false">
      <c r="B74" s="92" t="s">
        <v>678</v>
      </c>
      <c r="C74" s="93"/>
      <c r="D74" s="94" t="n">
        <v>0</v>
      </c>
      <c r="E74" s="95" t="n">
        <f aca="false">D74*$F$28</f>
        <v>0</v>
      </c>
    </row>
    <row r="75" customFormat="false" ht="15" hidden="false" customHeight="true" outlineLevel="0" collapsed="false">
      <c r="B75" s="92" t="s">
        <v>678</v>
      </c>
      <c r="C75" s="93"/>
      <c r="D75" s="94" t="n">
        <v>0</v>
      </c>
      <c r="E75" s="95" t="n">
        <f aca="false">D75*$F$28</f>
        <v>0</v>
      </c>
    </row>
    <row r="76" customFormat="false" ht="15" hidden="false" customHeight="true" outlineLevel="0" collapsed="false">
      <c r="B76" s="92" t="s">
        <v>678</v>
      </c>
      <c r="C76" s="93"/>
      <c r="D76" s="94" t="n">
        <v>0</v>
      </c>
      <c r="E76" s="95" t="n">
        <f aca="false">D76*$F$28</f>
        <v>0</v>
      </c>
    </row>
    <row r="77" customFormat="false" ht="15" hidden="false" customHeight="true" outlineLevel="0" collapsed="false">
      <c r="B77" s="96" t="s">
        <v>679</v>
      </c>
      <c r="C77" s="97" t="str">
        <f aca="false">IF(ABS(D77-1)&lt;0.0001,"OK","MUST = 100%")</f>
        <v>OK</v>
      </c>
      <c r="D77" s="98" t="n">
        <f aca="false">SUM(D71:D76)</f>
        <v>1</v>
      </c>
      <c r="E77" s="99" t="n">
        <f aca="false">SUM(E71:E76)</f>
        <v>5117769.77551488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.43"/>
    <col collapsed="false" customWidth="true" hidden="false" outlineLevel="0" max="2" min="2" style="1" width="34"/>
    <col collapsed="false" customWidth="true" hidden="false" outlineLevel="0" max="11" min="3" style="1" width="12"/>
    <col collapsed="false" customWidth="true" hidden="false" outlineLevel="0" max="12" min="12" style="1" width="13"/>
  </cols>
  <sheetData>
    <row r="1" customFormat="false" ht="17.25" hidden="false" customHeight="true" outlineLevel="0" collapsed="false">
      <c r="A1" s="11" t="s">
        <v>683</v>
      </c>
    </row>
    <row r="2" customFormat="false" ht="15" hidden="false" customHeight="true" outlineLevel="0" collapsed="false">
      <c r="B2" s="36" t="s">
        <v>684</v>
      </c>
      <c r="K2" s="19" t="s">
        <v>685</v>
      </c>
      <c r="L2" s="21" t="n">
        <f aca="false">SUM(CH_BridgeCF,NZ_BridgeCF,LOM_BridgeCF,SA_BridgeCF)</f>
        <v>292087.396903712</v>
      </c>
    </row>
    <row r="4" customFormat="false" ht="15" hidden="false" customHeight="true" outlineLevel="0" collapsed="false">
      <c r="B4" s="3" t="s">
        <v>686</v>
      </c>
      <c r="C4" s="3"/>
      <c r="D4" s="3"/>
      <c r="E4" s="3"/>
      <c r="F4" s="3"/>
      <c r="G4" s="3"/>
      <c r="H4" s="48" t="n">
        <f aca="false">CH_AcqDate</f>
        <v>46357</v>
      </c>
      <c r="I4" s="48" t="n">
        <f aca="false">CH_ResynDate</f>
        <v>46753</v>
      </c>
      <c r="J4" s="49" t="s">
        <v>687</v>
      </c>
      <c r="K4" s="100" t="n">
        <v>8496.64</v>
      </c>
      <c r="L4" s="3"/>
    </row>
    <row r="5" customFormat="false" ht="15" hidden="false" customHeight="true" outlineLevel="0" collapsed="false">
      <c r="B5" s="40" t="s">
        <v>688</v>
      </c>
      <c r="C5" s="82" t="s">
        <v>689</v>
      </c>
      <c r="D5" s="82" t="s">
        <v>690</v>
      </c>
      <c r="E5" s="82" t="s">
        <v>691</v>
      </c>
      <c r="F5" s="82" t="s">
        <v>692</v>
      </c>
      <c r="G5" s="82" t="s">
        <v>693</v>
      </c>
      <c r="H5" s="82" t="s">
        <v>694</v>
      </c>
      <c r="I5" s="82" t="s">
        <v>695</v>
      </c>
      <c r="J5" s="82" t="s">
        <v>696</v>
      </c>
      <c r="K5" s="82" t="s">
        <v>697</v>
      </c>
      <c r="L5" s="82" t="s">
        <v>613</v>
      </c>
    </row>
    <row r="6" customFormat="false" ht="15" hidden="false" customHeight="true" outlineLevel="0" collapsed="false">
      <c r="B6" s="13" t="s">
        <v>698</v>
      </c>
      <c r="C6" s="83" t="n">
        <f aca="false">EDATE(CH_AcqDate,0)</f>
        <v>46357</v>
      </c>
      <c r="D6" s="83" t="n">
        <f aca="false">EDATE(CH_AcqDate,3)</f>
        <v>46447</v>
      </c>
      <c r="E6" s="83" t="n">
        <f aca="false">EDATE(CH_AcqDate,6)</f>
        <v>46539</v>
      </c>
      <c r="F6" s="83" t="n">
        <f aca="false">EDATE(CH_AcqDate,9)</f>
        <v>46631</v>
      </c>
      <c r="G6" s="83" t="n">
        <f aca="false">EDATE(CH_AcqDate,12)</f>
        <v>46722</v>
      </c>
      <c r="H6" s="83" t="n">
        <f aca="false">EDATE(CH_AcqDate,15)</f>
        <v>46813</v>
      </c>
      <c r="I6" s="83" t="n">
        <f aca="false">EDATE(CH_AcqDate,18)</f>
        <v>46905</v>
      </c>
      <c r="J6" s="83" t="n">
        <f aca="false">EDATE(CH_AcqDate,21)</f>
        <v>46997</v>
      </c>
      <c r="K6" s="83" t="n">
        <f aca="false">EDATE(CH_AcqDate,24)</f>
        <v>47088</v>
      </c>
    </row>
    <row r="7" customFormat="false" ht="15" hidden="false" customHeight="true" outlineLevel="0" collapsed="false">
      <c r="B7" s="13" t="s">
        <v>699</v>
      </c>
      <c r="C7" s="26" t="n">
        <f aca="false">MAX(0,MIN(3,CH_BridgeMonths-0))</f>
        <v>3</v>
      </c>
      <c r="D7" s="26" t="n">
        <f aca="false">MAX(0,MIN(3,CH_BridgeMonths-3))</f>
        <v>3</v>
      </c>
      <c r="E7" s="26" t="n">
        <f aca="false">MAX(0,MIN(3,CH_BridgeMonths-6))</f>
        <v>3</v>
      </c>
      <c r="F7" s="26" t="n">
        <f aca="false">MAX(0,MIN(3,CH_BridgeMonths-9))</f>
        <v>3</v>
      </c>
      <c r="G7" s="26" t="n">
        <f aca="false">MAX(0,MIN(3,CH_BridgeMonths-12))</f>
        <v>1</v>
      </c>
      <c r="H7" s="26" t="n">
        <f aca="false">MAX(0,MIN(3,CH_BridgeMonths-15))</f>
        <v>0</v>
      </c>
      <c r="I7" s="26" t="n">
        <f aca="false">MAX(0,MIN(3,CH_BridgeMonths-18))</f>
        <v>0</v>
      </c>
      <c r="J7" s="26" t="n">
        <f aca="false">MAX(0,MIN(3,CH_BridgeMonths-21))</f>
        <v>0</v>
      </c>
      <c r="K7" s="26" t="n">
        <f aca="false">MAX(0,MIN(3,CH_BridgeMonths-24))</f>
        <v>0</v>
      </c>
      <c r="L7" s="101" t="n">
        <f aca="false">SUM(C7:K7)</f>
        <v>13</v>
      </c>
    </row>
    <row r="8" customFormat="false" ht="15" hidden="false" customHeight="true" outlineLevel="0" collapsed="false">
      <c r="B8" s="13" t="s">
        <v>700</v>
      </c>
      <c r="C8" s="26" t="n">
        <f aca="false">ROUNDDOWN(YEARFRAC(CH_SchedDate,C6),0)</f>
        <v>0</v>
      </c>
      <c r="D8" s="26" t="n">
        <f aca="false">ROUNDDOWN(YEARFRAC(CH_SchedDate,D6),0)</f>
        <v>0</v>
      </c>
      <c r="E8" s="26" t="n">
        <f aca="false">ROUNDDOWN(YEARFRAC(CH_SchedDate,E6),0)</f>
        <v>0</v>
      </c>
      <c r="F8" s="26" t="n">
        <f aca="false">ROUNDDOWN(YEARFRAC(CH_SchedDate,F6),0)</f>
        <v>1</v>
      </c>
      <c r="G8" s="26" t="n">
        <f aca="false">ROUNDDOWN(YEARFRAC(CH_SchedDate,G6),0)</f>
        <v>1</v>
      </c>
      <c r="H8" s="26" t="n">
        <f aca="false">ROUNDDOWN(YEARFRAC(CH_SchedDate,H6),0)</f>
        <v>1</v>
      </c>
      <c r="I8" s="26" t="n">
        <f aca="false">ROUNDDOWN(YEARFRAC(CH_SchedDate,I6),0)</f>
        <v>1</v>
      </c>
      <c r="J8" s="26" t="n">
        <f aca="false">ROUNDDOWN(YEARFRAC(CH_SchedDate,J6),0)</f>
        <v>2</v>
      </c>
      <c r="K8" s="26" t="n">
        <f aca="false">ROUNDDOWN(YEARFRAC(CH_SchedDate,K6),0)</f>
        <v>2</v>
      </c>
    </row>
    <row r="9" customFormat="false" ht="15" hidden="false" customHeight="true" outlineLevel="0" collapsed="false">
      <c r="B9" s="13" t="s">
        <v>701</v>
      </c>
      <c r="C9" s="37" t="n">
        <f aca="false">(CH_CurMonthly)*IF(C8&lt;=0,1,(1+CH_Y1OCAF*OCAFHaircut)*(1+OCAF*OCAFHaircut)^(C8-1))</f>
        <v>86752</v>
      </c>
      <c r="D9" s="37" t="n">
        <f aca="false">(CH_CurMonthly)*IF(D8&lt;=0,1,(1+CH_Y1OCAF*OCAFHaircut)*(1+OCAF*OCAFHaircut)^(D8-1))</f>
        <v>86752</v>
      </c>
      <c r="E9" s="37" t="n">
        <f aca="false">(CH_CurMonthly)*IF(E8&lt;=0,1,(1+CH_Y1OCAF*OCAFHaircut)*(1+OCAF*OCAFHaircut)^(E8-1))</f>
        <v>86752</v>
      </c>
      <c r="F9" s="37" t="n">
        <f aca="false">(CH_CurMonthly)*IF(F8&lt;=0,1,(1+CH_Y1OCAF*OCAFHaircut)*(1+OCAF*OCAFHaircut)^(F8-1))</f>
        <v>88378.6</v>
      </c>
      <c r="G9" s="37" t="n">
        <f aca="false">(CH_CurMonthly)*IF(G8&lt;=0,1,(1+CH_Y1OCAF*OCAFHaircut)*(1+OCAF*OCAFHaircut)^(G8-1))</f>
        <v>88378.6</v>
      </c>
      <c r="H9" s="37" t="n">
        <f aca="false">(CH_CurMonthly)*IF(H8&lt;=0,1,(1+CH_Y1OCAF*OCAFHaircut)*(1+OCAF*OCAFHaircut)^(H8-1))</f>
        <v>88378.6</v>
      </c>
      <c r="I9" s="37" t="n">
        <f aca="false">(CH_CurMonthly)*IF(I8&lt;=0,1,(1+CH_Y1OCAF*OCAFHaircut)*(1+OCAF*OCAFHaircut)^(I8-1))</f>
        <v>88378.6</v>
      </c>
      <c r="J9" s="37" t="n">
        <f aca="false">(CH_CurMonthly)*IF(J8&lt;=0,1,(1+CH_Y1OCAF*OCAFHaircut)*(1+OCAF*OCAFHaircut)^(J8-1))</f>
        <v>90035.69875</v>
      </c>
      <c r="K9" s="37" t="n">
        <f aca="false">(CH_CurMonthly)*IF(K8&lt;=0,1,(1+CH_Y1OCAF*OCAFHaircut)*(1+OCAF*OCAFHaircut)^(K8-1))</f>
        <v>90035.69875</v>
      </c>
    </row>
    <row r="10" customFormat="false" ht="15" hidden="false" customHeight="true" outlineLevel="0" collapsed="false">
      <c r="B10" s="13" t="s">
        <v>702</v>
      </c>
      <c r="C10" s="37" t="n">
        <f aca="false">(C9*(1-CH_VacHAP)+CH_OtherInc/12)*C7</f>
        <v>254238.6108</v>
      </c>
      <c r="D10" s="37" t="n">
        <f aca="false">(D9*(1-CH_VacHAP)+CH_OtherInc/12)*D7</f>
        <v>254238.6108</v>
      </c>
      <c r="E10" s="37" t="n">
        <f aca="false">(E9*(1-CH_VacHAP)+CH_OtherInc/12)*E7</f>
        <v>254238.6108</v>
      </c>
      <c r="F10" s="37" t="n">
        <f aca="false">(F9*(1-CH_VacHAP)+CH_OtherInc/12)*F7</f>
        <v>258944.20194</v>
      </c>
      <c r="G10" s="37" t="n">
        <f aca="false">(G9*(1-CH_VacHAP)+CH_OtherInc/12)*G7</f>
        <v>86314.73398</v>
      </c>
      <c r="H10" s="37" t="n">
        <f aca="false">(H9*(1-CH_VacHAP)+CH_OtherInc/12)*H7</f>
        <v>0</v>
      </c>
      <c r="I10" s="37" t="n">
        <f aca="false">(I9*(1-CH_VacHAP)+CH_OtherInc/12)*I7</f>
        <v>0</v>
      </c>
      <c r="J10" s="37" t="n">
        <f aca="false">(J9*(1-CH_VacHAP)+CH_OtherInc/12)*J7</f>
        <v>0</v>
      </c>
      <c r="K10" s="37" t="n">
        <f aca="false">(K9*(1-CH_VacHAP)+CH_OtherInc/12)*K7</f>
        <v>0</v>
      </c>
      <c r="L10" s="21" t="n">
        <f aca="false">SUM(C10:K10)</f>
        <v>1107974.76832</v>
      </c>
    </row>
    <row r="11" customFormat="false" ht="15" hidden="false" customHeight="true" outlineLevel="0" collapsed="false">
      <c r="B11" s="13" t="s">
        <v>703</v>
      </c>
      <c r="C11" s="37" t="n">
        <f aca="false">-'Expense Detail'!$D$40/12*C7*(1+ExpGrowth)^(0/12)</f>
        <v>-233416</v>
      </c>
      <c r="D11" s="37" t="n">
        <f aca="false">-'Expense Detail'!$D$40/12*D7*(1+ExpGrowth)^(3/12)</f>
        <v>-235147.263226071</v>
      </c>
      <c r="E11" s="37" t="n">
        <f aca="false">-'Expense Detail'!$D$40/12*E7*(1+ExpGrowth)^(6/12)</f>
        <v>-236891.367355757</v>
      </c>
      <c r="F11" s="37" t="n">
        <f aca="false">-'Expense Detail'!$D$40/12*F7*(1+ExpGrowth)^(9/12)</f>
        <v>-238648.40763096</v>
      </c>
      <c r="G11" s="37" t="n">
        <f aca="false">-'Expense Detail'!$D$40/12*G7*(1+ExpGrowth)^(12/12)</f>
        <v>-80139.4933333333</v>
      </c>
      <c r="H11" s="37" t="n">
        <f aca="false">-'Expense Detail'!$D$40/12*H7*(1+ExpGrowth)^(15/12)</f>
        <v>-0</v>
      </c>
      <c r="I11" s="37" t="n">
        <f aca="false">-'Expense Detail'!$D$40/12*I7*(1+ExpGrowth)^(18/12)</f>
        <v>-0</v>
      </c>
      <c r="J11" s="37" t="n">
        <f aca="false">-'Expense Detail'!$D$40/12*J7*(1+ExpGrowth)^(21/12)</f>
        <v>-0</v>
      </c>
      <c r="K11" s="37" t="n">
        <f aca="false">-'Expense Detail'!$D$40/12*K7*(1+ExpGrowth)^(24/12)</f>
        <v>-0</v>
      </c>
      <c r="L11" s="21" t="n">
        <f aca="false">SUM(C11:K11)</f>
        <v>-1024242.53154612</v>
      </c>
    </row>
    <row r="12" customFormat="false" ht="15" hidden="false" customHeight="true" outlineLevel="0" collapsed="false">
      <c r="B12" s="13" t="s">
        <v>704</v>
      </c>
      <c r="C12" s="37" t="n">
        <f aca="false">-'Expense Detail'!$D$41/12*C7</f>
        <v>-4734.25</v>
      </c>
      <c r="D12" s="37" t="n">
        <f aca="false">-'Expense Detail'!$D$41/12*D7</f>
        <v>-4734.25</v>
      </c>
      <c r="E12" s="37" t="n">
        <f aca="false">-'Expense Detail'!$D$41/12*E7</f>
        <v>-4734.25</v>
      </c>
      <c r="F12" s="37" t="n">
        <f aca="false">-'Expense Detail'!$D$41/12*F7</f>
        <v>-4734.25</v>
      </c>
      <c r="G12" s="37" t="n">
        <f aca="false">-'Expense Detail'!$D$41/12*G7</f>
        <v>-1578.08333333333</v>
      </c>
      <c r="H12" s="37" t="n">
        <f aca="false">-'Expense Detail'!$D$41/12*H7</f>
        <v>-0</v>
      </c>
      <c r="I12" s="37" t="n">
        <f aca="false">-'Expense Detail'!$D$41/12*I7</f>
        <v>-0</v>
      </c>
      <c r="J12" s="37" t="n">
        <f aca="false">-'Expense Detail'!$D$41/12*J7</f>
        <v>-0</v>
      </c>
      <c r="K12" s="37" t="n">
        <f aca="false">-'Expense Detail'!$D$41/12*K7</f>
        <v>-0</v>
      </c>
      <c r="L12" s="84" t="n">
        <f aca="false">SUM(C12:K12)</f>
        <v>-20515.0833333333</v>
      </c>
    </row>
    <row r="13" customFormat="false" ht="15" hidden="false" customHeight="true" outlineLevel="0" collapsed="false">
      <c r="B13" s="19" t="s">
        <v>705</v>
      </c>
      <c r="C13" s="84" t="n">
        <f aca="false">SUM(C10:C12)</f>
        <v>16088.3608</v>
      </c>
      <c r="D13" s="84" t="n">
        <f aca="false">SUM(D10:D12)</f>
        <v>14357.0975739287</v>
      </c>
      <c r="E13" s="84" t="n">
        <f aca="false">SUM(E10:E12)</f>
        <v>12612.9934442435</v>
      </c>
      <c r="F13" s="84" t="n">
        <f aca="false">SUM(F10:F12)</f>
        <v>15561.5443090405</v>
      </c>
      <c r="G13" s="84" t="n">
        <f aca="false">SUM(G10:G12)</f>
        <v>4597.15731333334</v>
      </c>
      <c r="H13" s="84" t="n">
        <f aca="false">SUM(H10:H12)</f>
        <v>0</v>
      </c>
      <c r="I13" s="84" t="n">
        <f aca="false">SUM(I10:I12)</f>
        <v>0</v>
      </c>
      <c r="J13" s="84" t="n">
        <f aca="false">SUM(J10:J12)</f>
        <v>0</v>
      </c>
      <c r="K13" s="84" t="n">
        <f aca="false">SUM(K10:K12)</f>
        <v>0</v>
      </c>
      <c r="L13" s="21" t="n">
        <f aca="false">SUM(C13:K13)</f>
        <v>63217.1534405461</v>
      </c>
    </row>
    <row r="14" customFormat="false" ht="15" hidden="false" customHeight="true" outlineLevel="0" collapsed="false">
      <c r="B14" s="13" t="s">
        <v>706</v>
      </c>
      <c r="C14" s="37" t="n">
        <f aca="false">-CH_NotePI*C7</f>
        <v>-25489.92</v>
      </c>
      <c r="D14" s="37" t="n">
        <f aca="false">-CH_NotePI*D7</f>
        <v>-25489.92</v>
      </c>
      <c r="E14" s="37" t="n">
        <f aca="false">-CH_NotePI*E7</f>
        <v>-25489.92</v>
      </c>
      <c r="F14" s="37" t="n">
        <f aca="false">-CH_NotePI*F7</f>
        <v>-25489.92</v>
      </c>
      <c r="G14" s="37" t="n">
        <f aca="false">-CH_NotePI*G7</f>
        <v>-8496.64</v>
      </c>
      <c r="H14" s="37" t="n">
        <f aca="false">-CH_NotePI*H7</f>
        <v>-0</v>
      </c>
      <c r="I14" s="37" t="n">
        <f aca="false">-CH_NotePI*I7</f>
        <v>-0</v>
      </c>
      <c r="J14" s="37" t="n">
        <f aca="false">-CH_NotePI*J7</f>
        <v>-0</v>
      </c>
      <c r="K14" s="37" t="n">
        <f aca="false">-CH_NotePI*K7</f>
        <v>-0</v>
      </c>
      <c r="L14" s="21" t="n">
        <f aca="false">SUM(C14:K14)</f>
        <v>-110456.32</v>
      </c>
    </row>
    <row r="15" customFormat="false" ht="15" hidden="false" customHeight="true" outlineLevel="0" collapsed="false">
      <c r="B15" s="19" t="s">
        <v>707</v>
      </c>
      <c r="C15" s="84" t="n">
        <f aca="false">C13+C14</f>
        <v>-9401.55919999997</v>
      </c>
      <c r="D15" s="84" t="n">
        <f aca="false">D13+D14</f>
        <v>-11132.8224260713</v>
      </c>
      <c r="E15" s="84" t="n">
        <f aca="false">E13+E14</f>
        <v>-12876.9265557565</v>
      </c>
      <c r="F15" s="84" t="n">
        <f aca="false">F13+F14</f>
        <v>-9928.3756909595</v>
      </c>
      <c r="G15" s="84" t="n">
        <f aca="false">G13+G14</f>
        <v>-3899.48268666666</v>
      </c>
      <c r="H15" s="84" t="n">
        <f aca="false">H13+H14</f>
        <v>0</v>
      </c>
      <c r="I15" s="84" t="n">
        <f aca="false">I13+I14</f>
        <v>0</v>
      </c>
      <c r="J15" s="84" t="n">
        <f aca="false">J13+J14</f>
        <v>0</v>
      </c>
      <c r="K15" s="84" t="n">
        <f aca="false">K13+K14</f>
        <v>0</v>
      </c>
      <c r="L15" s="21" t="n">
        <f aca="false">SUM(C15:K15)</f>
        <v>-47239.1665594539</v>
      </c>
    </row>
    <row r="16" customFormat="false" ht="15" hidden="false" customHeight="true" outlineLevel="0" collapsed="false">
      <c r="B16" s="13" t="s">
        <v>708</v>
      </c>
      <c r="C16" s="37" t="n">
        <f aca="false">C15</f>
        <v>-9401.55919999997</v>
      </c>
      <c r="D16" s="37" t="n">
        <f aca="false">D15+C16</f>
        <v>-20534.3816260712</v>
      </c>
      <c r="E16" s="37" t="n">
        <f aca="false">E15+D16</f>
        <v>-33411.3081818278</v>
      </c>
      <c r="F16" s="37" t="n">
        <f aca="false">F15+E16</f>
        <v>-43339.6838727873</v>
      </c>
      <c r="G16" s="37" t="n">
        <f aca="false">G15+F16</f>
        <v>-47239.1665594539</v>
      </c>
      <c r="H16" s="37" t="n">
        <f aca="false">H15+G16</f>
        <v>-47239.1665594539</v>
      </c>
      <c r="I16" s="37" t="n">
        <f aca="false">I15+H16</f>
        <v>-47239.1665594539</v>
      </c>
      <c r="J16" s="37" t="n">
        <f aca="false">J15+I16</f>
        <v>-47239.1665594539</v>
      </c>
      <c r="K16" s="37" t="n">
        <f aca="false">K15+J16</f>
        <v>-47239.1665594539</v>
      </c>
    </row>
    <row r="17" customFormat="false" ht="15" hidden="false" customHeight="true" outlineLevel="0" collapsed="false">
      <c r="B17" s="69" t="s">
        <v>709</v>
      </c>
      <c r="L17" s="102" t="n">
        <f aca="false">IF(L14=0,"n/a",-L13/L14)</f>
        <v>0.572327173678664</v>
      </c>
    </row>
    <row r="20" customFormat="false" ht="15" hidden="false" customHeight="true" outlineLevel="0" collapsed="false">
      <c r="B20" s="3" t="s">
        <v>710</v>
      </c>
      <c r="C20" s="3"/>
      <c r="D20" s="3"/>
      <c r="E20" s="3"/>
      <c r="F20" s="3"/>
      <c r="G20" s="3"/>
      <c r="H20" s="48" t="n">
        <f aca="false">NZ_AcqDate</f>
        <v>46357</v>
      </c>
      <c r="I20" s="48" t="n">
        <f aca="false">NZ_ResynDate</f>
        <v>47119</v>
      </c>
      <c r="J20" s="49" t="s">
        <v>687</v>
      </c>
      <c r="K20" s="100" t="n">
        <v>15212.08</v>
      </c>
      <c r="L20" s="3"/>
    </row>
    <row r="21" customFormat="false" ht="15" hidden="false" customHeight="true" outlineLevel="0" collapsed="false">
      <c r="B21" s="40" t="s">
        <v>688</v>
      </c>
      <c r="C21" s="82" t="s">
        <v>689</v>
      </c>
      <c r="D21" s="82" t="s">
        <v>690</v>
      </c>
      <c r="E21" s="82" t="s">
        <v>691</v>
      </c>
      <c r="F21" s="82" t="s">
        <v>692</v>
      </c>
      <c r="G21" s="82" t="s">
        <v>693</v>
      </c>
      <c r="H21" s="82" t="s">
        <v>694</v>
      </c>
      <c r="I21" s="82" t="s">
        <v>695</v>
      </c>
      <c r="J21" s="82" t="s">
        <v>696</v>
      </c>
      <c r="K21" s="82" t="s">
        <v>697</v>
      </c>
      <c r="L21" s="82" t="s">
        <v>613</v>
      </c>
    </row>
    <row r="22" customFormat="false" ht="15" hidden="false" customHeight="true" outlineLevel="0" collapsed="false">
      <c r="B22" s="13" t="s">
        <v>698</v>
      </c>
      <c r="C22" s="83" t="n">
        <f aca="false">EDATE(NZ_AcqDate,0)</f>
        <v>46357</v>
      </c>
      <c r="D22" s="83" t="n">
        <f aca="false">EDATE(NZ_AcqDate,3)</f>
        <v>46447</v>
      </c>
      <c r="E22" s="83" t="n">
        <f aca="false">EDATE(NZ_AcqDate,6)</f>
        <v>46539</v>
      </c>
      <c r="F22" s="83" t="n">
        <f aca="false">EDATE(NZ_AcqDate,9)</f>
        <v>46631</v>
      </c>
      <c r="G22" s="83" t="n">
        <f aca="false">EDATE(NZ_AcqDate,12)</f>
        <v>46722</v>
      </c>
      <c r="H22" s="83" t="n">
        <f aca="false">EDATE(NZ_AcqDate,15)</f>
        <v>46813</v>
      </c>
      <c r="I22" s="83" t="n">
        <f aca="false">EDATE(NZ_AcqDate,18)</f>
        <v>46905</v>
      </c>
      <c r="J22" s="83" t="n">
        <f aca="false">EDATE(NZ_AcqDate,21)</f>
        <v>46997</v>
      </c>
      <c r="K22" s="83" t="n">
        <f aca="false">EDATE(NZ_AcqDate,24)</f>
        <v>47088</v>
      </c>
    </row>
    <row r="23" customFormat="false" ht="15" hidden="false" customHeight="true" outlineLevel="0" collapsed="false">
      <c r="B23" s="13" t="s">
        <v>699</v>
      </c>
      <c r="C23" s="26" t="n">
        <f aca="false">MAX(0,MIN(3,NZ_BridgeMonths-0))</f>
        <v>3</v>
      </c>
      <c r="D23" s="26" t="n">
        <f aca="false">MAX(0,MIN(3,NZ_BridgeMonths-3))</f>
        <v>3</v>
      </c>
      <c r="E23" s="26" t="n">
        <f aca="false">MAX(0,MIN(3,NZ_BridgeMonths-6))</f>
        <v>3</v>
      </c>
      <c r="F23" s="26" t="n">
        <f aca="false">MAX(0,MIN(3,NZ_BridgeMonths-9))</f>
        <v>3</v>
      </c>
      <c r="G23" s="26" t="n">
        <f aca="false">MAX(0,MIN(3,NZ_BridgeMonths-12))</f>
        <v>3</v>
      </c>
      <c r="H23" s="26" t="n">
        <f aca="false">MAX(0,MIN(3,NZ_BridgeMonths-15))</f>
        <v>3</v>
      </c>
      <c r="I23" s="26" t="n">
        <f aca="false">MAX(0,MIN(3,NZ_BridgeMonths-18))</f>
        <v>3</v>
      </c>
      <c r="J23" s="26" t="n">
        <f aca="false">MAX(0,MIN(3,NZ_BridgeMonths-21))</f>
        <v>3</v>
      </c>
      <c r="K23" s="26" t="n">
        <f aca="false">MAX(0,MIN(3,NZ_BridgeMonths-24))</f>
        <v>1</v>
      </c>
      <c r="L23" s="101" t="n">
        <f aca="false">SUM(C23:K23)</f>
        <v>25</v>
      </c>
    </row>
    <row r="24" customFormat="false" ht="15" hidden="false" customHeight="true" outlineLevel="0" collapsed="false">
      <c r="B24" s="13" t="s">
        <v>700</v>
      </c>
      <c r="C24" s="26" t="n">
        <f aca="false">ROUNDDOWN(YEARFRAC(NZ_SchedDate,C22),0)</f>
        <v>0</v>
      </c>
      <c r="D24" s="26" t="n">
        <f aca="false">ROUNDDOWN(YEARFRAC(NZ_SchedDate,D22),0)</f>
        <v>1</v>
      </c>
      <c r="E24" s="26" t="n">
        <f aca="false">ROUNDDOWN(YEARFRAC(NZ_SchedDate,E22),0)</f>
        <v>1</v>
      </c>
      <c r="F24" s="26" t="n">
        <f aca="false">ROUNDDOWN(YEARFRAC(NZ_SchedDate,F22),0)</f>
        <v>1</v>
      </c>
      <c r="G24" s="26" t="n">
        <f aca="false">ROUNDDOWN(YEARFRAC(NZ_SchedDate,G22),0)</f>
        <v>1</v>
      </c>
      <c r="H24" s="26" t="n">
        <f aca="false">ROUNDDOWN(YEARFRAC(NZ_SchedDate,H22),0)</f>
        <v>2</v>
      </c>
      <c r="I24" s="26" t="n">
        <f aca="false">ROUNDDOWN(YEARFRAC(NZ_SchedDate,I22),0)</f>
        <v>2</v>
      </c>
      <c r="J24" s="26" t="n">
        <f aca="false">ROUNDDOWN(YEARFRAC(NZ_SchedDate,J22),0)</f>
        <v>2</v>
      </c>
      <c r="K24" s="26" t="n">
        <f aca="false">ROUNDDOWN(YEARFRAC(NZ_SchedDate,K22),0)</f>
        <v>2</v>
      </c>
    </row>
    <row r="25" customFormat="false" ht="15" hidden="false" customHeight="true" outlineLevel="0" collapsed="false">
      <c r="B25" s="13" t="s">
        <v>701</v>
      </c>
      <c r="C25" s="37" t="n">
        <f aca="false">(NZ_CurMonthly)*IF(C24&lt;=0,1,(1+NZ_Y1OCAF*OCAFHaircut)*(1+OCAF*OCAFHaircut)^(C24-1))</f>
        <v>97092</v>
      </c>
      <c r="D25" s="37" t="n">
        <f aca="false">(NZ_CurMonthly)*IF(D24&lt;=0,1,(1+NZ_Y1OCAF*OCAFHaircut)*(1+OCAF*OCAFHaircut)^(D24-1))</f>
        <v>104228.262</v>
      </c>
      <c r="E25" s="37" t="n">
        <f aca="false">(NZ_CurMonthly)*IF(E24&lt;=0,1,(1+NZ_Y1OCAF*OCAFHaircut)*(1+OCAF*OCAFHaircut)^(E24-1))</f>
        <v>104228.262</v>
      </c>
      <c r="F25" s="37" t="n">
        <f aca="false">(NZ_CurMonthly)*IF(F24&lt;=0,1,(1+NZ_Y1OCAF*OCAFHaircut)*(1+OCAF*OCAFHaircut)^(F24-1))</f>
        <v>104228.262</v>
      </c>
      <c r="G25" s="37" t="n">
        <f aca="false">(NZ_CurMonthly)*IF(G24&lt;=0,1,(1+NZ_Y1OCAF*OCAFHaircut)*(1+OCAF*OCAFHaircut)^(G24-1))</f>
        <v>104228.262</v>
      </c>
      <c r="H25" s="37" t="n">
        <f aca="false">(NZ_CurMonthly)*IF(H24&lt;=0,1,(1+NZ_Y1OCAF*OCAFHaircut)*(1+OCAF*OCAFHaircut)^(H24-1))</f>
        <v>106182.5419125</v>
      </c>
      <c r="I25" s="37" t="n">
        <f aca="false">(NZ_CurMonthly)*IF(I24&lt;=0,1,(1+NZ_Y1OCAF*OCAFHaircut)*(1+OCAF*OCAFHaircut)^(I24-1))</f>
        <v>106182.5419125</v>
      </c>
      <c r="J25" s="37" t="n">
        <f aca="false">(NZ_CurMonthly)*IF(J24&lt;=0,1,(1+NZ_Y1OCAF*OCAFHaircut)*(1+OCAF*OCAFHaircut)^(J24-1))</f>
        <v>106182.5419125</v>
      </c>
      <c r="K25" s="37" t="n">
        <f aca="false">(NZ_CurMonthly)*IF(K24&lt;=0,1,(1+NZ_Y1OCAF*OCAFHaircut)*(1+OCAF*OCAFHaircut)^(K24-1))</f>
        <v>106182.5419125</v>
      </c>
    </row>
    <row r="26" customFormat="false" ht="15" hidden="false" customHeight="true" outlineLevel="0" collapsed="false">
      <c r="B26" s="13" t="s">
        <v>702</v>
      </c>
      <c r="C26" s="37" t="n">
        <f aca="false">(C25*(1-NZ_VacHAP)+NZ_OtherInc/12)*C23</f>
        <v>289094.73</v>
      </c>
      <c r="D26" s="37" t="n">
        <f aca="false">(D25*(1-NZ_VacHAP)+NZ_OtherInc/12)*D23</f>
        <v>310075.34028</v>
      </c>
      <c r="E26" s="37" t="n">
        <f aca="false">(E25*(1-NZ_VacHAP)+NZ_OtherInc/12)*E23</f>
        <v>310075.34028</v>
      </c>
      <c r="F26" s="37" t="n">
        <f aca="false">(F25*(1-NZ_VacHAP)+NZ_OtherInc/12)*F23</f>
        <v>310075.34028</v>
      </c>
      <c r="G26" s="37" t="n">
        <f aca="false">(G25*(1-NZ_VacHAP)+NZ_OtherInc/12)*G23</f>
        <v>310075.34028</v>
      </c>
      <c r="H26" s="37" t="n">
        <f aca="false">(H25*(1-NZ_VacHAP)+NZ_OtherInc/12)*H23</f>
        <v>315820.92322275</v>
      </c>
      <c r="I26" s="37" t="n">
        <f aca="false">(I25*(1-NZ_VacHAP)+NZ_OtherInc/12)*I23</f>
        <v>315820.92322275</v>
      </c>
      <c r="J26" s="37" t="n">
        <f aca="false">(J25*(1-NZ_VacHAP)+NZ_OtherInc/12)*J23</f>
        <v>315820.92322275</v>
      </c>
      <c r="K26" s="37" t="n">
        <f aca="false">(K25*(1-NZ_VacHAP)+NZ_OtherInc/12)*K23</f>
        <v>105273.64107425</v>
      </c>
      <c r="L26" s="21" t="n">
        <f aca="false">SUM(C26:K26)</f>
        <v>2582132.5018625</v>
      </c>
    </row>
    <row r="27" customFormat="false" ht="15" hidden="false" customHeight="true" outlineLevel="0" collapsed="false">
      <c r="B27" s="13" t="s">
        <v>703</v>
      </c>
      <c r="C27" s="37" t="n">
        <f aca="false">-'Expense Detail'!$D$80/12*C23*(1+ExpGrowth)^(0/12)</f>
        <v>-227847</v>
      </c>
      <c r="D27" s="37" t="n">
        <f aca="false">-'Expense Detail'!$D$80/12*D23*(1+ExpGrowth)^(3/12)</f>
        <v>-229536.957553341</v>
      </c>
      <c r="E27" s="37" t="n">
        <f aca="false">-'Expense Detail'!$D$80/12*E23*(1+ExpGrowth)^(6/12)</f>
        <v>-231239.449643157</v>
      </c>
      <c r="F27" s="37" t="n">
        <f aca="false">-'Expense Detail'!$D$80/12*F23*(1+ExpGrowth)^(9/12)</f>
        <v>-232954.569239003</v>
      </c>
      <c r="G27" s="37" t="n">
        <f aca="false">-'Expense Detail'!$D$80/12*G23*(1+ExpGrowth)^(12/12)</f>
        <v>-234682.41</v>
      </c>
      <c r="H27" s="37" t="n">
        <f aca="false">-'Expense Detail'!$D$80/12*H23*(1+ExpGrowth)^(15/12)</f>
        <v>-236423.066279941</v>
      </c>
      <c r="I27" s="37" t="n">
        <f aca="false">-'Expense Detail'!$D$80/12*I23*(1+ExpGrowth)^(18/12)</f>
        <v>-238176.633132451</v>
      </c>
      <c r="J27" s="37" t="n">
        <f aca="false">-'Expense Detail'!$D$80/12*J23*(1+ExpGrowth)^(21/12)</f>
        <v>-239943.206316174</v>
      </c>
      <c r="K27" s="37" t="n">
        <f aca="false">-'Expense Detail'!$D$80/12*K23*(1+ExpGrowth)^(24/12)</f>
        <v>-80574.2941</v>
      </c>
      <c r="L27" s="21" t="n">
        <f aca="false">SUM(C27:K27)</f>
        <v>-1951377.58626407</v>
      </c>
    </row>
    <row r="28" customFormat="false" ht="15" hidden="false" customHeight="true" outlineLevel="0" collapsed="false">
      <c r="B28" s="13" t="s">
        <v>704</v>
      </c>
      <c r="C28" s="37" t="n">
        <f aca="false">-'Expense Detail'!$D$81/12*C23</f>
        <v>-7620</v>
      </c>
      <c r="D28" s="37" t="n">
        <f aca="false">-'Expense Detail'!$D$81/12*D23</f>
        <v>-7620</v>
      </c>
      <c r="E28" s="37" t="n">
        <f aca="false">-'Expense Detail'!$D$81/12*E23</f>
        <v>-7620</v>
      </c>
      <c r="F28" s="37" t="n">
        <f aca="false">-'Expense Detail'!$D$81/12*F23</f>
        <v>-7620</v>
      </c>
      <c r="G28" s="37" t="n">
        <f aca="false">-'Expense Detail'!$D$81/12*G23</f>
        <v>-7620</v>
      </c>
      <c r="H28" s="37" t="n">
        <f aca="false">-'Expense Detail'!$D$81/12*H23</f>
        <v>-7620</v>
      </c>
      <c r="I28" s="37" t="n">
        <f aca="false">-'Expense Detail'!$D$81/12*I23</f>
        <v>-7620</v>
      </c>
      <c r="J28" s="37" t="n">
        <f aca="false">-'Expense Detail'!$D$81/12*J23</f>
        <v>-7620</v>
      </c>
      <c r="K28" s="37" t="n">
        <f aca="false">-'Expense Detail'!$D$81/12*K23</f>
        <v>-2540</v>
      </c>
      <c r="L28" s="84" t="n">
        <f aca="false">SUM(C28:K28)</f>
        <v>-63500</v>
      </c>
    </row>
    <row r="29" customFormat="false" ht="15" hidden="false" customHeight="true" outlineLevel="0" collapsed="false">
      <c r="B29" s="19" t="s">
        <v>705</v>
      </c>
      <c r="C29" s="84" t="n">
        <f aca="false">SUM(C26:C28)</f>
        <v>53627.73</v>
      </c>
      <c r="D29" s="84" t="n">
        <f aca="false">SUM(D26:D28)</f>
        <v>72918.382726659</v>
      </c>
      <c r="E29" s="84" t="n">
        <f aca="false">SUM(E26:E28)</f>
        <v>71215.8906368434</v>
      </c>
      <c r="F29" s="84" t="n">
        <f aca="false">SUM(F26:F28)</f>
        <v>69500.7710409966</v>
      </c>
      <c r="G29" s="84" t="n">
        <f aca="false">SUM(G26:G28)</f>
        <v>67772.9302800001</v>
      </c>
      <c r="H29" s="84" t="n">
        <f aca="false">SUM(H26:H28)</f>
        <v>71777.8569428087</v>
      </c>
      <c r="I29" s="84" t="n">
        <f aca="false">SUM(I26:I28)</f>
        <v>70024.2900902987</v>
      </c>
      <c r="J29" s="84" t="n">
        <f aca="false">SUM(J26:J28)</f>
        <v>68257.7169065765</v>
      </c>
      <c r="K29" s="84" t="n">
        <f aca="false">SUM(K26:K28)</f>
        <v>22159.34697425</v>
      </c>
      <c r="L29" s="21" t="n">
        <f aca="false">SUM(C29:K29)</f>
        <v>567254.915598433</v>
      </c>
    </row>
    <row r="30" customFormat="false" ht="15" hidden="false" customHeight="true" outlineLevel="0" collapsed="false">
      <c r="B30" s="13" t="s">
        <v>706</v>
      </c>
      <c r="C30" s="37" t="n">
        <f aca="false">-NZ_NotePI*C23</f>
        <v>-45636.24</v>
      </c>
      <c r="D30" s="37" t="n">
        <f aca="false">-NZ_NotePI*D23</f>
        <v>-45636.24</v>
      </c>
      <c r="E30" s="37" t="n">
        <f aca="false">-NZ_NotePI*E23</f>
        <v>-45636.24</v>
      </c>
      <c r="F30" s="37" t="n">
        <f aca="false">-NZ_NotePI*F23</f>
        <v>-45636.24</v>
      </c>
      <c r="G30" s="37" t="n">
        <f aca="false">-NZ_NotePI*G23</f>
        <v>-45636.24</v>
      </c>
      <c r="H30" s="37" t="n">
        <f aca="false">-NZ_NotePI*H23</f>
        <v>-45636.24</v>
      </c>
      <c r="I30" s="37" t="n">
        <f aca="false">-NZ_NotePI*I23</f>
        <v>-45636.24</v>
      </c>
      <c r="J30" s="37" t="n">
        <f aca="false">-NZ_NotePI*J23</f>
        <v>-45636.24</v>
      </c>
      <c r="K30" s="37" t="n">
        <f aca="false">-NZ_NotePI*K23</f>
        <v>-15212.08</v>
      </c>
      <c r="L30" s="21" t="n">
        <f aca="false">SUM(C30:K30)</f>
        <v>-380302</v>
      </c>
    </row>
    <row r="31" customFormat="false" ht="15" hidden="false" customHeight="true" outlineLevel="0" collapsed="false">
      <c r="B31" s="19" t="s">
        <v>707</v>
      </c>
      <c r="C31" s="84" t="n">
        <f aca="false">C29+C30</f>
        <v>7991.48999999998</v>
      </c>
      <c r="D31" s="84" t="n">
        <f aca="false">D29+D30</f>
        <v>27282.142726659</v>
      </c>
      <c r="E31" s="84" t="n">
        <f aca="false">E29+E30</f>
        <v>25579.6506368434</v>
      </c>
      <c r="F31" s="84" t="n">
        <f aca="false">F29+F30</f>
        <v>23864.5310409966</v>
      </c>
      <c r="G31" s="84" t="n">
        <f aca="false">G29+G30</f>
        <v>22136.6902800001</v>
      </c>
      <c r="H31" s="84" t="n">
        <f aca="false">H29+H30</f>
        <v>26141.6169428087</v>
      </c>
      <c r="I31" s="84" t="n">
        <f aca="false">I29+I30</f>
        <v>24388.0500902987</v>
      </c>
      <c r="J31" s="84" t="n">
        <f aca="false">J29+J30</f>
        <v>22621.4769065765</v>
      </c>
      <c r="K31" s="84" t="n">
        <f aca="false">K29+K30</f>
        <v>6947.26697425002</v>
      </c>
      <c r="L31" s="21" t="n">
        <f aca="false">SUM(C31:K31)</f>
        <v>186952.915598433</v>
      </c>
    </row>
    <row r="32" customFormat="false" ht="15" hidden="false" customHeight="true" outlineLevel="0" collapsed="false">
      <c r="B32" s="13" t="s">
        <v>708</v>
      </c>
      <c r="C32" s="37" t="n">
        <f aca="false">C31</f>
        <v>7991.48999999998</v>
      </c>
      <c r="D32" s="37" t="n">
        <f aca="false">D31+C32</f>
        <v>35273.6327266589</v>
      </c>
      <c r="E32" s="37" t="n">
        <f aca="false">E31+D32</f>
        <v>60853.2833635023</v>
      </c>
      <c r="F32" s="37" t="n">
        <f aca="false">F31+E32</f>
        <v>84717.8144044989</v>
      </c>
      <c r="G32" s="37" t="n">
        <f aca="false">G31+F32</f>
        <v>106854.504684499</v>
      </c>
      <c r="H32" s="37" t="n">
        <f aca="false">H31+G32</f>
        <v>132996.121627308</v>
      </c>
      <c r="I32" s="37" t="n">
        <f aca="false">I31+H32</f>
        <v>157384.171717606</v>
      </c>
      <c r="J32" s="37" t="n">
        <f aca="false">J31+I32</f>
        <v>180005.648624183</v>
      </c>
      <c r="K32" s="37" t="n">
        <f aca="false">K31+J32</f>
        <v>186952.915598433</v>
      </c>
    </row>
    <row r="33" customFormat="false" ht="15" hidden="false" customHeight="true" outlineLevel="0" collapsed="false">
      <c r="B33" s="69" t="s">
        <v>709</v>
      </c>
      <c r="L33" s="102" t="n">
        <f aca="false">IF(L30=0,"n/a",-L29/L30)</f>
        <v>1.49159067162001</v>
      </c>
    </row>
    <row r="36" customFormat="false" ht="15" hidden="false" customHeight="true" outlineLevel="0" collapsed="false">
      <c r="B36" s="3" t="s">
        <v>711</v>
      </c>
      <c r="C36" s="3"/>
      <c r="D36" s="3"/>
      <c r="E36" s="3"/>
      <c r="F36" s="3"/>
      <c r="G36" s="3"/>
      <c r="H36" s="48" t="n">
        <f aca="false">LOM_AcqDate</f>
        <v>46357</v>
      </c>
      <c r="I36" s="48" t="n">
        <f aca="false">LOM_ResynDate</f>
        <v>47119</v>
      </c>
      <c r="J36" s="49" t="s">
        <v>687</v>
      </c>
      <c r="K36" s="100" t="n">
        <v>23834.39</v>
      </c>
      <c r="L36" s="3"/>
    </row>
    <row r="37" customFormat="false" ht="15" hidden="false" customHeight="true" outlineLevel="0" collapsed="false">
      <c r="B37" s="40" t="s">
        <v>688</v>
      </c>
      <c r="C37" s="82" t="s">
        <v>689</v>
      </c>
      <c r="D37" s="82" t="s">
        <v>690</v>
      </c>
      <c r="E37" s="82" t="s">
        <v>691</v>
      </c>
      <c r="F37" s="82" t="s">
        <v>692</v>
      </c>
      <c r="G37" s="82" t="s">
        <v>693</v>
      </c>
      <c r="H37" s="82" t="s">
        <v>694</v>
      </c>
      <c r="I37" s="82" t="s">
        <v>695</v>
      </c>
      <c r="J37" s="82" t="s">
        <v>696</v>
      </c>
      <c r="K37" s="82" t="s">
        <v>697</v>
      </c>
      <c r="L37" s="82" t="s">
        <v>613</v>
      </c>
    </row>
    <row r="38" customFormat="false" ht="15" hidden="false" customHeight="true" outlineLevel="0" collapsed="false">
      <c r="B38" s="13" t="s">
        <v>698</v>
      </c>
      <c r="C38" s="83" t="n">
        <f aca="false">EDATE(LOM_AcqDate,0)</f>
        <v>46357</v>
      </c>
      <c r="D38" s="83" t="n">
        <f aca="false">EDATE(LOM_AcqDate,3)</f>
        <v>46447</v>
      </c>
      <c r="E38" s="83" t="n">
        <f aca="false">EDATE(LOM_AcqDate,6)</f>
        <v>46539</v>
      </c>
      <c r="F38" s="83" t="n">
        <f aca="false">EDATE(LOM_AcqDate,9)</f>
        <v>46631</v>
      </c>
      <c r="G38" s="83" t="n">
        <f aca="false">EDATE(LOM_AcqDate,12)</f>
        <v>46722</v>
      </c>
      <c r="H38" s="83" t="n">
        <f aca="false">EDATE(LOM_AcqDate,15)</f>
        <v>46813</v>
      </c>
      <c r="I38" s="83" t="n">
        <f aca="false">EDATE(LOM_AcqDate,18)</f>
        <v>46905</v>
      </c>
      <c r="J38" s="83" t="n">
        <f aca="false">EDATE(LOM_AcqDate,21)</f>
        <v>46997</v>
      </c>
      <c r="K38" s="83" t="n">
        <f aca="false">EDATE(LOM_AcqDate,24)</f>
        <v>47088</v>
      </c>
    </row>
    <row r="39" customFormat="false" ht="15" hidden="false" customHeight="true" outlineLevel="0" collapsed="false">
      <c r="B39" s="13" t="s">
        <v>699</v>
      </c>
      <c r="C39" s="26" t="n">
        <f aca="false">MAX(0,MIN(3,LOM_BridgeMonths-0))</f>
        <v>3</v>
      </c>
      <c r="D39" s="26" t="n">
        <f aca="false">MAX(0,MIN(3,LOM_BridgeMonths-3))</f>
        <v>3</v>
      </c>
      <c r="E39" s="26" t="n">
        <f aca="false">MAX(0,MIN(3,LOM_BridgeMonths-6))</f>
        <v>3</v>
      </c>
      <c r="F39" s="26" t="n">
        <f aca="false">MAX(0,MIN(3,LOM_BridgeMonths-9))</f>
        <v>3</v>
      </c>
      <c r="G39" s="26" t="n">
        <f aca="false">MAX(0,MIN(3,LOM_BridgeMonths-12))</f>
        <v>3</v>
      </c>
      <c r="H39" s="26" t="n">
        <f aca="false">MAX(0,MIN(3,LOM_BridgeMonths-15))</f>
        <v>3</v>
      </c>
      <c r="I39" s="26" t="n">
        <f aca="false">MAX(0,MIN(3,LOM_BridgeMonths-18))</f>
        <v>3</v>
      </c>
      <c r="J39" s="26" t="n">
        <f aca="false">MAX(0,MIN(3,LOM_BridgeMonths-21))</f>
        <v>3</v>
      </c>
      <c r="K39" s="26" t="n">
        <f aca="false">MAX(0,MIN(3,LOM_BridgeMonths-24))</f>
        <v>1</v>
      </c>
      <c r="L39" s="101" t="n">
        <f aca="false">SUM(C39:K39)</f>
        <v>25</v>
      </c>
    </row>
    <row r="40" customFormat="false" ht="15" hidden="false" customHeight="true" outlineLevel="0" collapsed="false">
      <c r="B40" s="13" t="s">
        <v>700</v>
      </c>
      <c r="C40" s="26" t="n">
        <f aca="false">ROUNDDOWN(YEARFRAC(LOM_SchedDate,C38),0)</f>
        <v>0</v>
      </c>
      <c r="D40" s="26" t="n">
        <f aca="false">ROUNDDOWN(YEARFRAC(LOM_SchedDate,D38),0)</f>
        <v>0</v>
      </c>
      <c r="E40" s="26" t="n">
        <f aca="false">ROUNDDOWN(YEARFRAC(LOM_SchedDate,E38),0)</f>
        <v>1</v>
      </c>
      <c r="F40" s="26" t="n">
        <f aca="false">ROUNDDOWN(YEARFRAC(LOM_SchedDate,F38),0)</f>
        <v>1</v>
      </c>
      <c r="G40" s="26" t="n">
        <f aca="false">ROUNDDOWN(YEARFRAC(LOM_SchedDate,G38),0)</f>
        <v>1</v>
      </c>
      <c r="H40" s="26" t="n">
        <f aca="false">ROUNDDOWN(YEARFRAC(LOM_SchedDate,H38),0)</f>
        <v>1</v>
      </c>
      <c r="I40" s="26" t="n">
        <f aca="false">ROUNDDOWN(YEARFRAC(LOM_SchedDate,I38),0)</f>
        <v>2</v>
      </c>
      <c r="J40" s="26" t="n">
        <f aca="false">ROUNDDOWN(YEARFRAC(LOM_SchedDate,J38),0)</f>
        <v>2</v>
      </c>
      <c r="K40" s="26" t="n">
        <f aca="false">ROUNDDOWN(YEARFRAC(LOM_SchedDate,K38),0)</f>
        <v>2</v>
      </c>
    </row>
    <row r="41" customFormat="false" ht="15" hidden="false" customHeight="true" outlineLevel="0" collapsed="false">
      <c r="B41" s="13" t="s">
        <v>701</v>
      </c>
      <c r="C41" s="37" t="n">
        <f aca="false">(LOM_CurMonthly)*IF(C40&lt;=0,1,(1+LOM_Y1OCAF*OCAFHaircut)*(1+OCAF*OCAFHaircut)^(C40-1))</f>
        <v>130789</v>
      </c>
      <c r="D41" s="37" t="n">
        <f aca="false">(LOM_CurMonthly)*IF(D40&lt;=0,1,(1+LOM_Y1OCAF*OCAFHaircut)*(1+OCAF*OCAFHaircut)^(D40-1))</f>
        <v>130789</v>
      </c>
      <c r="E41" s="37" t="n">
        <f aca="false">(LOM_CurMonthly)*IF(E40&lt;=0,1,(1+LOM_Y1OCAF*OCAFHaircut)*(1+OCAF*OCAFHaircut)^(E40-1))</f>
        <v>133241.29375</v>
      </c>
      <c r="F41" s="37" t="n">
        <f aca="false">(LOM_CurMonthly)*IF(F40&lt;=0,1,(1+LOM_Y1OCAF*OCAFHaircut)*(1+OCAF*OCAFHaircut)^(F40-1))</f>
        <v>133241.29375</v>
      </c>
      <c r="G41" s="37" t="n">
        <f aca="false">(LOM_CurMonthly)*IF(G40&lt;=0,1,(1+LOM_Y1OCAF*OCAFHaircut)*(1+OCAF*OCAFHaircut)^(G40-1))</f>
        <v>133241.29375</v>
      </c>
      <c r="H41" s="37" t="n">
        <f aca="false">(LOM_CurMonthly)*IF(H40&lt;=0,1,(1+LOM_Y1OCAF*OCAFHaircut)*(1+OCAF*OCAFHaircut)^(H40-1))</f>
        <v>133241.29375</v>
      </c>
      <c r="I41" s="37" t="n">
        <f aca="false">(LOM_CurMonthly)*IF(I40&lt;=0,1,(1+LOM_Y1OCAF*OCAFHaircut)*(1+OCAF*OCAFHaircut)^(I40-1))</f>
        <v>135739.568007813</v>
      </c>
      <c r="J41" s="37" t="n">
        <f aca="false">(LOM_CurMonthly)*IF(J40&lt;=0,1,(1+LOM_Y1OCAF*OCAFHaircut)*(1+OCAF*OCAFHaircut)^(J40-1))</f>
        <v>135739.568007813</v>
      </c>
      <c r="K41" s="37" t="n">
        <f aca="false">(LOM_CurMonthly)*IF(K40&lt;=0,1,(1+LOM_Y1OCAF*OCAFHaircut)*(1+OCAF*OCAFHaircut)^(K40-1))</f>
        <v>135739.568007813</v>
      </c>
    </row>
    <row r="42" customFormat="false" ht="15" hidden="false" customHeight="true" outlineLevel="0" collapsed="false">
      <c r="B42" s="13" t="s">
        <v>702</v>
      </c>
      <c r="C42" s="37" t="n">
        <f aca="false">(C41*(1-LOM_VacHAP)+LOM_OtherInc/12)*C39</f>
        <v>365887.0548</v>
      </c>
      <c r="D42" s="37" t="n">
        <f aca="false">(D41*(1-LOM_VacHAP)+LOM_OtherInc/12)*D39</f>
        <v>365887.0548</v>
      </c>
      <c r="E42" s="37" t="n">
        <f aca="false">(E41*(1-LOM_VacHAP)+LOM_OtherInc/12)*E39</f>
        <v>372687.7558275</v>
      </c>
      <c r="F42" s="37" t="n">
        <f aca="false">(F41*(1-LOM_VacHAP)+LOM_OtherInc/12)*F39</f>
        <v>372687.7558275</v>
      </c>
      <c r="G42" s="37" t="n">
        <f aca="false">(G41*(1-LOM_VacHAP)+LOM_OtherInc/12)*G39</f>
        <v>372687.7558275</v>
      </c>
      <c r="H42" s="37" t="n">
        <f aca="false">(H41*(1-LOM_VacHAP)+LOM_OtherInc/12)*H39</f>
        <v>372687.7558275</v>
      </c>
      <c r="I42" s="37" t="n">
        <f aca="false">(I41*(1-LOM_VacHAP)+LOM_OtherInc/12)*I39</f>
        <v>379615.969999266</v>
      </c>
      <c r="J42" s="37" t="n">
        <f aca="false">(J41*(1-LOM_VacHAP)+LOM_OtherInc/12)*J39</f>
        <v>379615.969999266</v>
      </c>
      <c r="K42" s="37" t="n">
        <f aca="false">(K41*(1-LOM_VacHAP)+LOM_OtherInc/12)*K39</f>
        <v>126538.656666422</v>
      </c>
      <c r="L42" s="21" t="n">
        <f aca="false">SUM(C42:K42)</f>
        <v>3108295.72957495</v>
      </c>
    </row>
    <row r="43" customFormat="false" ht="15" hidden="false" customHeight="true" outlineLevel="0" collapsed="false">
      <c r="B43" s="13" t="s">
        <v>703</v>
      </c>
      <c r="C43" s="37" t="n">
        <f aca="false">-'Expense Detail'!$D$120/12*C39*(1+ExpGrowth)^(0/12)</f>
        <v>-272731.5</v>
      </c>
      <c r="D43" s="37" t="n">
        <f aca="false">-'Expense Detail'!$D$120/12*D39*(1+ExpGrowth)^(3/12)</f>
        <v>-274754.369111549</v>
      </c>
      <c r="E43" s="37" t="n">
        <f aca="false">-'Expense Detail'!$D$120/12*E39*(1+ExpGrowth)^(6/12)</f>
        <v>-276792.241988495</v>
      </c>
      <c r="F43" s="37" t="n">
        <f aca="false">-'Expense Detail'!$D$120/12*F39*(1+ExpGrowth)^(9/12)</f>
        <v>-278845.229914843</v>
      </c>
      <c r="G43" s="37" t="n">
        <f aca="false">-'Expense Detail'!$D$120/12*G39*(1+ExpGrowth)^(12/12)</f>
        <v>-280913.445</v>
      </c>
      <c r="H43" s="37" t="n">
        <f aca="false">-'Expense Detail'!$D$120/12*H39*(1+ExpGrowth)^(15/12)</f>
        <v>-282997.000184895</v>
      </c>
      <c r="I43" s="37" t="n">
        <f aca="false">-'Expense Detail'!$D$120/12*I39*(1+ExpGrowth)^(18/12)</f>
        <v>-285096.00924815</v>
      </c>
      <c r="J43" s="37" t="n">
        <f aca="false">-'Expense Detail'!$D$120/12*J39*(1+ExpGrowth)^(21/12)</f>
        <v>-287210.586812288</v>
      </c>
      <c r="K43" s="37" t="n">
        <f aca="false">-'Expense Detail'!$D$120/12*K39*(1+ExpGrowth)^(24/12)</f>
        <v>-96446.94945</v>
      </c>
      <c r="L43" s="21" t="n">
        <f aca="false">SUM(C43:K43)</f>
        <v>-2335787.33171022</v>
      </c>
    </row>
    <row r="44" customFormat="false" ht="15" hidden="false" customHeight="true" outlineLevel="0" collapsed="false">
      <c r="B44" s="13" t="s">
        <v>704</v>
      </c>
      <c r="C44" s="37" t="n">
        <f aca="false">-'Expense Detail'!$D$121/12*C39</f>
        <v>-2913</v>
      </c>
      <c r="D44" s="37" t="n">
        <f aca="false">-'Expense Detail'!$D$121/12*D39</f>
        <v>-2913</v>
      </c>
      <c r="E44" s="37" t="n">
        <f aca="false">-'Expense Detail'!$D$121/12*E39</f>
        <v>-2913</v>
      </c>
      <c r="F44" s="37" t="n">
        <f aca="false">-'Expense Detail'!$D$121/12*F39</f>
        <v>-2913</v>
      </c>
      <c r="G44" s="37" t="n">
        <f aca="false">-'Expense Detail'!$D$121/12*G39</f>
        <v>-2913</v>
      </c>
      <c r="H44" s="37" t="n">
        <f aca="false">-'Expense Detail'!$D$121/12*H39</f>
        <v>-2913</v>
      </c>
      <c r="I44" s="37" t="n">
        <f aca="false">-'Expense Detail'!$D$121/12*I39</f>
        <v>-2913</v>
      </c>
      <c r="J44" s="37" t="n">
        <f aca="false">-'Expense Detail'!$D$121/12*J39</f>
        <v>-2913</v>
      </c>
      <c r="K44" s="37" t="n">
        <f aca="false">-'Expense Detail'!$D$121/12*K39</f>
        <v>-971</v>
      </c>
      <c r="L44" s="84" t="n">
        <f aca="false">SUM(C44:K44)</f>
        <v>-24275</v>
      </c>
    </row>
    <row r="45" customFormat="false" ht="15" hidden="false" customHeight="true" outlineLevel="0" collapsed="false">
      <c r="B45" s="19" t="s">
        <v>705</v>
      </c>
      <c r="C45" s="84" t="n">
        <f aca="false">SUM(C42:C44)</f>
        <v>90242.5548</v>
      </c>
      <c r="D45" s="84" t="n">
        <f aca="false">SUM(D42:D44)</f>
        <v>88219.6856884512</v>
      </c>
      <c r="E45" s="84" t="n">
        <f aca="false">SUM(E42:E44)</f>
        <v>92982.5138390051</v>
      </c>
      <c r="F45" s="84" t="n">
        <f aca="false">SUM(F42:F44)</f>
        <v>90929.5259126569</v>
      </c>
      <c r="G45" s="84" t="n">
        <f aca="false">SUM(G42:G44)</f>
        <v>88861.3108275</v>
      </c>
      <c r="H45" s="84" t="n">
        <f aca="false">SUM(H42:H44)</f>
        <v>86777.7556426048</v>
      </c>
      <c r="I45" s="84" t="n">
        <f aca="false">SUM(I42:I44)</f>
        <v>91606.9607511158</v>
      </c>
      <c r="J45" s="84" t="n">
        <f aca="false">SUM(J42:J44)</f>
        <v>89492.3831869771</v>
      </c>
      <c r="K45" s="84" t="n">
        <f aca="false">SUM(K42:K44)</f>
        <v>29120.7072164219</v>
      </c>
      <c r="L45" s="21" t="n">
        <f aca="false">SUM(C45:K45)</f>
        <v>748233.397864733</v>
      </c>
    </row>
    <row r="46" customFormat="false" ht="15" hidden="false" customHeight="true" outlineLevel="0" collapsed="false">
      <c r="B46" s="13" t="s">
        <v>706</v>
      </c>
      <c r="C46" s="37" t="n">
        <f aca="false">-LOM_NotePI*C39</f>
        <v>-71503.17</v>
      </c>
      <c r="D46" s="37" t="n">
        <f aca="false">-LOM_NotePI*D39</f>
        <v>-71503.17</v>
      </c>
      <c r="E46" s="37" t="n">
        <f aca="false">-LOM_NotePI*E39</f>
        <v>-71503.17</v>
      </c>
      <c r="F46" s="37" t="n">
        <f aca="false">-LOM_NotePI*F39</f>
        <v>-71503.17</v>
      </c>
      <c r="G46" s="37" t="n">
        <f aca="false">-LOM_NotePI*G39</f>
        <v>-71503.17</v>
      </c>
      <c r="H46" s="37" t="n">
        <f aca="false">-LOM_NotePI*H39</f>
        <v>-71503.17</v>
      </c>
      <c r="I46" s="37" t="n">
        <f aca="false">-LOM_NotePI*I39</f>
        <v>-71503.17</v>
      </c>
      <c r="J46" s="37" t="n">
        <f aca="false">-LOM_NotePI*J39</f>
        <v>-71503.17</v>
      </c>
      <c r="K46" s="37" t="n">
        <f aca="false">-LOM_NotePI*K39</f>
        <v>-23834.39</v>
      </c>
      <c r="L46" s="21" t="n">
        <f aca="false">SUM(C46:K46)</f>
        <v>-595859.75</v>
      </c>
    </row>
    <row r="47" customFormat="false" ht="15" hidden="false" customHeight="true" outlineLevel="0" collapsed="false">
      <c r="B47" s="19" t="s">
        <v>707</v>
      </c>
      <c r="C47" s="84" t="n">
        <f aca="false">C45+C46</f>
        <v>18739.3848</v>
      </c>
      <c r="D47" s="84" t="n">
        <f aca="false">D45+D46</f>
        <v>16716.5156884512</v>
      </c>
      <c r="E47" s="84" t="n">
        <f aca="false">E45+E46</f>
        <v>21479.3438390051</v>
      </c>
      <c r="F47" s="84" t="n">
        <f aca="false">F45+F46</f>
        <v>19426.3559126569</v>
      </c>
      <c r="G47" s="84" t="n">
        <f aca="false">G45+G46</f>
        <v>17358.1408275</v>
      </c>
      <c r="H47" s="84" t="n">
        <f aca="false">H45+H46</f>
        <v>15274.5856426048</v>
      </c>
      <c r="I47" s="84" t="n">
        <f aca="false">I45+I46</f>
        <v>20103.7907511158</v>
      </c>
      <c r="J47" s="84" t="n">
        <f aca="false">J45+J46</f>
        <v>17989.2131869771</v>
      </c>
      <c r="K47" s="84" t="n">
        <f aca="false">K45+K46</f>
        <v>5286.31721642186</v>
      </c>
      <c r="L47" s="21" t="n">
        <f aca="false">SUM(C47:K47)</f>
        <v>152373.647864733</v>
      </c>
    </row>
    <row r="48" customFormat="false" ht="15" hidden="false" customHeight="true" outlineLevel="0" collapsed="false">
      <c r="B48" s="13" t="s">
        <v>708</v>
      </c>
      <c r="C48" s="37" t="n">
        <f aca="false">C47</f>
        <v>18739.3848</v>
      </c>
      <c r="D48" s="37" t="n">
        <f aca="false">D47+C48</f>
        <v>35455.9004884512</v>
      </c>
      <c r="E48" s="37" t="n">
        <f aca="false">E47+D48</f>
        <v>56935.2443274564</v>
      </c>
      <c r="F48" s="37" t="n">
        <f aca="false">F47+E48</f>
        <v>76361.6002401132</v>
      </c>
      <c r="G48" s="37" t="n">
        <f aca="false">G47+F48</f>
        <v>93719.7410676132</v>
      </c>
      <c r="H48" s="37" t="n">
        <f aca="false">H47+G48</f>
        <v>108994.326710218</v>
      </c>
      <c r="I48" s="37" t="n">
        <f aca="false">I47+H48</f>
        <v>129098.117461334</v>
      </c>
      <c r="J48" s="37" t="n">
        <f aca="false">J47+I48</f>
        <v>147087.330648311</v>
      </c>
      <c r="K48" s="37" t="n">
        <f aca="false">K47+J48</f>
        <v>152373.647864733</v>
      </c>
    </row>
    <row r="49" customFormat="false" ht="15" hidden="false" customHeight="true" outlineLevel="0" collapsed="false">
      <c r="B49" s="69" t="s">
        <v>709</v>
      </c>
      <c r="L49" s="102" t="n">
        <f aca="false">IF(L46=0,"n/a",-L45/L46)</f>
        <v>1.25572065887104</v>
      </c>
    </row>
    <row r="52" customFormat="false" ht="15" hidden="false" customHeight="true" outlineLevel="0" collapsed="false">
      <c r="B52" s="3" t="s">
        <v>712</v>
      </c>
      <c r="C52" s="3"/>
      <c r="D52" s="3"/>
      <c r="E52" s="3"/>
      <c r="F52" s="3"/>
      <c r="G52" s="3"/>
      <c r="H52" s="48" t="n">
        <f aca="false">SA_AcqDate</f>
        <v>46357</v>
      </c>
      <c r="I52" s="48" t="n">
        <f aca="false">SA_ResynDate</f>
        <v>46357</v>
      </c>
      <c r="J52" s="49" t="s">
        <v>687</v>
      </c>
      <c r="K52" s="100" t="n">
        <v>44732.88</v>
      </c>
      <c r="L52" s="3"/>
    </row>
    <row r="53" customFormat="false" ht="15" hidden="false" customHeight="true" outlineLevel="0" collapsed="false">
      <c r="B53" s="40" t="s">
        <v>688</v>
      </c>
      <c r="C53" s="82" t="s">
        <v>689</v>
      </c>
      <c r="D53" s="82" t="s">
        <v>690</v>
      </c>
      <c r="E53" s="82" t="s">
        <v>691</v>
      </c>
      <c r="F53" s="82" t="s">
        <v>692</v>
      </c>
      <c r="G53" s="82" t="s">
        <v>693</v>
      </c>
      <c r="H53" s="82" t="s">
        <v>694</v>
      </c>
      <c r="I53" s="82" t="s">
        <v>695</v>
      </c>
      <c r="J53" s="82" t="s">
        <v>696</v>
      </c>
      <c r="K53" s="82" t="s">
        <v>697</v>
      </c>
      <c r="L53" s="82" t="s">
        <v>613</v>
      </c>
    </row>
    <row r="54" customFormat="false" ht="15" hidden="false" customHeight="true" outlineLevel="0" collapsed="false">
      <c r="B54" s="13" t="s">
        <v>698</v>
      </c>
      <c r="C54" s="83" t="n">
        <f aca="false">EDATE(SA_AcqDate,0)</f>
        <v>46357</v>
      </c>
      <c r="D54" s="83" t="n">
        <f aca="false">EDATE(SA_AcqDate,3)</f>
        <v>46447</v>
      </c>
      <c r="E54" s="83" t="n">
        <f aca="false">EDATE(SA_AcqDate,6)</f>
        <v>46539</v>
      </c>
      <c r="F54" s="83" t="n">
        <f aca="false">EDATE(SA_AcqDate,9)</f>
        <v>46631</v>
      </c>
      <c r="G54" s="83" t="n">
        <f aca="false">EDATE(SA_AcqDate,12)</f>
        <v>46722</v>
      </c>
      <c r="H54" s="83" t="n">
        <f aca="false">EDATE(SA_AcqDate,15)</f>
        <v>46813</v>
      </c>
      <c r="I54" s="83" t="n">
        <f aca="false">EDATE(SA_AcqDate,18)</f>
        <v>46905</v>
      </c>
      <c r="J54" s="83" t="n">
        <f aca="false">EDATE(SA_AcqDate,21)</f>
        <v>46997</v>
      </c>
      <c r="K54" s="83" t="n">
        <f aca="false">EDATE(SA_AcqDate,24)</f>
        <v>47088</v>
      </c>
    </row>
    <row r="55" customFormat="false" ht="15" hidden="false" customHeight="true" outlineLevel="0" collapsed="false">
      <c r="B55" s="13" t="s">
        <v>699</v>
      </c>
      <c r="C55" s="26" t="n">
        <f aca="false">MAX(0,MIN(3,SA_BridgeMonths-0))</f>
        <v>0</v>
      </c>
      <c r="D55" s="26" t="n">
        <f aca="false">MAX(0,MIN(3,SA_BridgeMonths-3))</f>
        <v>0</v>
      </c>
      <c r="E55" s="26" t="n">
        <f aca="false">MAX(0,MIN(3,SA_BridgeMonths-6))</f>
        <v>0</v>
      </c>
      <c r="F55" s="26" t="n">
        <f aca="false">MAX(0,MIN(3,SA_BridgeMonths-9))</f>
        <v>0</v>
      </c>
      <c r="G55" s="26" t="n">
        <f aca="false">MAX(0,MIN(3,SA_BridgeMonths-12))</f>
        <v>0</v>
      </c>
      <c r="H55" s="26" t="n">
        <f aca="false">MAX(0,MIN(3,SA_BridgeMonths-15))</f>
        <v>0</v>
      </c>
      <c r="I55" s="26" t="n">
        <f aca="false">MAX(0,MIN(3,SA_BridgeMonths-18))</f>
        <v>0</v>
      </c>
      <c r="J55" s="26" t="n">
        <f aca="false">MAX(0,MIN(3,SA_BridgeMonths-21))</f>
        <v>0</v>
      </c>
      <c r="K55" s="26" t="n">
        <f aca="false">MAX(0,MIN(3,SA_BridgeMonths-24))</f>
        <v>0</v>
      </c>
      <c r="L55" s="101" t="n">
        <f aca="false">SUM(C55:K55)</f>
        <v>0</v>
      </c>
    </row>
    <row r="56" customFormat="false" ht="15" hidden="false" customHeight="true" outlineLevel="0" collapsed="false">
      <c r="B56" s="13" t="s">
        <v>700</v>
      </c>
      <c r="C56" s="26" t="n">
        <f aca="false">ROUNDDOWN(YEARFRAC(SA_SchedDate,C54),0)</f>
        <v>0</v>
      </c>
      <c r="D56" s="26" t="n">
        <f aca="false">ROUNDDOWN(YEARFRAC(SA_SchedDate,D54),0)</f>
        <v>0</v>
      </c>
      <c r="E56" s="26" t="n">
        <f aca="false">ROUNDDOWN(YEARFRAC(SA_SchedDate,E54),0)</f>
        <v>1</v>
      </c>
      <c r="F56" s="26" t="n">
        <f aca="false">ROUNDDOWN(YEARFRAC(SA_SchedDate,F54),0)</f>
        <v>1</v>
      </c>
      <c r="G56" s="26" t="n">
        <f aca="false">ROUNDDOWN(YEARFRAC(SA_SchedDate,G54),0)</f>
        <v>1</v>
      </c>
      <c r="H56" s="26" t="n">
        <f aca="false">ROUNDDOWN(YEARFRAC(SA_SchedDate,H54),0)</f>
        <v>1</v>
      </c>
      <c r="I56" s="26" t="n">
        <f aca="false">ROUNDDOWN(YEARFRAC(SA_SchedDate,I54),0)</f>
        <v>2</v>
      </c>
      <c r="J56" s="26" t="n">
        <f aca="false">ROUNDDOWN(YEARFRAC(SA_SchedDate,J54),0)</f>
        <v>2</v>
      </c>
      <c r="K56" s="26" t="n">
        <f aca="false">ROUNDDOWN(YEARFRAC(SA_SchedDate,K54),0)</f>
        <v>2</v>
      </c>
    </row>
    <row r="57" customFormat="false" ht="15" hidden="false" customHeight="true" outlineLevel="0" collapsed="false">
      <c r="B57" s="13" t="s">
        <v>701</v>
      </c>
      <c r="C57" s="37" t="n">
        <f aca="false">(SA_CurMonthly)*IF(C56&lt;=0,1,(1+SA_Y1OCAF*OCAFHaircut)*(1+OCAF*OCAFHaircut)^(C56-1))</f>
        <v>180528.84</v>
      </c>
      <c r="D57" s="37" t="n">
        <f aca="false">(SA_CurMonthly)*IF(D56&lt;=0,1,(1+SA_Y1OCAF*OCAFHaircut)*(1+OCAF*OCAFHaircut)^(D56-1))</f>
        <v>180528.84</v>
      </c>
      <c r="E57" s="37" t="n">
        <f aca="false">(SA_CurMonthly)*IF(E56&lt;=0,1,(1+SA_Y1OCAF*OCAFHaircut)*(1+OCAF*OCAFHaircut)^(E56-1))</f>
        <v>183913.75575</v>
      </c>
      <c r="F57" s="37" t="n">
        <f aca="false">(SA_CurMonthly)*IF(F56&lt;=0,1,(1+SA_Y1OCAF*OCAFHaircut)*(1+OCAF*OCAFHaircut)^(F56-1))</f>
        <v>183913.75575</v>
      </c>
      <c r="G57" s="37" t="n">
        <f aca="false">(SA_CurMonthly)*IF(G56&lt;=0,1,(1+SA_Y1OCAF*OCAFHaircut)*(1+OCAF*OCAFHaircut)^(G56-1))</f>
        <v>183913.75575</v>
      </c>
      <c r="H57" s="37" t="n">
        <f aca="false">(SA_CurMonthly)*IF(H56&lt;=0,1,(1+SA_Y1OCAF*OCAFHaircut)*(1+OCAF*OCAFHaircut)^(H56-1))</f>
        <v>183913.75575</v>
      </c>
      <c r="I57" s="37" t="n">
        <f aca="false">(SA_CurMonthly)*IF(I56&lt;=0,1,(1+SA_Y1OCAF*OCAFHaircut)*(1+OCAF*OCAFHaircut)^(I56-1))</f>
        <v>187362.138670313</v>
      </c>
      <c r="J57" s="37" t="n">
        <f aca="false">(SA_CurMonthly)*IF(J56&lt;=0,1,(1+SA_Y1OCAF*OCAFHaircut)*(1+OCAF*OCAFHaircut)^(J56-1))</f>
        <v>187362.138670313</v>
      </c>
      <c r="K57" s="37" t="n">
        <f aca="false">(SA_CurMonthly)*IF(K56&lt;=0,1,(1+SA_Y1OCAF*OCAFHaircut)*(1+OCAF*OCAFHaircut)^(K56-1))</f>
        <v>187362.138670313</v>
      </c>
    </row>
    <row r="58" customFormat="false" ht="15" hidden="false" customHeight="true" outlineLevel="0" collapsed="false">
      <c r="B58" s="13" t="s">
        <v>702</v>
      </c>
      <c r="C58" s="37" t="n">
        <f aca="false">(C57*(1-SA_VacHAP)+SA_OtherInc/12)*C55</f>
        <v>0</v>
      </c>
      <c r="D58" s="37" t="n">
        <f aca="false">(D57*(1-SA_VacHAP)+SA_OtherInc/12)*D55</f>
        <v>0</v>
      </c>
      <c r="E58" s="37" t="n">
        <f aca="false">(E57*(1-SA_VacHAP)+SA_OtherInc/12)*E55</f>
        <v>0</v>
      </c>
      <c r="F58" s="37" t="n">
        <f aca="false">(F57*(1-SA_VacHAP)+SA_OtherInc/12)*F55</f>
        <v>0</v>
      </c>
      <c r="G58" s="37" t="n">
        <f aca="false">(G57*(1-SA_VacHAP)+SA_OtherInc/12)*G55</f>
        <v>0</v>
      </c>
      <c r="H58" s="37" t="n">
        <f aca="false">(H57*(1-SA_VacHAP)+SA_OtherInc/12)*H55</f>
        <v>0</v>
      </c>
      <c r="I58" s="37" t="n">
        <f aca="false">(I57*(1-SA_VacHAP)+SA_OtherInc/12)*I55</f>
        <v>0</v>
      </c>
      <c r="J58" s="37" t="n">
        <f aca="false">(J57*(1-SA_VacHAP)+SA_OtherInc/12)*J55</f>
        <v>0</v>
      </c>
      <c r="K58" s="37" t="n">
        <f aca="false">(K57*(1-SA_VacHAP)+SA_OtherInc/12)*K55</f>
        <v>0</v>
      </c>
      <c r="L58" s="21" t="n">
        <f aca="false">SUM(C58:K58)</f>
        <v>0</v>
      </c>
    </row>
    <row r="59" customFormat="false" ht="15" hidden="false" customHeight="true" outlineLevel="0" collapsed="false">
      <c r="B59" s="13" t="s">
        <v>703</v>
      </c>
      <c r="C59" s="37" t="n">
        <f aca="false">-'Expense Detail'!$D$160/12*C55*(1+ExpGrowth)^(0/12)</f>
        <v>-0</v>
      </c>
      <c r="D59" s="37" t="n">
        <f aca="false">-'Expense Detail'!$D$160/12*D55*(1+ExpGrowth)^(3/12)</f>
        <v>-0</v>
      </c>
      <c r="E59" s="37" t="n">
        <f aca="false">-'Expense Detail'!$D$160/12*E55*(1+ExpGrowth)^(6/12)</f>
        <v>-0</v>
      </c>
      <c r="F59" s="37" t="n">
        <f aca="false">-'Expense Detail'!$D$160/12*F55*(1+ExpGrowth)^(9/12)</f>
        <v>-0</v>
      </c>
      <c r="G59" s="37" t="n">
        <f aca="false">-'Expense Detail'!$D$160/12*G55*(1+ExpGrowth)^(12/12)</f>
        <v>-0</v>
      </c>
      <c r="H59" s="37" t="n">
        <f aca="false">-'Expense Detail'!$D$160/12*H55*(1+ExpGrowth)^(15/12)</f>
        <v>-0</v>
      </c>
      <c r="I59" s="37" t="n">
        <f aca="false">-'Expense Detail'!$D$160/12*I55*(1+ExpGrowth)^(18/12)</f>
        <v>-0</v>
      </c>
      <c r="J59" s="37" t="n">
        <f aca="false">-'Expense Detail'!$D$160/12*J55*(1+ExpGrowth)^(21/12)</f>
        <v>-0</v>
      </c>
      <c r="K59" s="37" t="n">
        <f aca="false">-'Expense Detail'!$D$160/12*K55*(1+ExpGrowth)^(24/12)</f>
        <v>-0</v>
      </c>
      <c r="L59" s="21" t="n">
        <f aca="false">SUM(C59:K59)</f>
        <v>0</v>
      </c>
    </row>
    <row r="60" customFormat="false" ht="15" hidden="false" customHeight="true" outlineLevel="0" collapsed="false">
      <c r="B60" s="13" t="s">
        <v>704</v>
      </c>
      <c r="C60" s="37" t="n">
        <f aca="false">-'Expense Detail'!$D$161/12*C55</f>
        <v>-0</v>
      </c>
      <c r="D60" s="37" t="n">
        <f aca="false">-'Expense Detail'!$D$161/12*D55</f>
        <v>-0</v>
      </c>
      <c r="E60" s="37" t="n">
        <f aca="false">-'Expense Detail'!$D$161/12*E55</f>
        <v>-0</v>
      </c>
      <c r="F60" s="37" t="n">
        <f aca="false">-'Expense Detail'!$D$161/12*F55</f>
        <v>-0</v>
      </c>
      <c r="G60" s="37" t="n">
        <f aca="false">-'Expense Detail'!$D$161/12*G55</f>
        <v>-0</v>
      </c>
      <c r="H60" s="37" t="n">
        <f aca="false">-'Expense Detail'!$D$161/12*H55</f>
        <v>-0</v>
      </c>
      <c r="I60" s="37" t="n">
        <f aca="false">-'Expense Detail'!$D$161/12*I55</f>
        <v>-0</v>
      </c>
      <c r="J60" s="37" t="n">
        <f aca="false">-'Expense Detail'!$D$161/12*J55</f>
        <v>-0</v>
      </c>
      <c r="K60" s="37" t="n">
        <f aca="false">-'Expense Detail'!$D$161/12*K55</f>
        <v>-0</v>
      </c>
      <c r="L60" s="84" t="n">
        <f aca="false">SUM(C60:K60)</f>
        <v>0</v>
      </c>
    </row>
    <row r="61" customFormat="false" ht="15" hidden="false" customHeight="true" outlineLevel="0" collapsed="false">
      <c r="B61" s="19" t="s">
        <v>705</v>
      </c>
      <c r="C61" s="84" t="n">
        <f aca="false">SUM(C58:C60)</f>
        <v>0</v>
      </c>
      <c r="D61" s="84" t="n">
        <f aca="false">SUM(D58:D60)</f>
        <v>0</v>
      </c>
      <c r="E61" s="84" t="n">
        <f aca="false">SUM(E58:E60)</f>
        <v>0</v>
      </c>
      <c r="F61" s="84" t="n">
        <f aca="false">SUM(F58:F60)</f>
        <v>0</v>
      </c>
      <c r="G61" s="84" t="n">
        <f aca="false">SUM(G58:G60)</f>
        <v>0</v>
      </c>
      <c r="H61" s="84" t="n">
        <f aca="false">SUM(H58:H60)</f>
        <v>0</v>
      </c>
      <c r="I61" s="84" t="n">
        <f aca="false">SUM(I58:I60)</f>
        <v>0</v>
      </c>
      <c r="J61" s="84" t="n">
        <f aca="false">SUM(J58:J60)</f>
        <v>0</v>
      </c>
      <c r="K61" s="84" t="n">
        <f aca="false">SUM(K58:K60)</f>
        <v>0</v>
      </c>
      <c r="L61" s="21" t="n">
        <f aca="false">SUM(C61:K61)</f>
        <v>0</v>
      </c>
    </row>
    <row r="62" customFormat="false" ht="15" hidden="false" customHeight="true" outlineLevel="0" collapsed="false">
      <c r="B62" s="13" t="s">
        <v>706</v>
      </c>
      <c r="C62" s="37" t="n">
        <f aca="false">-SA_NotePI*C55</f>
        <v>-0</v>
      </c>
      <c r="D62" s="37" t="n">
        <f aca="false">-SA_NotePI*D55</f>
        <v>-0</v>
      </c>
      <c r="E62" s="37" t="n">
        <f aca="false">-SA_NotePI*E55</f>
        <v>-0</v>
      </c>
      <c r="F62" s="37" t="n">
        <f aca="false">-SA_NotePI*F55</f>
        <v>-0</v>
      </c>
      <c r="G62" s="37" t="n">
        <f aca="false">-SA_NotePI*G55</f>
        <v>-0</v>
      </c>
      <c r="H62" s="37" t="n">
        <f aca="false">-SA_NotePI*H55</f>
        <v>-0</v>
      </c>
      <c r="I62" s="37" t="n">
        <f aca="false">-SA_NotePI*I55</f>
        <v>-0</v>
      </c>
      <c r="J62" s="37" t="n">
        <f aca="false">-SA_NotePI*J55</f>
        <v>-0</v>
      </c>
      <c r="K62" s="37" t="n">
        <f aca="false">-SA_NotePI*K55</f>
        <v>-0</v>
      </c>
      <c r="L62" s="21" t="n">
        <f aca="false">SUM(C62:K62)</f>
        <v>0</v>
      </c>
    </row>
    <row r="63" customFormat="false" ht="15" hidden="false" customHeight="true" outlineLevel="0" collapsed="false">
      <c r="B63" s="19" t="s">
        <v>707</v>
      </c>
      <c r="C63" s="84" t="n">
        <f aca="false">C61+C62</f>
        <v>0</v>
      </c>
      <c r="D63" s="84" t="n">
        <f aca="false">D61+D62</f>
        <v>0</v>
      </c>
      <c r="E63" s="84" t="n">
        <f aca="false">E61+E62</f>
        <v>0</v>
      </c>
      <c r="F63" s="84" t="n">
        <f aca="false">F61+F62</f>
        <v>0</v>
      </c>
      <c r="G63" s="84" t="n">
        <f aca="false">G61+G62</f>
        <v>0</v>
      </c>
      <c r="H63" s="84" t="n">
        <f aca="false">H61+H62</f>
        <v>0</v>
      </c>
      <c r="I63" s="84" t="n">
        <f aca="false">I61+I62</f>
        <v>0</v>
      </c>
      <c r="J63" s="84" t="n">
        <f aca="false">J61+J62</f>
        <v>0</v>
      </c>
      <c r="K63" s="84" t="n">
        <f aca="false">K61+K62</f>
        <v>0</v>
      </c>
      <c r="L63" s="21" t="n">
        <f aca="false">SUM(C63:K63)</f>
        <v>0</v>
      </c>
    </row>
    <row r="64" customFormat="false" ht="15" hidden="false" customHeight="true" outlineLevel="0" collapsed="false">
      <c r="B64" s="13" t="s">
        <v>708</v>
      </c>
      <c r="C64" s="37" t="n">
        <f aca="false">C63</f>
        <v>0</v>
      </c>
      <c r="D64" s="37" t="n">
        <f aca="false">D63+C64</f>
        <v>0</v>
      </c>
      <c r="E64" s="37" t="n">
        <f aca="false">E63+D64</f>
        <v>0</v>
      </c>
      <c r="F64" s="37" t="n">
        <f aca="false">F63+E64</f>
        <v>0</v>
      </c>
      <c r="G64" s="37" t="n">
        <f aca="false">G63+F64</f>
        <v>0</v>
      </c>
      <c r="H64" s="37" t="n">
        <f aca="false">H63+G64</f>
        <v>0</v>
      </c>
      <c r="I64" s="37" t="n">
        <f aca="false">I63+H64</f>
        <v>0</v>
      </c>
      <c r="J64" s="37" t="n">
        <f aca="false">J63+I64</f>
        <v>0</v>
      </c>
      <c r="K64" s="37" t="n">
        <f aca="false">K63+J64</f>
        <v>0</v>
      </c>
    </row>
    <row r="65" customFormat="false" ht="15" hidden="false" customHeight="true" outlineLevel="0" collapsed="false">
      <c r="B65" s="69" t="s">
        <v>709</v>
      </c>
      <c r="L65" s="102" t="str">
        <f aca="false">IF(L62=0,"n/a",-L61/L62)</f>
        <v>n/a</v>
      </c>
    </row>
    <row r="66" customFormat="false" ht="15" hidden="false" customHeight="true" outlineLevel="0" collapsed="false">
      <c r="B66" s="36" t="s">
        <v>713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.43"/>
    <col collapsed="false" customWidth="true" hidden="false" outlineLevel="0" max="2" min="2" style="1" width="40"/>
    <col collapsed="false" customWidth="true" hidden="false" outlineLevel="0" max="6" min="3" style="1" width="15.7"/>
    <col collapsed="false" customWidth="true" hidden="false" outlineLevel="0" max="7" min="7" style="1" width="2"/>
  </cols>
  <sheetData>
    <row r="1" customFormat="false" ht="17.25" hidden="false" customHeight="true" outlineLevel="0" collapsed="false">
      <c r="A1" s="11" t="s">
        <v>714</v>
      </c>
    </row>
    <row r="2" customFormat="false" ht="15" hidden="false" customHeight="true" outlineLevel="0" collapsed="false">
      <c r="B2" s="36" t="s">
        <v>715</v>
      </c>
    </row>
    <row r="3" customFormat="false" ht="15" hidden="false" customHeight="true" outlineLevel="0" collapsed="false">
      <c r="B3" s="3" t="s">
        <v>716</v>
      </c>
      <c r="C3" s="3" t="s">
        <v>20</v>
      </c>
      <c r="D3" s="3" t="s">
        <v>21</v>
      </c>
      <c r="E3" s="3" t="s">
        <v>22</v>
      </c>
      <c r="F3" s="3" t="s">
        <v>23</v>
      </c>
    </row>
    <row r="4" customFormat="false" ht="15" hidden="false" customHeight="true" outlineLevel="0" collapsed="false">
      <c r="B4" s="13" t="s">
        <v>717</v>
      </c>
      <c r="C4" s="103" t="s">
        <v>718</v>
      </c>
      <c r="D4" s="103" t="s">
        <v>719</v>
      </c>
      <c r="E4" s="103" t="s">
        <v>720</v>
      </c>
      <c r="F4" s="103" t="s">
        <v>721</v>
      </c>
    </row>
    <row r="5" customFormat="false" ht="15" hidden="false" customHeight="true" outlineLevel="0" collapsed="false">
      <c r="B5" s="13" t="s">
        <v>722</v>
      </c>
      <c r="C5" s="104" t="n">
        <v>2450000</v>
      </c>
      <c r="D5" s="104" t="n">
        <v>4200000</v>
      </c>
      <c r="E5" s="104" t="n">
        <v>6500000</v>
      </c>
      <c r="F5" s="104" t="n">
        <v>8770000</v>
      </c>
    </row>
    <row r="6" customFormat="false" ht="15" hidden="false" customHeight="true" outlineLevel="0" collapsed="false">
      <c r="B6" s="13" t="s">
        <v>723</v>
      </c>
      <c r="C6" s="74" t="n">
        <v>0.027</v>
      </c>
      <c r="D6" s="74" t="n">
        <v>0.0289</v>
      </c>
      <c r="E6" s="74" t="n">
        <v>0.0315</v>
      </c>
      <c r="F6" s="74" t="n">
        <v>0.0564</v>
      </c>
    </row>
    <row r="7" customFormat="false" ht="15" hidden="false" customHeight="true" outlineLevel="0" collapsed="false">
      <c r="B7" s="13" t="s">
        <v>724</v>
      </c>
      <c r="C7" s="66" t="n">
        <f aca="false">CH_NotePI</f>
        <v>8496.64</v>
      </c>
      <c r="D7" s="66" t="n">
        <f aca="false">NZ_NotePI</f>
        <v>15212.08</v>
      </c>
      <c r="E7" s="66" t="n">
        <f aca="false">LOM_NotePI</f>
        <v>23834.39</v>
      </c>
      <c r="F7" s="66" t="n">
        <f aca="false">SA_NotePI</f>
        <v>44732.88</v>
      </c>
    </row>
    <row r="8" customFormat="false" ht="15" hidden="false" customHeight="true" outlineLevel="0" collapsed="false">
      <c r="B8" s="13" t="s">
        <v>725</v>
      </c>
      <c r="C8" s="105" t="n">
        <v>56189</v>
      </c>
      <c r="D8" s="105" t="n">
        <v>56615</v>
      </c>
      <c r="E8" s="105" t="n">
        <v>56340</v>
      </c>
      <c r="F8" s="105" t="n">
        <v>54483</v>
      </c>
    </row>
    <row r="9" customFormat="false" ht="15" hidden="false" customHeight="true" outlineLevel="0" collapsed="false">
      <c r="B9" s="13" t="s">
        <v>726</v>
      </c>
      <c r="C9" s="104" t="n">
        <v>1977565.45</v>
      </c>
      <c r="D9" s="104" t="n">
        <v>3555182.79</v>
      </c>
      <c r="E9" s="104" t="n">
        <v>4755915.1</v>
      </c>
      <c r="F9" s="104" t="n">
        <v>6554391.74</v>
      </c>
    </row>
    <row r="10" customFormat="false" ht="15" hidden="false" customHeight="true" outlineLevel="0" collapsed="false">
      <c r="B10" s="13" t="s">
        <v>727</v>
      </c>
      <c r="C10" s="44" t="n">
        <f aca="false">FV(C6/12,6,C7,-C9)</f>
        <v>1953145.74288858</v>
      </c>
      <c r="D10" s="44" t="n">
        <f aca="false">FV(D6/12,6,D7,-D9)</f>
        <v>3515041.69672589</v>
      </c>
      <c r="E10" s="44" t="n">
        <f aca="false">FV(E6/12,6,E7,-E9)</f>
        <v>4687365.94486088</v>
      </c>
      <c r="F10" s="44" t="n">
        <f aca="false">FV(F6/12,6,F7,-F9)</f>
        <v>6469840.26194662</v>
      </c>
    </row>
    <row r="11" customFormat="false" ht="15" hidden="false" customHeight="true" outlineLevel="0" collapsed="false">
      <c r="B11" s="13" t="s">
        <v>728</v>
      </c>
      <c r="C11" s="44" t="n">
        <f aca="false">FV(C6/12,CH_BridgeMonths,C7,-C10)</f>
        <v>1899093.05115603</v>
      </c>
      <c r="D11" s="44" t="n">
        <f aca="false">FV(D6/12,NZ_BridgeMonths,D7,-D10)</f>
        <v>3341408.81066477</v>
      </c>
      <c r="E11" s="44" t="n">
        <f aca="false">FV(E6/12,LOM_BridgeMonths,E7,-E10)</f>
        <v>4389849.26625474</v>
      </c>
      <c r="F11" s="44" t="n">
        <f aca="false">FV(F6/12,SA_BridgeMonths,F7,-F10)</f>
        <v>6469840.26194662</v>
      </c>
    </row>
    <row r="12" customFormat="false" ht="15" hidden="false" customHeight="true" outlineLevel="0" collapsed="false">
      <c r="B12" s="13" t="s">
        <v>729</v>
      </c>
      <c r="C12" s="37" t="n">
        <f aca="false">12*C7</f>
        <v>101959.68</v>
      </c>
      <c r="D12" s="37" t="n">
        <f aca="false">12*D7</f>
        <v>182544.96</v>
      </c>
      <c r="E12" s="37" t="n">
        <f aca="false">12*E7</f>
        <v>286012.68</v>
      </c>
      <c r="F12" s="37" t="n">
        <f aca="false">12*F7</f>
        <v>536794.56</v>
      </c>
    </row>
    <row r="13" customFormat="false" ht="15" hidden="false" customHeight="true" outlineLevel="0" collapsed="false">
      <c r="B13" s="13" t="s">
        <v>730</v>
      </c>
      <c r="C13" s="103" t="s">
        <v>731</v>
      </c>
      <c r="D13" s="103" t="s">
        <v>732</v>
      </c>
      <c r="E13" s="103" t="s">
        <v>733</v>
      </c>
      <c r="F13" s="103" t="s">
        <v>734</v>
      </c>
    </row>
    <row r="14" customFormat="false" ht="15" hidden="false" customHeight="true" outlineLevel="0" collapsed="false">
      <c r="B14" s="13" t="s">
        <v>735</v>
      </c>
      <c r="C14" s="13" t="s">
        <v>736</v>
      </c>
      <c r="D14" s="13" t="s">
        <v>736</v>
      </c>
      <c r="E14" s="13" t="s">
        <v>736</v>
      </c>
      <c r="F14" s="13" t="s">
        <v>736</v>
      </c>
    </row>
    <row r="16" customFormat="false" ht="15" hidden="false" customHeight="true" outlineLevel="0" collapsed="false">
      <c r="B16" s="19" t="s">
        <v>737</v>
      </c>
      <c r="D16" s="104" t="n">
        <v>1476484.62</v>
      </c>
    </row>
    <row r="17" customFormat="false" ht="15" hidden="false" customHeight="true" outlineLevel="0" collapsed="false">
      <c r="B17" s="13" t="s">
        <v>738</v>
      </c>
      <c r="D17" s="34" t="n">
        <v>551000</v>
      </c>
    </row>
    <row r="18" customFormat="false" ht="15" hidden="false" customHeight="true" outlineLevel="0" collapsed="false">
      <c r="B18" s="13" t="s">
        <v>739</v>
      </c>
      <c r="D18" s="35" t="s">
        <v>740</v>
      </c>
    </row>
    <row r="20" customFormat="false" ht="15" hidden="false" customHeight="true" outlineLevel="0" collapsed="false">
      <c r="B20" s="3" t="s">
        <v>741</v>
      </c>
      <c r="C20" s="3"/>
      <c r="D20" s="3"/>
      <c r="E20" s="3"/>
      <c r="F20" s="3"/>
    </row>
    <row r="21" customFormat="false" ht="15" hidden="false" customHeight="true" outlineLevel="0" collapsed="false">
      <c r="B21" s="13" t="s">
        <v>742</v>
      </c>
      <c r="C21" s="87" t="n">
        <f aca="false">CH_NOI</f>
        <v>268347.59989456</v>
      </c>
      <c r="D21" s="87" t="n">
        <f aca="false">NZ_NOI</f>
        <v>510296.487327138</v>
      </c>
      <c r="E21" s="87" t="n">
        <f aca="false">LOM_NOI</f>
        <v>613095.867971898</v>
      </c>
      <c r="F21" s="87" t="n">
        <f aca="false">SA_NOI</f>
        <v>725471.698509312</v>
      </c>
    </row>
    <row r="22" customFormat="false" ht="15" hidden="false" customHeight="true" outlineLevel="0" collapsed="false">
      <c r="B22" s="13" t="s">
        <v>743</v>
      </c>
      <c r="C22" s="106" t="n">
        <f aca="false">TargetReturn</f>
        <v>1.15</v>
      </c>
      <c r="D22" s="106" t="n">
        <f aca="false">TargetReturn</f>
        <v>1.15</v>
      </c>
      <c r="E22" s="106" t="n">
        <f aca="false">TargetReturn</f>
        <v>1.15</v>
      </c>
      <c r="F22" s="106" t="n">
        <f aca="false">TargetReturn</f>
        <v>1.15</v>
      </c>
    </row>
    <row r="23" customFormat="false" ht="15" hidden="false" customHeight="true" outlineLevel="0" collapsed="false">
      <c r="B23" s="13" t="s">
        <v>744</v>
      </c>
      <c r="C23" s="43" t="n">
        <f aca="false">-PMT(PermRate/12,PermAmort*12,1)*12</f>
        <v>0.0684227649722492</v>
      </c>
      <c r="D23" s="43" t="n">
        <f aca="false">-PMT(PermRate/12,PermAmort*12,1)*12</f>
        <v>0.0684227649722492</v>
      </c>
      <c r="E23" s="43" t="n">
        <f aca="false">-PMT(PermRate/12,PermAmort*12,1)*12</f>
        <v>0.0684227649722492</v>
      </c>
      <c r="F23" s="43" t="n">
        <f aca="false">-PMT(PermRate/12,PermAmort*12,1)*12</f>
        <v>0.0684227649722492</v>
      </c>
    </row>
    <row r="24" customFormat="false" ht="15" hidden="false" customHeight="true" outlineLevel="0" collapsed="false">
      <c r="B24" s="13" t="s">
        <v>745</v>
      </c>
      <c r="C24" s="44" t="n">
        <f aca="false">C21/(C22*C23)</f>
        <v>3410352.37516911</v>
      </c>
      <c r="D24" s="44" t="n">
        <f aca="false">D21/(D22*D23)</f>
        <v>6485211.11528615</v>
      </c>
      <c r="E24" s="44" t="n">
        <f aca="false">E21/(E22*E23)</f>
        <v>7791658.84235925</v>
      </c>
      <c r="F24" s="44" t="n">
        <f aca="false">F21/(F22*F23)</f>
        <v>9219810.91353655</v>
      </c>
    </row>
    <row r="25" customFormat="false" ht="15" hidden="false" customHeight="true" outlineLevel="0" collapsed="false">
      <c r="B25" s="13" t="s">
        <v>746</v>
      </c>
      <c r="C25" s="44" t="n">
        <f aca="false">LTVCap*'Sources &amp; Uses'!C26</f>
        <v>6237585.07601979</v>
      </c>
      <c r="D25" s="44" t="n">
        <f aca="false">LTVCap*'Sources &amp; Uses'!D26</f>
        <v>9546113.46133871</v>
      </c>
      <c r="E25" s="44" t="n">
        <f aca="false">LTVCap*'Sources &amp; Uses'!E26</f>
        <v>12263866.4117469</v>
      </c>
      <c r="F25" s="44" t="n">
        <f aca="false">LTVCap*'Sources &amp; Uses'!F26</f>
        <v>14523217.6864533</v>
      </c>
    </row>
    <row r="26" customFormat="false" ht="15" hidden="false" customHeight="true" outlineLevel="0" collapsed="false">
      <c r="B26" s="19" t="s">
        <v>747</v>
      </c>
      <c r="C26" s="21" t="n">
        <f aca="false">IF(C25="",C24,MIN(C24,C25))</f>
        <v>3410352.37516911</v>
      </c>
      <c r="D26" s="21" t="n">
        <f aca="false">IF(D25="",D24,MIN(D24,D25))</f>
        <v>6485211.11528615</v>
      </c>
      <c r="E26" s="21" t="n">
        <f aca="false">IF(E25="",E24,MIN(E24,E25))</f>
        <v>7791658.84235925</v>
      </c>
      <c r="F26" s="21" t="n">
        <f aca="false">IF(F25="",F24,MIN(F24,F25))</f>
        <v>9219810.91353655</v>
      </c>
    </row>
    <row r="27" customFormat="false" ht="15" hidden="false" customHeight="true" outlineLevel="0" collapsed="false">
      <c r="B27" s="13" t="s">
        <v>748</v>
      </c>
      <c r="C27" s="37" t="n">
        <f aca="false">C26*C23</f>
        <v>233345.739038748</v>
      </c>
      <c r="D27" s="37" t="n">
        <f aca="false">D26*D23</f>
        <v>443736.075936642</v>
      </c>
      <c r="E27" s="37" t="n">
        <f aca="false">E26*E23</f>
        <v>533126.841714694</v>
      </c>
      <c r="F27" s="37" t="n">
        <f aca="false">F26*F23</f>
        <v>630844.955225489</v>
      </c>
    </row>
    <row r="28" customFormat="false" ht="15" hidden="false" customHeight="true" outlineLevel="0" collapsed="false">
      <c r="B28" s="69" t="s">
        <v>749</v>
      </c>
      <c r="C28" s="102" t="n">
        <f aca="false">C21/C27</f>
        <v>1.15</v>
      </c>
      <c r="D28" s="102" t="n">
        <f aca="false">D21/D27</f>
        <v>1.15</v>
      </c>
      <c r="E28" s="102" t="n">
        <f aca="false">E21/E27</f>
        <v>1.15</v>
      </c>
      <c r="F28" s="102" t="n">
        <f aca="false">F21/F27</f>
        <v>1.15</v>
      </c>
    </row>
    <row r="29" customFormat="false" ht="15" hidden="false" customHeight="true" outlineLevel="0" collapsed="false">
      <c r="B29" s="13" t="s">
        <v>750</v>
      </c>
      <c r="C29" s="22" t="n">
        <v>0.015</v>
      </c>
      <c r="D29" s="22" t="n">
        <v>0.015</v>
      </c>
      <c r="E29" s="22" t="n">
        <v>0.015</v>
      </c>
      <c r="F29" s="22" t="n">
        <v>0.015</v>
      </c>
    </row>
    <row r="30" customFormat="false" ht="15" hidden="false" customHeight="true" outlineLevel="0" collapsed="false">
      <c r="B30" s="13" t="s">
        <v>751</v>
      </c>
      <c r="C30" s="37" t="n">
        <f aca="false">C26*C29</f>
        <v>51155.2856275367</v>
      </c>
      <c r="D30" s="37" t="n">
        <f aca="false">D26*D29</f>
        <v>97278.1667292922</v>
      </c>
      <c r="E30" s="37" t="n">
        <f aca="false">E26*E29</f>
        <v>116874.882635389</v>
      </c>
      <c r="F30" s="37" t="n">
        <f aca="false">F26*F29</f>
        <v>138297.163703048</v>
      </c>
    </row>
    <row r="32" customFormat="false" ht="15" hidden="false" customHeight="true" outlineLevel="0" collapsed="false">
      <c r="B32" s="3" t="s">
        <v>752</v>
      </c>
      <c r="C32" s="3"/>
      <c r="D32" s="3"/>
      <c r="E32" s="3"/>
      <c r="F32" s="3"/>
    </row>
    <row r="33" customFormat="false" ht="15" hidden="false" customHeight="true" outlineLevel="0" collapsed="false">
      <c r="B33" s="13" t="s">
        <v>753</v>
      </c>
      <c r="C33" s="107" t="str">
        <f aca="false">DebtStrategy</f>
        <v>Refinance</v>
      </c>
      <c r="D33" s="107" t="str">
        <f aca="false">DebtStrategy</f>
        <v>Refinance</v>
      </c>
      <c r="E33" s="107" t="str">
        <f aca="false">DebtStrategy</f>
        <v>Refinance</v>
      </c>
      <c r="F33" s="107" t="str">
        <f aca="false">DebtStrategy</f>
        <v>Refinance</v>
      </c>
    </row>
    <row r="34" customFormat="false" ht="15" hidden="false" customHeight="true" outlineLevel="0" collapsed="false">
      <c r="B34" s="13" t="s">
        <v>754</v>
      </c>
      <c r="C34" s="44" t="n">
        <f aca="false">C26</f>
        <v>3410352.37516911</v>
      </c>
      <c r="D34" s="44" t="n">
        <f aca="false">D26</f>
        <v>6485211.11528615</v>
      </c>
      <c r="E34" s="44" t="n">
        <f aca="false">E26</f>
        <v>7791658.84235925</v>
      </c>
      <c r="F34" s="44" t="n">
        <f aca="false">F26</f>
        <v>9219810.91353655</v>
      </c>
    </row>
    <row r="35" customFormat="false" ht="15" hidden="false" customHeight="true" outlineLevel="0" collapsed="false">
      <c r="B35" s="13" t="s">
        <v>755</v>
      </c>
      <c r="C35" s="44" t="n">
        <f aca="false">C11</f>
        <v>1899093.05115603</v>
      </c>
      <c r="D35" s="44" t="n">
        <f aca="false">D11</f>
        <v>3341408.81066477</v>
      </c>
      <c r="E35" s="44" t="n">
        <f aca="false">E11</f>
        <v>4389849.26625474</v>
      </c>
      <c r="F35" s="44" t="n">
        <f aca="false">F11</f>
        <v>6469840.26194662</v>
      </c>
    </row>
    <row r="36" customFormat="false" ht="15" hidden="false" customHeight="true" outlineLevel="0" collapsed="false">
      <c r="B36" s="69" t="s">
        <v>756</v>
      </c>
      <c r="C36" s="102" t="n">
        <f aca="false">C28</f>
        <v>1.15</v>
      </c>
      <c r="D36" s="102" t="n">
        <f aca="false">D28</f>
        <v>1.15</v>
      </c>
      <c r="E36" s="102" t="n">
        <f aca="false">E28</f>
        <v>1.15</v>
      </c>
      <c r="F36" s="102" t="n">
        <f aca="false">F28</f>
        <v>1.15</v>
      </c>
    </row>
    <row r="37" customFormat="false" ht="15" hidden="false" customHeight="true" outlineLevel="0" collapsed="false">
      <c r="B37" s="69" t="s">
        <v>757</v>
      </c>
      <c r="C37" s="102" t="n">
        <f aca="false">C21/C12</f>
        <v>2.63189919676641</v>
      </c>
      <c r="D37" s="102" t="n">
        <f aca="false">D21/D12</f>
        <v>2.79545645810839</v>
      </c>
      <c r="E37" s="102" t="n">
        <f aca="false">E21/E12</f>
        <v>2.14359680826703</v>
      </c>
      <c r="F37" s="102" t="n">
        <f aca="false">F21/F12</f>
        <v>1.35148854434984</v>
      </c>
    </row>
    <row r="38" customFormat="false" ht="15" hidden="false" customHeight="true" outlineLevel="0" collapsed="false">
      <c r="B38" s="19" t="s">
        <v>758</v>
      </c>
      <c r="C38" s="21" t="n">
        <f aca="false">IF(DebtStrategy="Refinance",C34,C35)</f>
        <v>3410352.37516911</v>
      </c>
      <c r="D38" s="21" t="n">
        <f aca="false">IF(DebtStrategy="Refinance",D34,D35)</f>
        <v>6485211.11528615</v>
      </c>
      <c r="E38" s="21" t="n">
        <f aca="false">IF(DebtStrategy="Refinance",E34,E35)</f>
        <v>7791658.84235925</v>
      </c>
      <c r="F38" s="21" t="n">
        <f aca="false">IF(DebtStrategy="Refinance",F34,F35)</f>
        <v>9219810.91353655</v>
      </c>
    </row>
    <row r="39" customFormat="false" ht="15" hidden="false" customHeight="true" outlineLevel="0" collapsed="false">
      <c r="B39" s="19" t="s">
        <v>759</v>
      </c>
      <c r="C39" s="21" t="n">
        <f aca="false">IF(DebtStrategy="Refinance",C27,C12)</f>
        <v>233345.739038748</v>
      </c>
      <c r="D39" s="21" t="n">
        <f aca="false">IF(DebtStrategy="Refinance",D27,D12)</f>
        <v>443736.075936642</v>
      </c>
      <c r="E39" s="21" t="n">
        <f aca="false">IF(DebtStrategy="Refinance",E27,E12)</f>
        <v>533126.841714694</v>
      </c>
      <c r="F39" s="21" t="n">
        <f aca="false">IF(DebtStrategy="Refinance",F27,F12)</f>
        <v>630844.955225489</v>
      </c>
    </row>
    <row r="40" customFormat="false" ht="15" hidden="false" customHeight="true" outlineLevel="0" collapsed="false">
      <c r="B40" s="69" t="s">
        <v>760</v>
      </c>
      <c r="C40" s="102" t="n">
        <f aca="false">C21/C39</f>
        <v>1.15</v>
      </c>
      <c r="D40" s="102" t="n">
        <f aca="false">D21/D39</f>
        <v>1.15</v>
      </c>
      <c r="E40" s="102" t="n">
        <f aca="false">E21/E39</f>
        <v>1.15</v>
      </c>
      <c r="F40" s="102" t="n">
        <f aca="false">F21/F39</f>
        <v>1.15</v>
      </c>
    </row>
    <row r="42" customFormat="false" ht="15" hidden="false" customHeight="true" outlineLevel="0" collapsed="false">
      <c r="B42" s="47" t="s">
        <v>761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62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.43"/>
    <col collapsed="false" customWidth="true" hidden="false" outlineLevel="0" max="2" min="2" style="1" width="26"/>
    <col collapsed="false" customWidth="true" hidden="false" outlineLevel="0" max="3" min="3" style="1" width="10"/>
    <col collapsed="false" customWidth="true" hidden="false" outlineLevel="0" max="24" min="4" style="1" width="12.86"/>
  </cols>
  <sheetData>
    <row r="1" customFormat="false" ht="17.25" hidden="false" customHeight="true" outlineLevel="0" collapsed="false">
      <c r="A1" s="11" t="s">
        <v>762</v>
      </c>
    </row>
    <row r="2" customFormat="false" ht="15" hidden="false" customHeight="true" outlineLevel="0" collapsed="false">
      <c r="B2" s="36" t="s">
        <v>763</v>
      </c>
    </row>
    <row r="3" customFormat="false" ht="15" hidden="false" customHeight="true" outlineLevel="0" collapsed="false">
      <c r="B3" s="19" t="s">
        <v>764</v>
      </c>
      <c r="D3" s="58" t="s">
        <v>765</v>
      </c>
      <c r="E3" s="58" t="s">
        <v>766</v>
      </c>
      <c r="F3" s="58" t="s">
        <v>767</v>
      </c>
      <c r="G3" s="58" t="s">
        <v>768</v>
      </c>
      <c r="H3" s="58" t="s">
        <v>769</v>
      </c>
      <c r="I3" s="58" t="s">
        <v>770</v>
      </c>
      <c r="J3" s="58" t="s">
        <v>771</v>
      </c>
      <c r="K3" s="58" t="s">
        <v>772</v>
      </c>
      <c r="L3" s="58" t="s">
        <v>773</v>
      </c>
      <c r="M3" s="58" t="s">
        <v>774</v>
      </c>
      <c r="N3" s="58" t="s">
        <v>775</v>
      </c>
      <c r="O3" s="58" t="s">
        <v>776</v>
      </c>
      <c r="P3" s="58" t="s">
        <v>777</v>
      </c>
      <c r="Q3" s="58" t="s">
        <v>778</v>
      </c>
      <c r="R3" s="58" t="s">
        <v>779</v>
      </c>
      <c r="S3" s="58" t="s">
        <v>780</v>
      </c>
      <c r="T3" s="58" t="s">
        <v>781</v>
      </c>
      <c r="U3" s="58" t="s">
        <v>782</v>
      </c>
      <c r="V3" s="58" t="s">
        <v>783</v>
      </c>
      <c r="W3" s="58" t="s">
        <v>784</v>
      </c>
      <c r="X3" s="58" t="s">
        <v>613</v>
      </c>
    </row>
    <row r="4" customFormat="false" ht="15" hidden="false" customHeight="true" outlineLevel="0" collapsed="false">
      <c r="B4" s="13" t="s">
        <v>785</v>
      </c>
      <c r="D4" s="108" t="n">
        <f aca="false">YEAR(CH_ResynDate)+0</f>
        <v>2028</v>
      </c>
      <c r="E4" s="108" t="n">
        <f aca="false">YEAR(CH_ResynDate)+1</f>
        <v>2029</v>
      </c>
      <c r="F4" s="108" t="n">
        <f aca="false">YEAR(CH_ResynDate)+2</f>
        <v>2030</v>
      </c>
      <c r="G4" s="108" t="n">
        <f aca="false">YEAR(CH_ResynDate)+3</f>
        <v>2031</v>
      </c>
      <c r="H4" s="108" t="n">
        <f aca="false">YEAR(CH_ResynDate)+4</f>
        <v>2032</v>
      </c>
      <c r="I4" s="108" t="n">
        <f aca="false">YEAR(CH_ResynDate)+5</f>
        <v>2033</v>
      </c>
      <c r="J4" s="108" t="n">
        <f aca="false">YEAR(CH_ResynDate)+6</f>
        <v>2034</v>
      </c>
      <c r="K4" s="108" t="n">
        <f aca="false">YEAR(CH_ResynDate)+7</f>
        <v>2035</v>
      </c>
      <c r="L4" s="108" t="n">
        <f aca="false">YEAR(CH_ResynDate)+8</f>
        <v>2036</v>
      </c>
      <c r="M4" s="108" t="n">
        <f aca="false">YEAR(CH_ResynDate)+9</f>
        <v>2037</v>
      </c>
      <c r="N4" s="108" t="n">
        <f aca="false">YEAR(CH_ResynDate)+10</f>
        <v>2038</v>
      </c>
      <c r="O4" s="108" t="n">
        <f aca="false">YEAR(CH_ResynDate)+11</f>
        <v>2039</v>
      </c>
      <c r="P4" s="108" t="n">
        <f aca="false">YEAR(CH_ResynDate)+12</f>
        <v>2040</v>
      </c>
      <c r="Q4" s="108" t="n">
        <f aca="false">YEAR(CH_ResynDate)+13</f>
        <v>2041</v>
      </c>
      <c r="R4" s="108" t="n">
        <f aca="false">YEAR(CH_ResynDate)+14</f>
        <v>2042</v>
      </c>
      <c r="S4" s="108" t="n">
        <f aca="false">YEAR(CH_ResynDate)+15</f>
        <v>2043</v>
      </c>
      <c r="T4" s="108" t="n">
        <f aca="false">YEAR(CH_ResynDate)+16</f>
        <v>2044</v>
      </c>
      <c r="U4" s="108" t="n">
        <f aca="false">YEAR(CH_ResynDate)+17</f>
        <v>2045</v>
      </c>
      <c r="V4" s="108" t="n">
        <f aca="false">YEAR(CH_ResynDate)+18</f>
        <v>2046</v>
      </c>
      <c r="W4" s="108" t="n">
        <f aca="false">YEAR(CH_ResynDate)+19</f>
        <v>2047</v>
      </c>
    </row>
    <row r="6" customFormat="false" ht="15" hidden="false" customHeight="true" outlineLevel="0" collapsed="false">
      <c r="B6" s="13" t="s">
        <v>786</v>
      </c>
      <c r="D6" s="66" t="n">
        <f aca="false">CH_GPR</f>
        <v>1166597.52</v>
      </c>
      <c r="E6" s="37" t="n">
        <f aca="false">D6*(1+$D$50)</f>
        <v>1188471.2235</v>
      </c>
      <c r="F6" s="37" t="n">
        <f aca="false">E6*(1+$D$50)</f>
        <v>1210755.05894063</v>
      </c>
      <c r="G6" s="37" t="n">
        <f aca="false">F6*(1+$D$50)</f>
        <v>1233456.71629576</v>
      </c>
      <c r="H6" s="37" t="n">
        <f aca="false">G6*(1+$D$50)</f>
        <v>1256584.02972631</v>
      </c>
      <c r="I6" s="37" t="n">
        <f aca="false">H6*(1+$D$50)</f>
        <v>1280144.98028368</v>
      </c>
      <c r="J6" s="37" t="n">
        <f aca="false">I6*(1+$D$50)</f>
        <v>1304147.69866399</v>
      </c>
      <c r="K6" s="37" t="n">
        <f aca="false">J6*(1+$D$50)</f>
        <v>1328600.46801394</v>
      </c>
      <c r="L6" s="37" t="n">
        <f aca="false">K6*(1+$D$50)</f>
        <v>1353511.72678921</v>
      </c>
      <c r="M6" s="37" t="n">
        <f aca="false">L6*(1+$D$50)</f>
        <v>1378890.0716665</v>
      </c>
      <c r="N6" s="37" t="n">
        <f aca="false">M6*(1+$D$50)</f>
        <v>1404744.26051025</v>
      </c>
      <c r="O6" s="37" t="n">
        <f aca="false">N6*(1+$D$50)</f>
        <v>1431083.21539482</v>
      </c>
      <c r="P6" s="37" t="n">
        <f aca="false">O6*(1+$D$50)</f>
        <v>1457916.02568347</v>
      </c>
      <c r="Q6" s="37" t="n">
        <f aca="false">P6*(1+$D$50)</f>
        <v>1485251.95116504</v>
      </c>
      <c r="R6" s="37" t="n">
        <f aca="false">Q6*(1+$D$50)</f>
        <v>1513100.42524938</v>
      </c>
      <c r="S6" s="37" t="n">
        <f aca="false">R6*(1+$D$50)</f>
        <v>1541471.05822281</v>
      </c>
      <c r="T6" s="37" t="n">
        <f aca="false">S6*(1+$D$50)</f>
        <v>1570373.64056448</v>
      </c>
      <c r="U6" s="37" t="n">
        <f aca="false">T6*(1+$D$50)</f>
        <v>1599818.14632507</v>
      </c>
      <c r="V6" s="37" t="n">
        <f aca="false">U6*(1+$D$50)</f>
        <v>1629814.73656866</v>
      </c>
      <c r="W6" s="37" t="n">
        <f aca="false">V6*(1+$D$50)</f>
        <v>1660373.76287933</v>
      </c>
    </row>
    <row r="7" customFormat="false" ht="15" hidden="false" customHeight="true" outlineLevel="0" collapsed="false">
      <c r="B7" s="13" t="s">
        <v>477</v>
      </c>
      <c r="D7" s="66" t="n">
        <f aca="false">CH_OtherInc</f>
        <v>13095</v>
      </c>
      <c r="E7" s="37" t="n">
        <f aca="false">D7*(1+$D$50)</f>
        <v>13340.53125</v>
      </c>
      <c r="F7" s="37" t="n">
        <f aca="false">E7*(1+$D$50)</f>
        <v>13590.6662109375</v>
      </c>
      <c r="G7" s="37" t="n">
        <f aca="false">F7*(1+$D$50)</f>
        <v>13845.4912023926</v>
      </c>
      <c r="H7" s="37" t="n">
        <f aca="false">G7*(1+$D$50)</f>
        <v>14105.0941624374</v>
      </c>
      <c r="I7" s="37" t="n">
        <f aca="false">H7*(1+$D$50)</f>
        <v>14369.5646779831</v>
      </c>
      <c r="J7" s="37" t="n">
        <f aca="false">I7*(1+$D$50)</f>
        <v>14638.9940156953</v>
      </c>
      <c r="K7" s="37" t="n">
        <f aca="false">J7*(1+$D$50)</f>
        <v>14913.4751534896</v>
      </c>
      <c r="L7" s="37" t="n">
        <f aca="false">K7*(1+$D$50)</f>
        <v>15193.1028126175</v>
      </c>
      <c r="M7" s="37" t="n">
        <f aca="false">L7*(1+$D$50)</f>
        <v>15477.9734903541</v>
      </c>
      <c r="N7" s="37" t="n">
        <f aca="false">M7*(1+$D$50)</f>
        <v>15768.1854932983</v>
      </c>
      <c r="O7" s="37" t="n">
        <f aca="false">N7*(1+$D$50)</f>
        <v>16063.8389712976</v>
      </c>
      <c r="P7" s="37" t="n">
        <f aca="false">O7*(1+$D$50)</f>
        <v>16365.0359520094</v>
      </c>
      <c r="Q7" s="37" t="n">
        <f aca="false">P7*(1+$D$50)</f>
        <v>16671.8803761096</v>
      </c>
      <c r="R7" s="37" t="n">
        <f aca="false">Q7*(1+$D$50)</f>
        <v>16984.4781331617</v>
      </c>
      <c r="S7" s="37" t="n">
        <f aca="false">R7*(1+$D$50)</f>
        <v>17302.9370981585</v>
      </c>
      <c r="T7" s="37" t="n">
        <f aca="false">S7*(1+$D$50)</f>
        <v>17627.3671687489</v>
      </c>
      <c r="U7" s="37" t="n">
        <f aca="false">T7*(1+$D$50)</f>
        <v>17957.880303163</v>
      </c>
      <c r="V7" s="37" t="n">
        <f aca="false">U7*(1+$D$50)</f>
        <v>18294.5905588473</v>
      </c>
      <c r="W7" s="37" t="n">
        <f aca="false">V7*(1+$D$50)</f>
        <v>18637.6141318257</v>
      </c>
    </row>
    <row r="9" customFormat="false" ht="15" hidden="false" customHeight="true" outlineLevel="0" collapsed="false">
      <c r="B9" s="19" t="s">
        <v>787</v>
      </c>
      <c r="D9" s="21" t="n">
        <f aca="false">SUM(D6:D7)</f>
        <v>1179692.52</v>
      </c>
      <c r="E9" s="21" t="n">
        <f aca="false">SUM(E6:E7)</f>
        <v>1201811.75475</v>
      </c>
      <c r="F9" s="21" t="n">
        <f aca="false">SUM(F6:F7)</f>
        <v>1224345.72515156</v>
      </c>
      <c r="G9" s="21" t="n">
        <f aca="false">SUM(G6:G7)</f>
        <v>1247302.20749815</v>
      </c>
      <c r="H9" s="21" t="n">
        <f aca="false">SUM(H6:H7)</f>
        <v>1270689.12388874</v>
      </c>
      <c r="I9" s="21" t="n">
        <f aca="false">SUM(I6:I7)</f>
        <v>1294514.54496166</v>
      </c>
      <c r="J9" s="21" t="n">
        <f aca="false">SUM(J6:J7)</f>
        <v>1318786.69267969</v>
      </c>
      <c r="K9" s="21" t="n">
        <f aca="false">SUM(K6:K7)</f>
        <v>1343513.94316743</v>
      </c>
      <c r="L9" s="21" t="n">
        <f aca="false">SUM(L6:L7)</f>
        <v>1368704.82960182</v>
      </c>
      <c r="M9" s="21" t="n">
        <f aca="false">SUM(M6:M7)</f>
        <v>1394368.04515686</v>
      </c>
      <c r="N9" s="21" t="n">
        <f aca="false">SUM(N6:N7)</f>
        <v>1420512.44600355</v>
      </c>
      <c r="O9" s="21" t="n">
        <f aca="false">SUM(O6:O7)</f>
        <v>1447147.05436612</v>
      </c>
      <c r="P9" s="21" t="n">
        <f aca="false">SUM(P6:P7)</f>
        <v>1474281.06163548</v>
      </c>
      <c r="Q9" s="21" t="n">
        <f aca="false">SUM(Q6:Q7)</f>
        <v>1501923.83154115</v>
      </c>
      <c r="R9" s="21" t="n">
        <f aca="false">SUM(R6:R7)</f>
        <v>1530084.90338254</v>
      </c>
      <c r="S9" s="21" t="n">
        <f aca="false">SUM(S6:S7)</f>
        <v>1558773.99532097</v>
      </c>
      <c r="T9" s="21" t="n">
        <f aca="false">SUM(T6:T7)</f>
        <v>1588001.00773323</v>
      </c>
      <c r="U9" s="21" t="n">
        <f aca="false">SUM(U6:U7)</f>
        <v>1617776.02662823</v>
      </c>
      <c r="V9" s="21" t="n">
        <f aca="false">SUM(V6:V7)</f>
        <v>1648109.32712751</v>
      </c>
      <c r="W9" s="21" t="n">
        <f aca="false">SUM(W6:W7)</f>
        <v>1679011.37701115</v>
      </c>
      <c r="X9" s="21" t="n">
        <f aca="false">SUM(D9:W9)</f>
        <v>28309350.4176059</v>
      </c>
    </row>
    <row r="10" customFormat="false" ht="15" hidden="false" customHeight="true" outlineLevel="0" collapsed="false">
      <c r="B10" s="13" t="s">
        <v>788</v>
      </c>
      <c r="D10" s="37" t="n">
        <f aca="false">-CH_VacHAP*D9</f>
        <v>-42115.022964</v>
      </c>
      <c r="E10" s="37" t="n">
        <f aca="false">-CH_VacHAP*E9</f>
        <v>-42904.679644575</v>
      </c>
      <c r="F10" s="37" t="n">
        <f aca="false">-CH_VacHAP*F9</f>
        <v>-43709.1423879108</v>
      </c>
      <c r="G10" s="37" t="n">
        <f aca="false">-CH_VacHAP*G9</f>
        <v>-44528.6888076841</v>
      </c>
      <c r="H10" s="37" t="n">
        <f aca="false">-CH_VacHAP*H9</f>
        <v>-45363.6017228282</v>
      </c>
      <c r="I10" s="37" t="n">
        <f aca="false">-CH_VacHAP*I9</f>
        <v>-46214.1692551312</v>
      </c>
      <c r="J10" s="37" t="n">
        <f aca="false">-CH_VacHAP*J9</f>
        <v>-47080.6849286649</v>
      </c>
      <c r="K10" s="37" t="n">
        <f aca="false">-CH_VacHAP*K9</f>
        <v>-47963.4477710774</v>
      </c>
      <c r="L10" s="37" t="n">
        <f aca="false">-CH_VacHAP*L9</f>
        <v>-48862.7624167851</v>
      </c>
      <c r="M10" s="37" t="n">
        <f aca="false">-CH_VacHAP*M9</f>
        <v>-49778.9392120998</v>
      </c>
      <c r="N10" s="37" t="n">
        <f aca="false">-CH_VacHAP*N9</f>
        <v>-50712.2943223267</v>
      </c>
      <c r="O10" s="37" t="n">
        <f aca="false">-CH_VacHAP*O9</f>
        <v>-51663.1498408703</v>
      </c>
      <c r="P10" s="37" t="n">
        <f aca="false">-CH_VacHAP*P9</f>
        <v>-52631.8339003867</v>
      </c>
      <c r="Q10" s="37" t="n">
        <f aca="false">-CH_VacHAP*Q9</f>
        <v>-53618.6807860189</v>
      </c>
      <c r="R10" s="37" t="n">
        <f aca="false">-CH_VacHAP*R9</f>
        <v>-54624.0310507568</v>
      </c>
      <c r="S10" s="37" t="n">
        <f aca="false">-CH_VacHAP*S9</f>
        <v>-55648.2316329585</v>
      </c>
      <c r="T10" s="37" t="n">
        <f aca="false">-CH_VacHAP*T9</f>
        <v>-56691.6359760764</v>
      </c>
      <c r="U10" s="37" t="n">
        <f aca="false">-CH_VacHAP*U9</f>
        <v>-57754.6041506279</v>
      </c>
      <c r="V10" s="37" t="n">
        <f aca="false">-CH_VacHAP*V9</f>
        <v>-58837.5029784522</v>
      </c>
      <c r="W10" s="37" t="n">
        <f aca="false">-CH_VacHAP*W9</f>
        <v>-59940.7061592981</v>
      </c>
    </row>
    <row r="11" customFormat="false" ht="15" hidden="false" customHeight="true" outlineLevel="0" collapsed="false">
      <c r="B11" s="13" t="s">
        <v>789</v>
      </c>
      <c r="D11" s="37" t="n">
        <f aca="false">-D9*CH_OfflinePct*MAX(0,MIN(CH_RehabMonths-0,12))/12</f>
        <v>-49153.855</v>
      </c>
      <c r="E11" s="37" t="n">
        <f aca="false">-E9*CH_OfflinePct*MAX(0,MIN(CH_RehabMonths-12,12))/12</f>
        <v>-0</v>
      </c>
      <c r="F11" s="37" t="n">
        <f aca="false">-F9*CH_OfflinePct*MAX(0,MIN(CH_RehabMonths-24,12))/12</f>
        <v>-0</v>
      </c>
      <c r="G11" s="37" t="n">
        <f aca="false">-G9*CH_OfflinePct*MAX(0,MIN(CH_RehabMonths-36,12))/12</f>
        <v>-0</v>
      </c>
      <c r="H11" s="37" t="n">
        <f aca="false">-H9*CH_OfflinePct*MAX(0,MIN(CH_RehabMonths-48,12))/12</f>
        <v>-0</v>
      </c>
      <c r="I11" s="37" t="n">
        <f aca="false">-I9*CH_OfflinePct*MAX(0,MIN(CH_RehabMonths-60,12))/12</f>
        <v>-0</v>
      </c>
      <c r="J11" s="37" t="n">
        <f aca="false">-J9*CH_OfflinePct*MAX(0,MIN(CH_RehabMonths-72,12))/12</f>
        <v>-0</v>
      </c>
      <c r="K11" s="37" t="n">
        <f aca="false">-K9*CH_OfflinePct*MAX(0,MIN(CH_RehabMonths-84,12))/12</f>
        <v>-0</v>
      </c>
      <c r="L11" s="37" t="n">
        <f aca="false">-L9*CH_OfflinePct*MAX(0,MIN(CH_RehabMonths-96,12))/12</f>
        <v>-0</v>
      </c>
      <c r="M11" s="37" t="n">
        <f aca="false">-M9*CH_OfflinePct*MAX(0,MIN(CH_RehabMonths-108,12))/12</f>
        <v>-0</v>
      </c>
      <c r="N11" s="37" t="n">
        <f aca="false">-N9*CH_OfflinePct*MAX(0,MIN(CH_RehabMonths-120,12))/12</f>
        <v>-0</v>
      </c>
      <c r="O11" s="37" t="n">
        <f aca="false">-O9*CH_OfflinePct*MAX(0,MIN(CH_RehabMonths-132,12))/12</f>
        <v>-0</v>
      </c>
      <c r="P11" s="37" t="n">
        <f aca="false">-P9*CH_OfflinePct*MAX(0,MIN(CH_RehabMonths-144,12))/12</f>
        <v>-0</v>
      </c>
      <c r="Q11" s="37" t="n">
        <f aca="false">-Q9*CH_OfflinePct*MAX(0,MIN(CH_RehabMonths-156,12))/12</f>
        <v>-0</v>
      </c>
      <c r="R11" s="37" t="n">
        <f aca="false">-R9*CH_OfflinePct*MAX(0,MIN(CH_RehabMonths-168,12))/12</f>
        <v>-0</v>
      </c>
      <c r="S11" s="37" t="n">
        <f aca="false">-S9*CH_OfflinePct*MAX(0,MIN(CH_RehabMonths-180,12))/12</f>
        <v>-0</v>
      </c>
      <c r="T11" s="37" t="n">
        <f aca="false">-T9*CH_OfflinePct*MAX(0,MIN(CH_RehabMonths-192,12))/12</f>
        <v>-0</v>
      </c>
      <c r="U11" s="37" t="n">
        <f aca="false">-U9*CH_OfflinePct*MAX(0,MIN(CH_RehabMonths-204,12))/12</f>
        <v>-0</v>
      </c>
      <c r="V11" s="37" t="n">
        <f aca="false">-V9*CH_OfflinePct*MAX(0,MIN(CH_RehabMonths-216,12))/12</f>
        <v>-0</v>
      </c>
      <c r="W11" s="37" t="n">
        <f aca="false">-W9*CH_OfflinePct*MAX(0,MIN(CH_RehabMonths-228,12))/12</f>
        <v>-0</v>
      </c>
    </row>
    <row r="13" customFormat="false" ht="15" hidden="false" customHeight="true" outlineLevel="0" collapsed="false">
      <c r="B13" s="19" t="s">
        <v>790</v>
      </c>
      <c r="D13" s="21" t="n">
        <f aca="false">D9+D10+D11</f>
        <v>1088423.642036</v>
      </c>
      <c r="E13" s="21" t="n">
        <f aca="false">E9+E10+E11</f>
        <v>1158907.07510543</v>
      </c>
      <c r="F13" s="21" t="n">
        <f aca="false">F9+F10+F11</f>
        <v>1180636.58276365</v>
      </c>
      <c r="G13" s="21" t="n">
        <f aca="false">G9+G10+G11</f>
        <v>1202773.51869047</v>
      </c>
      <c r="H13" s="21" t="n">
        <f aca="false">H9+H10+H11</f>
        <v>1225325.52216592</v>
      </c>
      <c r="I13" s="21" t="n">
        <f aca="false">I9+I10+I11</f>
        <v>1248300.37570653</v>
      </c>
      <c r="J13" s="21" t="n">
        <f aca="false">J9+J10+J11</f>
        <v>1271706.00775103</v>
      </c>
      <c r="K13" s="21" t="n">
        <f aca="false">K9+K10+K11</f>
        <v>1295550.49539636</v>
      </c>
      <c r="L13" s="21" t="n">
        <f aca="false">L9+L10+L11</f>
        <v>1319842.06718504</v>
      </c>
      <c r="M13" s="21" t="n">
        <f aca="false">M9+M10+M11</f>
        <v>1344589.10594476</v>
      </c>
      <c r="N13" s="21" t="n">
        <f aca="false">N9+N10+N11</f>
        <v>1369800.15168122</v>
      </c>
      <c r="O13" s="21" t="n">
        <f aca="false">O9+O10+O11</f>
        <v>1395483.90452525</v>
      </c>
      <c r="P13" s="21" t="n">
        <f aca="false">P9+P10+P11</f>
        <v>1421649.22773509</v>
      </c>
      <c r="Q13" s="21" t="n">
        <f aca="false">Q9+Q10+Q11</f>
        <v>1448305.15075513</v>
      </c>
      <c r="R13" s="21" t="n">
        <f aca="false">R9+R10+R11</f>
        <v>1475460.87233179</v>
      </c>
      <c r="S13" s="21" t="n">
        <f aca="false">S9+S10+S11</f>
        <v>1503125.76368801</v>
      </c>
      <c r="T13" s="21" t="n">
        <f aca="false">T9+T10+T11</f>
        <v>1531309.37175716</v>
      </c>
      <c r="U13" s="21" t="n">
        <f aca="false">U9+U10+U11</f>
        <v>1560021.4224776</v>
      </c>
      <c r="V13" s="21" t="n">
        <f aca="false">V9+V10+V11</f>
        <v>1589271.82414906</v>
      </c>
      <c r="W13" s="21" t="n">
        <f aca="false">W9+W10+W11</f>
        <v>1619070.67085185</v>
      </c>
      <c r="X13" s="21" t="n">
        <f aca="false">SUM(D13:W13)</f>
        <v>27249552.7526973</v>
      </c>
    </row>
    <row r="15" customFormat="false" ht="15" hidden="false" customHeight="true" outlineLevel="0" collapsed="false">
      <c r="B15" s="63" t="s">
        <v>791</v>
      </c>
    </row>
    <row r="16" customFormat="false" ht="15" hidden="false" customHeight="true" outlineLevel="0" collapsed="false">
      <c r="B16" s="13" t="s">
        <v>483</v>
      </c>
      <c r="D16" s="37" t="n">
        <f aca="false">MgmtFeePct*D13</f>
        <v>43536.94568144</v>
      </c>
      <c r="E16" s="37" t="n">
        <f aca="false">MgmtFeePct*E13</f>
        <v>46356.283004217</v>
      </c>
      <c r="F16" s="37" t="n">
        <f aca="false">MgmtFeePct*F13</f>
        <v>47225.4633105461</v>
      </c>
      <c r="G16" s="37" t="n">
        <f aca="false">MgmtFeePct*G13</f>
        <v>48110.9407476188</v>
      </c>
      <c r="H16" s="37" t="n">
        <f aca="false">MgmtFeePct*H13</f>
        <v>49013.0208866367</v>
      </c>
      <c r="I16" s="37" t="n">
        <f aca="false">MgmtFeePct*I13</f>
        <v>49932.0150282611</v>
      </c>
      <c r="J16" s="37" t="n">
        <f aca="false">MgmtFeePct*J13</f>
        <v>50868.240310041</v>
      </c>
      <c r="K16" s="37" t="n">
        <f aca="false">MgmtFeePct*K13</f>
        <v>51822.0198158543</v>
      </c>
      <c r="L16" s="37" t="n">
        <f aca="false">MgmtFeePct*L13</f>
        <v>52793.6826874015</v>
      </c>
      <c r="M16" s="37" t="n">
        <f aca="false">MgmtFeePct*M13</f>
        <v>53783.5642377903</v>
      </c>
      <c r="N16" s="37" t="n">
        <f aca="false">MgmtFeePct*N13</f>
        <v>54792.0060672489</v>
      </c>
      <c r="O16" s="37" t="n">
        <f aca="false">MgmtFeePct*O13</f>
        <v>55819.3561810098</v>
      </c>
      <c r="P16" s="37" t="n">
        <f aca="false">MgmtFeePct*P13</f>
        <v>56865.9691094038</v>
      </c>
      <c r="Q16" s="37" t="n">
        <f aca="false">MgmtFeePct*Q13</f>
        <v>57932.2060302051</v>
      </c>
      <c r="R16" s="37" t="n">
        <f aca="false">MgmtFeePct*R13</f>
        <v>59018.4348932714</v>
      </c>
      <c r="S16" s="37" t="n">
        <f aca="false">MgmtFeePct*S13</f>
        <v>60125.0305475203</v>
      </c>
      <c r="T16" s="37" t="n">
        <f aca="false">MgmtFeePct*T13</f>
        <v>61252.3748702863</v>
      </c>
      <c r="U16" s="37" t="n">
        <f aca="false">MgmtFeePct*U13</f>
        <v>62400.8568991042</v>
      </c>
      <c r="V16" s="37" t="n">
        <f aca="false">MgmtFeePct*V13</f>
        <v>63570.8729659624</v>
      </c>
      <c r="W16" s="37" t="n">
        <f aca="false">MgmtFeePct*W13</f>
        <v>64762.8268340742</v>
      </c>
    </row>
    <row r="17" customFormat="false" ht="15" hidden="false" customHeight="true" outlineLevel="0" collapsed="false">
      <c r="B17" s="13" t="s">
        <v>792</v>
      </c>
      <c r="D17" s="66" t="n">
        <f aca="false">'Rev+Expenses'!C19</f>
        <v>163492.1163</v>
      </c>
      <c r="E17" s="37" t="n">
        <f aca="false">D17*(1+$D$51)</f>
        <v>168396.879789</v>
      </c>
      <c r="F17" s="37" t="n">
        <f aca="false">E17*(1+$D$51)</f>
        <v>173448.78618267</v>
      </c>
      <c r="G17" s="37" t="n">
        <f aca="false">F17*(1+$D$51)</f>
        <v>178652.24976815</v>
      </c>
      <c r="H17" s="37" t="n">
        <f aca="false">G17*(1+$D$51)</f>
        <v>184011.817261195</v>
      </c>
      <c r="I17" s="37" t="n">
        <f aca="false">H17*(1+$D$51)</f>
        <v>189532.17177903</v>
      </c>
      <c r="J17" s="37" t="n">
        <f aca="false">I17*(1+$D$51)</f>
        <v>195218.136932401</v>
      </c>
      <c r="K17" s="37" t="n">
        <f aca="false">J17*(1+$D$51)</f>
        <v>201074.681040373</v>
      </c>
      <c r="L17" s="37" t="n">
        <f aca="false">K17*(1+$D$51)</f>
        <v>207106.921471585</v>
      </c>
      <c r="M17" s="37" t="n">
        <f aca="false">L17*(1+$D$51)</f>
        <v>213320.129115732</v>
      </c>
      <c r="N17" s="37" t="n">
        <f aca="false">M17*(1+$D$51)</f>
        <v>219719.732989204</v>
      </c>
      <c r="O17" s="37" t="n">
        <f aca="false">N17*(1+$D$51)</f>
        <v>226311.32497888</v>
      </c>
      <c r="P17" s="37" t="n">
        <f aca="false">O17*(1+$D$51)</f>
        <v>233100.664728247</v>
      </c>
      <c r="Q17" s="37" t="n">
        <f aca="false">P17*(1+$D$51)</f>
        <v>240093.684670094</v>
      </c>
      <c r="R17" s="37" t="n">
        <f aca="false">Q17*(1+$D$51)</f>
        <v>247296.495210197</v>
      </c>
      <c r="S17" s="37" t="n">
        <f aca="false">R17*(1+$D$51)</f>
        <v>254715.390066503</v>
      </c>
      <c r="T17" s="37" t="n">
        <f aca="false">S17*(1+$D$51)</f>
        <v>262356.851768498</v>
      </c>
      <c r="U17" s="37" t="n">
        <f aca="false">T17*(1+$D$51)</f>
        <v>270227.557321553</v>
      </c>
      <c r="V17" s="37" t="n">
        <f aca="false">U17*(1+$D$51)</f>
        <v>278334.384041199</v>
      </c>
      <c r="W17" s="37" t="n">
        <f aca="false">V17*(1+$D$51)</f>
        <v>286684.415562435</v>
      </c>
    </row>
    <row r="18" customFormat="false" ht="15" hidden="false" customHeight="true" outlineLevel="0" collapsed="false">
      <c r="B18" s="13" t="s">
        <v>224</v>
      </c>
      <c r="D18" s="66" t="n">
        <f aca="false">'Rev+Expenses'!C20</f>
        <v>137600.8518</v>
      </c>
      <c r="E18" s="37" t="n">
        <f aca="false">D18*(1+$D$51)</f>
        <v>141728.877354</v>
      </c>
      <c r="F18" s="37" t="n">
        <f aca="false">E18*(1+$D$51)</f>
        <v>145980.74367462</v>
      </c>
      <c r="G18" s="37" t="n">
        <f aca="false">F18*(1+$D$51)</f>
        <v>150360.165984859</v>
      </c>
      <c r="H18" s="37" t="n">
        <f aca="false">G18*(1+$D$51)</f>
        <v>154870.970964404</v>
      </c>
      <c r="I18" s="37" t="n">
        <f aca="false">H18*(1+$D$51)</f>
        <v>159517.100093337</v>
      </c>
      <c r="J18" s="37" t="n">
        <f aca="false">I18*(1+$D$51)</f>
        <v>164302.613096137</v>
      </c>
      <c r="K18" s="37" t="n">
        <f aca="false">J18*(1+$D$51)</f>
        <v>169231.691489021</v>
      </c>
      <c r="L18" s="37" t="n">
        <f aca="false">K18*(1+$D$51)</f>
        <v>174308.642233691</v>
      </c>
      <c r="M18" s="37" t="n">
        <f aca="false">L18*(1+$D$51)</f>
        <v>179537.901500702</v>
      </c>
      <c r="N18" s="37" t="n">
        <f aca="false">M18*(1+$D$51)</f>
        <v>184924.038545723</v>
      </c>
      <c r="O18" s="37" t="n">
        <f aca="false">N18*(1+$D$51)</f>
        <v>190471.759702095</v>
      </c>
      <c r="P18" s="37" t="n">
        <f aca="false">O18*(1+$D$51)</f>
        <v>196185.912493158</v>
      </c>
      <c r="Q18" s="37" t="n">
        <f aca="false">P18*(1+$D$51)</f>
        <v>202071.489867952</v>
      </c>
      <c r="R18" s="37" t="n">
        <f aca="false">Q18*(1+$D$51)</f>
        <v>208133.634563991</v>
      </c>
      <c r="S18" s="37" t="n">
        <f aca="false">R18*(1+$D$51)</f>
        <v>214377.643600911</v>
      </c>
      <c r="T18" s="37" t="n">
        <f aca="false">S18*(1+$D$51)</f>
        <v>220808.972908938</v>
      </c>
      <c r="U18" s="37" t="n">
        <f aca="false">T18*(1+$D$51)</f>
        <v>227433.242096206</v>
      </c>
      <c r="V18" s="37" t="n">
        <f aca="false">U18*(1+$D$51)</f>
        <v>234256.239359092</v>
      </c>
      <c r="W18" s="37" t="n">
        <f aca="false">V18*(1+$D$51)</f>
        <v>241283.926539865</v>
      </c>
    </row>
    <row r="19" customFormat="false" ht="15" hidden="false" customHeight="true" outlineLevel="0" collapsed="false">
      <c r="B19" s="13" t="s">
        <v>485</v>
      </c>
      <c r="D19" s="66" t="n">
        <f aca="false">'Rev+Expenses'!C21</f>
        <v>349669.4573</v>
      </c>
      <c r="E19" s="37" t="n">
        <f aca="false">D19*(1+$D$51)</f>
        <v>360159.541019</v>
      </c>
      <c r="F19" s="37" t="n">
        <f aca="false">E19*(1+$D$51)</f>
        <v>370964.32724957</v>
      </c>
      <c r="G19" s="37" t="n">
        <f aca="false">F19*(1+$D$51)</f>
        <v>382093.257067057</v>
      </c>
      <c r="H19" s="37" t="n">
        <f aca="false">G19*(1+$D$51)</f>
        <v>393556.054779069</v>
      </c>
      <c r="I19" s="37" t="n">
        <f aca="false">H19*(1+$D$51)</f>
        <v>405362.736422441</v>
      </c>
      <c r="J19" s="37" t="n">
        <f aca="false">I19*(1+$D$51)</f>
        <v>417523.618515114</v>
      </c>
      <c r="K19" s="37" t="n">
        <f aca="false">J19*(1+$D$51)</f>
        <v>430049.327070568</v>
      </c>
      <c r="L19" s="37" t="n">
        <f aca="false">K19*(1+$D$51)</f>
        <v>442950.806882685</v>
      </c>
      <c r="M19" s="37" t="n">
        <f aca="false">L19*(1+$D$51)</f>
        <v>456239.331089165</v>
      </c>
      <c r="N19" s="37" t="n">
        <f aca="false">M19*(1+$D$51)</f>
        <v>469926.51102184</v>
      </c>
      <c r="O19" s="37" t="n">
        <f aca="false">N19*(1+$D$51)</f>
        <v>484024.306352495</v>
      </c>
      <c r="P19" s="37" t="n">
        <f aca="false">O19*(1+$D$51)</f>
        <v>498545.03554307</v>
      </c>
      <c r="Q19" s="37" t="n">
        <f aca="false">P19*(1+$D$51)</f>
        <v>513501.386609362</v>
      </c>
      <c r="R19" s="37" t="n">
        <f aca="false">Q19*(1+$D$51)</f>
        <v>528906.428207643</v>
      </c>
      <c r="S19" s="37" t="n">
        <f aca="false">R19*(1+$D$51)</f>
        <v>544773.621053873</v>
      </c>
      <c r="T19" s="37" t="n">
        <f aca="false">S19*(1+$D$51)</f>
        <v>561116.829685489</v>
      </c>
      <c r="U19" s="37" t="n">
        <f aca="false">T19*(1+$D$51)</f>
        <v>577950.334576054</v>
      </c>
      <c r="V19" s="37" t="n">
        <f aca="false">U19*(1+$D$51)</f>
        <v>595288.844613335</v>
      </c>
      <c r="W19" s="37" t="n">
        <f aca="false">V19*(1+$D$51)</f>
        <v>613147.509951735</v>
      </c>
    </row>
    <row r="20" customFormat="false" ht="15" hidden="false" customHeight="true" outlineLevel="0" collapsed="false">
      <c r="B20" s="13" t="s">
        <v>793</v>
      </c>
      <c r="D20" s="66" t="n">
        <f aca="false">'Rev+Expenses'!C22</f>
        <v>74675.6901</v>
      </c>
      <c r="E20" s="37" t="n">
        <f aca="false">D20*(1+$D$51)</f>
        <v>76915.960803</v>
      </c>
      <c r="F20" s="37" t="n">
        <f aca="false">E20*(1+$D$51)</f>
        <v>79223.43962709</v>
      </c>
      <c r="G20" s="37" t="n">
        <f aca="false">F20*(1+$D$51)</f>
        <v>81600.1428159027</v>
      </c>
      <c r="H20" s="37" t="n">
        <f aca="false">G20*(1+$D$51)</f>
        <v>84048.1471003798</v>
      </c>
      <c r="I20" s="37" t="n">
        <f aca="false">H20*(1+$D$51)</f>
        <v>86569.5915133912</v>
      </c>
      <c r="J20" s="37" t="n">
        <f aca="false">I20*(1+$D$51)</f>
        <v>89166.6792587929</v>
      </c>
      <c r="K20" s="37" t="n">
        <f aca="false">J20*(1+$D$51)</f>
        <v>91841.6796365567</v>
      </c>
      <c r="L20" s="37" t="n">
        <f aca="false">K20*(1+$D$51)</f>
        <v>94596.9300256534</v>
      </c>
      <c r="M20" s="37" t="n">
        <f aca="false">L20*(1+$D$51)</f>
        <v>97434.837926423</v>
      </c>
      <c r="N20" s="37" t="n">
        <f aca="false">M20*(1+$D$51)</f>
        <v>100357.883064216</v>
      </c>
      <c r="O20" s="37" t="n">
        <f aca="false">N20*(1+$D$51)</f>
        <v>103368.619556142</v>
      </c>
      <c r="P20" s="37" t="n">
        <f aca="false">O20*(1+$D$51)</f>
        <v>106469.678142826</v>
      </c>
      <c r="Q20" s="37" t="n">
        <f aca="false">P20*(1+$D$51)</f>
        <v>109663.768487111</v>
      </c>
      <c r="R20" s="37" t="n">
        <f aca="false">Q20*(1+$D$51)</f>
        <v>112953.681541725</v>
      </c>
      <c r="S20" s="37" t="n">
        <f aca="false">R20*(1+$D$51)</f>
        <v>116342.291987976</v>
      </c>
      <c r="T20" s="37" t="n">
        <f aca="false">S20*(1+$D$51)</f>
        <v>119832.560747616</v>
      </c>
      <c r="U20" s="37" t="n">
        <f aca="false">T20*(1+$D$51)</f>
        <v>123427.537570044</v>
      </c>
      <c r="V20" s="37" t="n">
        <f aca="false">U20*(1+$D$51)</f>
        <v>127130.363697145</v>
      </c>
      <c r="W20" s="37" t="n">
        <f aca="false">V20*(1+$D$51)</f>
        <v>130944.27460806</v>
      </c>
    </row>
    <row r="21" customFormat="false" ht="15" hidden="false" customHeight="true" outlineLevel="0" collapsed="false">
      <c r="B21" s="13" t="s">
        <v>794</v>
      </c>
      <c r="D21" s="66" t="n">
        <f aca="false">'Rev+Expenses'!C23</f>
        <v>98737.4736</v>
      </c>
      <c r="E21" s="37" t="n">
        <f aca="false">D21*(1+InsGrowth)</f>
        <v>104661.722016</v>
      </c>
      <c r="F21" s="37" t="n">
        <f aca="false">E21*(1+InsGrowth)</f>
        <v>110941.42533696</v>
      </c>
      <c r="G21" s="37" t="n">
        <f aca="false">F21*(1+InsGrowth)</f>
        <v>117597.910857178</v>
      </c>
      <c r="H21" s="37" t="n">
        <f aca="false">G21*(1+InsGrowth)</f>
        <v>124653.785508608</v>
      </c>
      <c r="I21" s="37" t="n">
        <f aca="false">H21*(1+InsGrowth)</f>
        <v>132133.012639125</v>
      </c>
      <c r="J21" s="37" t="n">
        <f aca="false">I21*(1+InsGrowth)</f>
        <v>140060.993397472</v>
      </c>
      <c r="K21" s="37" t="n">
        <f aca="false">J21*(1+InsGrowth)</f>
        <v>148464.653001321</v>
      </c>
      <c r="L21" s="37" t="n">
        <f aca="false">K21*(1+InsGrowth)</f>
        <v>157372.5321814</v>
      </c>
      <c r="M21" s="37" t="n">
        <f aca="false">L21*(1+InsGrowth)</f>
        <v>166814.884112284</v>
      </c>
      <c r="N21" s="37" t="n">
        <f aca="false">M21*(1+InsGrowth)</f>
        <v>176823.777159021</v>
      </c>
      <c r="O21" s="37" t="n">
        <f aca="false">N21*(1+InsGrowth)</f>
        <v>187433.203788562</v>
      </c>
      <c r="P21" s="37" t="n">
        <f aca="false">O21*(1+InsGrowth)</f>
        <v>198679.196015876</v>
      </c>
      <c r="Q21" s="37" t="n">
        <f aca="false">P21*(1+InsGrowth)</f>
        <v>210599.947776828</v>
      </c>
      <c r="R21" s="37" t="n">
        <f aca="false">Q21*(1+InsGrowth)</f>
        <v>223235.944643438</v>
      </c>
      <c r="S21" s="37" t="n">
        <f aca="false">R21*(1+InsGrowth)</f>
        <v>236630.101322045</v>
      </c>
      <c r="T21" s="37" t="n">
        <f aca="false">S21*(1+InsGrowth)</f>
        <v>250827.907401367</v>
      </c>
      <c r="U21" s="37" t="n">
        <f aca="false">T21*(1+InsGrowth)</f>
        <v>265877.581845449</v>
      </c>
      <c r="V21" s="37" t="n">
        <f aca="false">U21*(1+InsGrowth)</f>
        <v>281830.236756176</v>
      </c>
      <c r="W21" s="37" t="n">
        <f aca="false">V21*(1+InsGrowth)</f>
        <v>298740.050961547</v>
      </c>
    </row>
    <row r="23" customFormat="false" ht="15" hidden="false" customHeight="true" outlineLevel="0" collapsed="false">
      <c r="B23" s="19" t="s">
        <v>488</v>
      </c>
      <c r="D23" s="21" t="n">
        <f aca="false">SUM(D16:D21)</f>
        <v>867712.53478144</v>
      </c>
      <c r="E23" s="21" t="n">
        <f aca="false">SUM(E16:E21)</f>
        <v>898219.263985217</v>
      </c>
      <c r="F23" s="21" t="n">
        <f aca="false">SUM(F16:F21)</f>
        <v>927784.185381456</v>
      </c>
      <c r="G23" s="21" t="n">
        <f aca="false">SUM(G16:G21)</f>
        <v>958414.667240765</v>
      </c>
      <c r="H23" s="21" t="n">
        <f aca="false">SUM(H16:H21)</f>
        <v>990153.796500293</v>
      </c>
      <c r="I23" s="21" t="n">
        <f aca="false">SUM(I16:I21)</f>
        <v>1023046.62747559</v>
      </c>
      <c r="J23" s="21" t="n">
        <f aca="false">SUM(J16:J21)</f>
        <v>1057140.28150996</v>
      </c>
      <c r="K23" s="21" t="n">
        <f aca="false">SUM(K16:K21)</f>
        <v>1092484.05205369</v>
      </c>
      <c r="L23" s="21" t="n">
        <f aca="false">SUM(L16:L21)</f>
        <v>1129129.51548242</v>
      </c>
      <c r="M23" s="21" t="n">
        <f aca="false">SUM(M16:M21)</f>
        <v>1167130.6479821</v>
      </c>
      <c r="N23" s="21" t="n">
        <f aca="false">SUM(N16:N21)</f>
        <v>1206543.94884725</v>
      </c>
      <c r="O23" s="21" t="n">
        <f aca="false">SUM(O16:O21)</f>
        <v>1247428.57055918</v>
      </c>
      <c r="P23" s="21" t="n">
        <f aca="false">SUM(P16:P21)</f>
        <v>1289846.45603258</v>
      </c>
      <c r="Q23" s="21" t="n">
        <f aca="false">SUM(Q16:Q21)</f>
        <v>1333862.48344155</v>
      </c>
      <c r="R23" s="21" t="n">
        <f aca="false">SUM(R16:R21)</f>
        <v>1379544.61906027</v>
      </c>
      <c r="S23" s="21" t="n">
        <f aca="false">SUM(S16:S21)</f>
        <v>1426964.07857883</v>
      </c>
      <c r="T23" s="21" t="n">
        <f aca="false">SUM(T16:T21)</f>
        <v>1476195.49738219</v>
      </c>
      <c r="U23" s="21" t="n">
        <f aca="false">SUM(U16:U21)</f>
        <v>1527317.11030841</v>
      </c>
      <c r="V23" s="21" t="n">
        <f aca="false">SUM(V16:V21)</f>
        <v>1580410.94143291</v>
      </c>
      <c r="W23" s="21" t="n">
        <f aca="false">SUM(W16:W21)</f>
        <v>1635563.00445772</v>
      </c>
      <c r="X23" s="21" t="n">
        <f aca="false">SUM(D23:W23)</f>
        <v>24214892.2824938</v>
      </c>
    </row>
    <row r="25" customFormat="false" ht="15" hidden="false" customHeight="true" outlineLevel="0" collapsed="false">
      <c r="B25" s="19" t="s">
        <v>489</v>
      </c>
      <c r="D25" s="21" t="n">
        <f aca="false">D13-D23</f>
        <v>220711.10725456</v>
      </c>
      <c r="E25" s="21" t="n">
        <f aca="false">E13-E23</f>
        <v>260687.811120208</v>
      </c>
      <c r="F25" s="21" t="n">
        <f aca="false">F13-F23</f>
        <v>252852.397382196</v>
      </c>
      <c r="G25" s="21" t="n">
        <f aca="false">G13-G23</f>
        <v>244358.851449705</v>
      </c>
      <c r="H25" s="21" t="n">
        <f aca="false">H13-H23</f>
        <v>235171.725665624</v>
      </c>
      <c r="I25" s="21" t="n">
        <f aca="false">I13-I23</f>
        <v>225253.748230943</v>
      </c>
      <c r="J25" s="21" t="n">
        <f aca="false">J13-J23</f>
        <v>214565.726241067</v>
      </c>
      <c r="K25" s="21" t="n">
        <f aca="false">K13-K23</f>
        <v>203066.443342663</v>
      </c>
      <c r="L25" s="21" t="n">
        <f aca="false">L13-L23</f>
        <v>190712.551702623</v>
      </c>
      <c r="M25" s="21" t="n">
        <f aca="false">M13-M23</f>
        <v>177458.457962661</v>
      </c>
      <c r="N25" s="21" t="n">
        <f aca="false">N13-N23</f>
        <v>163256.202833969</v>
      </c>
      <c r="O25" s="21" t="n">
        <f aca="false">O13-O23</f>
        <v>148055.333966061</v>
      </c>
      <c r="P25" s="21" t="n">
        <f aca="false">P13-P23</f>
        <v>131802.771702513</v>
      </c>
      <c r="Q25" s="21" t="n">
        <f aca="false">Q13-Q23</f>
        <v>114442.667313573</v>
      </c>
      <c r="R25" s="21" t="n">
        <f aca="false">R13-R23</f>
        <v>95916.2532715201</v>
      </c>
      <c r="S25" s="21" t="n">
        <f aca="false">S13-S23</f>
        <v>76161.6851091792</v>
      </c>
      <c r="T25" s="21" t="n">
        <f aca="false">T13-T23</f>
        <v>55113.8743749631</v>
      </c>
      <c r="U25" s="21" t="n">
        <f aca="false">U13-U23</f>
        <v>32704.3121691935</v>
      </c>
      <c r="V25" s="21" t="n">
        <f aca="false">V13-V23</f>
        <v>8860.8827161477</v>
      </c>
      <c r="W25" s="21" t="n">
        <f aca="false">W13-W23</f>
        <v>-16492.3336058627</v>
      </c>
      <c r="X25" s="21" t="n">
        <f aca="false">SUM(D25:W25)</f>
        <v>3034660.47020351</v>
      </c>
    </row>
    <row r="27" customFormat="false" ht="15" hidden="false" customHeight="true" outlineLevel="0" collapsed="false">
      <c r="B27" s="13" t="s">
        <v>795</v>
      </c>
      <c r="D27" s="66" t="n">
        <f aca="false">CH_ReservesStab</f>
        <v>31190.46</v>
      </c>
      <c r="E27" s="37" t="n">
        <f aca="false">D27*(1+$D$51)</f>
        <v>32126.1738</v>
      </c>
      <c r="F27" s="37" t="n">
        <f aca="false">E27*(1+$D$51)</f>
        <v>33089.959014</v>
      </c>
      <c r="G27" s="37" t="n">
        <f aca="false">F27*(1+$D$51)</f>
        <v>34082.65778442</v>
      </c>
      <c r="H27" s="37" t="n">
        <f aca="false">G27*(1+$D$51)</f>
        <v>35105.1375179526</v>
      </c>
      <c r="I27" s="37" t="n">
        <f aca="false">H27*(1+$D$51)</f>
        <v>36158.2916434912</v>
      </c>
      <c r="J27" s="37" t="n">
        <f aca="false">I27*(1+$D$51)</f>
        <v>37243.0403927959</v>
      </c>
      <c r="K27" s="37" t="n">
        <f aca="false">J27*(1+$D$51)</f>
        <v>38360.3316045798</v>
      </c>
      <c r="L27" s="37" t="n">
        <f aca="false">K27*(1+$D$51)</f>
        <v>39511.1415527172</v>
      </c>
      <c r="M27" s="37" t="n">
        <f aca="false">L27*(1+$D$51)</f>
        <v>40696.4757992987</v>
      </c>
      <c r="N27" s="37" t="n">
        <f aca="false">M27*(1+$D$51)</f>
        <v>41917.3700732777</v>
      </c>
      <c r="O27" s="37" t="n">
        <f aca="false">N27*(1+$D$51)</f>
        <v>43174.891175476</v>
      </c>
      <c r="P27" s="37" t="n">
        <f aca="false">O27*(1+$D$51)</f>
        <v>44470.1379107403</v>
      </c>
      <c r="Q27" s="37" t="n">
        <f aca="false">P27*(1+$D$51)</f>
        <v>45804.2420480625</v>
      </c>
      <c r="R27" s="37" t="n">
        <f aca="false">Q27*(1+$D$51)</f>
        <v>47178.3693095044</v>
      </c>
      <c r="S27" s="37" t="n">
        <f aca="false">R27*(1+$D$51)</f>
        <v>48593.7203887895</v>
      </c>
      <c r="T27" s="37" t="n">
        <f aca="false">S27*(1+$D$51)</f>
        <v>50051.5320004532</v>
      </c>
      <c r="U27" s="37" t="n">
        <f aca="false">T27*(1+$D$51)</f>
        <v>51553.0779604668</v>
      </c>
      <c r="V27" s="37" t="n">
        <f aca="false">U27*(1+$D$51)</f>
        <v>53099.6702992808</v>
      </c>
      <c r="W27" s="37" t="n">
        <f aca="false">V27*(1+$D$51)</f>
        <v>54692.6604082592</v>
      </c>
    </row>
    <row r="29" customFormat="false" ht="15" hidden="false" customHeight="true" outlineLevel="0" collapsed="false">
      <c r="B29" s="13" t="s">
        <v>796</v>
      </c>
      <c r="D29" s="37" t="n">
        <f aca="false">D59</f>
        <v>204621.142510147</v>
      </c>
      <c r="E29" s="37" t="n">
        <f aca="false">E59</f>
        <v>202897.666718431</v>
      </c>
      <c r="F29" s="37" t="n">
        <f aca="false">F59</f>
        <v>201070.782379212</v>
      </c>
      <c r="G29" s="37" t="n">
        <f aca="false">G59</f>
        <v>199134.284979639</v>
      </c>
      <c r="H29" s="37" t="n">
        <f aca="false">H59</f>
        <v>197081.597736093</v>
      </c>
      <c r="I29" s="37" t="n">
        <f aca="false">I59</f>
        <v>194905.749257934</v>
      </c>
      <c r="J29" s="37" t="n">
        <f aca="false">J59</f>
        <v>192599.349871085</v>
      </c>
      <c r="K29" s="37" t="n">
        <f aca="false">K59</f>
        <v>190154.566521025</v>
      </c>
      <c r="L29" s="37" t="n">
        <f aca="false">L59</f>
        <v>187563.096169962</v>
      </c>
      <c r="M29" s="37" t="n">
        <f aca="false">M59</f>
        <v>184816.137597834</v>
      </c>
      <c r="N29" s="37" t="n">
        <f aca="false">N59</f>
        <v>181904.36151138</v>
      </c>
      <c r="O29" s="37" t="n">
        <f aca="false">O59</f>
        <v>178817.878859737</v>
      </c>
      <c r="P29" s="37" t="n">
        <f aca="false">P59</f>
        <v>175546.207248997</v>
      </c>
      <c r="Q29" s="37" t="n">
        <f aca="false">Q59</f>
        <v>172078.235341612</v>
      </c>
      <c r="R29" s="37" t="n">
        <f aca="false">R59</f>
        <v>168402.185119784</v>
      </c>
      <c r="S29" s="37" t="n">
        <f aca="false">S59</f>
        <v>164505.571884646</v>
      </c>
      <c r="T29" s="37" t="n">
        <f aca="false">T59</f>
        <v>160375.1618554</v>
      </c>
      <c r="U29" s="37" t="n">
        <f aca="false">U59</f>
        <v>155996.927224399</v>
      </c>
      <c r="V29" s="37" t="n">
        <f aca="false">V59</f>
        <v>151355.998515538</v>
      </c>
      <c r="W29" s="37" t="n">
        <f aca="false">W59</f>
        <v>146436.614084145</v>
      </c>
    </row>
    <row r="30" customFormat="false" ht="15" hidden="false" customHeight="true" outlineLevel="0" collapsed="false">
      <c r="B30" s="13" t="s">
        <v>797</v>
      </c>
      <c r="D30" s="37" t="n">
        <f aca="false">D60</f>
        <v>28724.5965286011</v>
      </c>
      <c r="E30" s="37" t="n">
        <f aca="false">E60</f>
        <v>30448.0723203172</v>
      </c>
      <c r="F30" s="37" t="n">
        <f aca="false">F60</f>
        <v>32274.9566595363</v>
      </c>
      <c r="G30" s="37" t="n">
        <f aca="false">G60</f>
        <v>34211.4540591084</v>
      </c>
      <c r="H30" s="37" t="n">
        <f aca="false">H60</f>
        <v>36264.1413026549</v>
      </c>
      <c r="I30" s="37" t="n">
        <f aca="false">I60</f>
        <v>38439.9897808142</v>
      </c>
      <c r="J30" s="37" t="n">
        <f aca="false">J60</f>
        <v>40746.3891676631</v>
      </c>
      <c r="K30" s="37" t="n">
        <f aca="false">K60</f>
        <v>43191.1725177229</v>
      </c>
      <c r="L30" s="37" t="n">
        <f aca="false">L60</f>
        <v>45782.6428687863</v>
      </c>
      <c r="M30" s="37" t="n">
        <f aca="false">M60</f>
        <v>48529.6014409134</v>
      </c>
      <c r="N30" s="37" t="n">
        <f aca="false">N60</f>
        <v>51441.3775273683</v>
      </c>
      <c r="O30" s="37" t="n">
        <f aca="false">O60</f>
        <v>54527.8601790103</v>
      </c>
      <c r="P30" s="37" t="n">
        <f aca="false">P60</f>
        <v>57799.531789751</v>
      </c>
      <c r="Q30" s="37" t="n">
        <f aca="false">Q60</f>
        <v>61267.503697136</v>
      </c>
      <c r="R30" s="37" t="n">
        <f aca="false">R60</f>
        <v>64943.5539189642</v>
      </c>
      <c r="S30" s="37" t="n">
        <f aca="false">S60</f>
        <v>68840.167154102</v>
      </c>
      <c r="T30" s="37" t="n">
        <f aca="false">T60</f>
        <v>72970.5771833482</v>
      </c>
      <c r="U30" s="37" t="n">
        <f aca="false">U60</f>
        <v>77348.811814349</v>
      </c>
      <c r="V30" s="37" t="n">
        <f aca="false">V60</f>
        <v>81989.74052321</v>
      </c>
      <c r="W30" s="37" t="n">
        <f aca="false">W60</f>
        <v>86909.1249546026</v>
      </c>
    </row>
    <row r="32" customFormat="false" ht="15" hidden="false" customHeight="true" outlineLevel="0" collapsed="false">
      <c r="B32" s="19" t="s">
        <v>798</v>
      </c>
      <c r="D32" s="21" t="n">
        <f aca="false">D25-D27-D29-D30</f>
        <v>-43825.0917841878</v>
      </c>
      <c r="E32" s="21" t="n">
        <f aca="false">E25-E27-E29-E30</f>
        <v>-4784.10171853993</v>
      </c>
      <c r="F32" s="21" t="n">
        <f aca="false">F25-F27-F29-F30</f>
        <v>-13583.300670552</v>
      </c>
      <c r="G32" s="21" t="n">
        <f aca="false">G25-G27-G29-G30</f>
        <v>-23069.5453734626</v>
      </c>
      <c r="H32" s="21" t="n">
        <f aca="false">H25-H27-H29-H30</f>
        <v>-33279.1508910764</v>
      </c>
      <c r="I32" s="21" t="n">
        <f aca="false">I25-I27-I29-I30</f>
        <v>-44250.2824512964</v>
      </c>
      <c r="J32" s="21" t="n">
        <f aca="false">J25-J27-J29-J30</f>
        <v>-56023.0531904769</v>
      </c>
      <c r="K32" s="21" t="n">
        <f aca="false">K25-K27-K29-K30</f>
        <v>-68639.6273006643</v>
      </c>
      <c r="L32" s="21" t="n">
        <f aca="false">L25-L27-L29-L30</f>
        <v>-82144.328888842</v>
      </c>
      <c r="M32" s="21" t="n">
        <f aca="false">M25-M27-M29-M30</f>
        <v>-96583.7568753852</v>
      </c>
      <c r="N32" s="21" t="n">
        <f aca="false">N25-N27-N29-N30</f>
        <v>-112006.906278056</v>
      </c>
      <c r="O32" s="21" t="n">
        <f aca="false">O25-O27-O29-O30</f>
        <v>-128465.296248163</v>
      </c>
      <c r="P32" s="21" t="n">
        <f aca="false">P25-P27-P29-P30</f>
        <v>-146013.105246975</v>
      </c>
      <c r="Q32" s="21" t="n">
        <f aca="false">Q25-Q27-Q29-Q30</f>
        <v>-164707.313773237</v>
      </c>
      <c r="R32" s="21" t="n">
        <f aca="false">R25-R27-R29-R30</f>
        <v>-184607.855076732</v>
      </c>
      <c r="S32" s="21" t="n">
        <f aca="false">S25-S27-S29-S30</f>
        <v>-205777.774318358</v>
      </c>
      <c r="T32" s="21" t="n">
        <f aca="false">T25-T27-T29-T30</f>
        <v>-228283.396664238</v>
      </c>
      <c r="U32" s="21" t="n">
        <f aca="false">U25-U27-U29-U30</f>
        <v>-252194.504830021</v>
      </c>
      <c r="V32" s="21" t="n">
        <f aca="false">V25-V27-V29-V30</f>
        <v>-277584.526621881</v>
      </c>
      <c r="W32" s="21" t="n">
        <f aca="false">W25-W27-W29-W30</f>
        <v>-304530.73305287</v>
      </c>
    </row>
    <row r="34" customFormat="false" ht="15" hidden="false" customHeight="true" outlineLevel="0" collapsed="false">
      <c r="B34" s="13" t="s">
        <v>799</v>
      </c>
      <c r="D34" s="37" t="n">
        <f aca="false">IF((CashFlowCeilPct*D32)&lt;=0,0,CashFlowCeilPct*D32)</f>
        <v>0</v>
      </c>
      <c r="E34" s="37" t="n">
        <f aca="false">IF((CashFlowCeilPct*E32)&lt;=0,0,CashFlowCeilPct*E32)</f>
        <v>0</v>
      </c>
      <c r="F34" s="37" t="n">
        <f aca="false">IF((CashFlowCeilPct*F32)&lt;=0,0,CashFlowCeilPct*F32)</f>
        <v>0</v>
      </c>
      <c r="G34" s="37" t="n">
        <f aca="false">IF((CashFlowCeilPct*G32)&lt;=0,0,CashFlowCeilPct*G32)</f>
        <v>0</v>
      </c>
      <c r="H34" s="37" t="n">
        <f aca="false">IF((CashFlowCeilPct*H32)&lt;=0,0,CashFlowCeilPct*H32)</f>
        <v>0</v>
      </c>
      <c r="I34" s="37" t="n">
        <f aca="false">IF((CashFlowCeilPct*I32)&lt;=0,0,CashFlowCeilPct*I32)</f>
        <v>0</v>
      </c>
      <c r="J34" s="37" t="n">
        <f aca="false">IF((CashFlowCeilPct*J32)&lt;=0,0,CashFlowCeilPct*J32)</f>
        <v>0</v>
      </c>
      <c r="K34" s="37" t="n">
        <f aca="false">IF((CashFlowCeilPct*K32)&lt;=0,0,CashFlowCeilPct*K32)</f>
        <v>0</v>
      </c>
      <c r="L34" s="37" t="n">
        <f aca="false">IF((CashFlowCeilPct*L32)&lt;=0,0,CashFlowCeilPct*L32)</f>
        <v>0</v>
      </c>
      <c r="M34" s="37" t="n">
        <f aca="false">IF((CashFlowCeilPct*M32)&lt;=0,0,CashFlowCeilPct*M32)</f>
        <v>0</v>
      </c>
      <c r="N34" s="37" t="n">
        <f aca="false">IF((CashFlowCeilPct*N32)&lt;=0,0,CashFlowCeilPct*N32)</f>
        <v>0</v>
      </c>
      <c r="O34" s="37" t="n">
        <f aca="false">IF((CashFlowCeilPct*O32)&lt;=0,0,CashFlowCeilPct*O32)</f>
        <v>0</v>
      </c>
      <c r="P34" s="37" t="n">
        <f aca="false">IF((CashFlowCeilPct*P32)&lt;=0,0,CashFlowCeilPct*P32)</f>
        <v>0</v>
      </c>
      <c r="Q34" s="37" t="n">
        <f aca="false">IF((CashFlowCeilPct*Q32)&lt;=0,0,CashFlowCeilPct*Q32)</f>
        <v>0</v>
      </c>
      <c r="R34" s="37" t="n">
        <f aca="false">IF((CashFlowCeilPct*R32)&lt;=0,0,CashFlowCeilPct*R32)</f>
        <v>0</v>
      </c>
      <c r="S34" s="37" t="n">
        <f aca="false">IF((CashFlowCeilPct*S32)&lt;=0,0,CashFlowCeilPct*S32)</f>
        <v>0</v>
      </c>
      <c r="T34" s="37" t="n">
        <f aca="false">IF((CashFlowCeilPct*T32)&lt;=0,0,CashFlowCeilPct*T32)</f>
        <v>0</v>
      </c>
      <c r="U34" s="37" t="n">
        <f aca="false">IF((CashFlowCeilPct*U32)&lt;=0,0,CashFlowCeilPct*U32)</f>
        <v>0</v>
      </c>
      <c r="V34" s="37" t="n">
        <f aca="false">IF((CashFlowCeilPct*V32)&lt;=0,0,CashFlowCeilPct*V32)</f>
        <v>0</v>
      </c>
      <c r="W34" s="37" t="n">
        <f aca="false">IF((CashFlowCeilPct*W32)&lt;=0,0,CashFlowCeilPct*W32)</f>
        <v>0</v>
      </c>
    </row>
    <row r="36" customFormat="false" ht="15" hidden="false" customHeight="true" outlineLevel="0" collapsed="false">
      <c r="B36" s="19" t="s">
        <v>800</v>
      </c>
      <c r="D36" s="21" t="n">
        <f aca="false">D32-D34</f>
        <v>-43825.0917841878</v>
      </c>
      <c r="E36" s="21" t="n">
        <f aca="false">E32-E34</f>
        <v>-4784.10171853993</v>
      </c>
      <c r="F36" s="21" t="n">
        <f aca="false">F32-F34</f>
        <v>-13583.300670552</v>
      </c>
      <c r="G36" s="21" t="n">
        <f aca="false">G32-G34</f>
        <v>-23069.5453734626</v>
      </c>
      <c r="H36" s="21" t="n">
        <f aca="false">H32-H34</f>
        <v>-33279.1508910764</v>
      </c>
      <c r="I36" s="21" t="n">
        <f aca="false">I32-I34</f>
        <v>-44250.2824512964</v>
      </c>
      <c r="J36" s="21" t="n">
        <f aca="false">J32-J34</f>
        <v>-56023.0531904769</v>
      </c>
      <c r="K36" s="21" t="n">
        <f aca="false">K32-K34</f>
        <v>-68639.6273006643</v>
      </c>
      <c r="L36" s="21" t="n">
        <f aca="false">L32-L34</f>
        <v>-82144.328888842</v>
      </c>
      <c r="M36" s="21" t="n">
        <f aca="false">M32-M34</f>
        <v>-96583.7568753852</v>
      </c>
      <c r="N36" s="21" t="n">
        <f aca="false">N32-N34</f>
        <v>-112006.906278056</v>
      </c>
      <c r="O36" s="21" t="n">
        <f aca="false">O32-O34</f>
        <v>-128465.296248163</v>
      </c>
      <c r="P36" s="21" t="n">
        <f aca="false">P32-P34</f>
        <v>-146013.105246975</v>
      </c>
      <c r="Q36" s="21" t="n">
        <f aca="false">Q32-Q34</f>
        <v>-164707.313773237</v>
      </c>
      <c r="R36" s="21" t="n">
        <f aca="false">R32-R34</f>
        <v>-184607.855076732</v>
      </c>
      <c r="S36" s="21" t="n">
        <f aca="false">S32-S34</f>
        <v>-205777.774318358</v>
      </c>
      <c r="T36" s="21" t="n">
        <f aca="false">T32-T34</f>
        <v>-228283.396664238</v>
      </c>
      <c r="U36" s="21" t="n">
        <f aca="false">U32-U34</f>
        <v>-252194.504830021</v>
      </c>
      <c r="V36" s="21" t="n">
        <f aca="false">V32-V34</f>
        <v>-277584.526621881</v>
      </c>
      <c r="W36" s="21" t="n">
        <f aca="false">W32-W34</f>
        <v>-304530.73305287</v>
      </c>
      <c r="X36" s="21" t="n">
        <f aca="false">SUM(D36:W36)</f>
        <v>-2470353.65125502</v>
      </c>
    </row>
    <row r="37" customFormat="false" ht="15" hidden="false" customHeight="true" outlineLevel="0" collapsed="false">
      <c r="B37" s="36" t="s">
        <v>801</v>
      </c>
    </row>
    <row r="39" customFormat="false" ht="15" hidden="false" customHeight="true" outlineLevel="0" collapsed="false">
      <c r="B39" s="69" t="s">
        <v>8</v>
      </c>
      <c r="D39" s="102" t="n">
        <f aca="false">IF((D29+D30)=0,0,D25/(D29+D30))</f>
        <v>0.945854456840586</v>
      </c>
      <c r="E39" s="102" t="n">
        <f aca="false">IF((E29+E30)=0,0,E25/(E29+E30))</f>
        <v>1.11717407909008</v>
      </c>
      <c r="F39" s="102" t="n">
        <f aca="false">IF((F29+F30)=0,0,F25/(F29+F30))</f>
        <v>1.08359551978024</v>
      </c>
      <c r="G39" s="102" t="n">
        <f aca="false">IF((G29+G30)=0,0,G25/(G29+G30))</f>
        <v>1.04719654387659</v>
      </c>
      <c r="H39" s="102" t="n">
        <f aca="false">IF((H29+H30)=0,0,H25/(H29+H30))</f>
        <v>1.00782524092533</v>
      </c>
      <c r="I39" s="102" t="n">
        <f aca="false">IF((I29+I30)=0,0,I25/(I29+I30))</f>
        <v>0.965321883137273</v>
      </c>
      <c r="J39" s="102" t="n">
        <f aca="false">IF((J29+J30)=0,0,J25/(J29+J30))</f>
        <v>0.91951850985133</v>
      </c>
      <c r="K39" s="102" t="n">
        <f aca="false">IF((K29+K30)=0,0,K25/(K29+K30))</f>
        <v>0.870238488944268</v>
      </c>
      <c r="L39" s="102" t="n">
        <f aca="false">IF((L29+L30)=0,0,L25/(L29+L30))</f>
        <v>0.817296053865181</v>
      </c>
      <c r="M39" s="102" t="n">
        <f aca="false">IF((M29+M30)=0,0,M25/(M29+M30))</f>
        <v>0.760495814895483</v>
      </c>
      <c r="N39" s="102" t="n">
        <f aca="false">IF((N29+N30)=0,0,N25/(N29+N30))</f>
        <v>0.699632243153409</v>
      </c>
      <c r="O39" s="102" t="n">
        <f aca="false">IF((O29+O30)=0,0,O25/(O29+O30))</f>
        <v>0.634489125775189</v>
      </c>
      <c r="P39" s="102" t="n">
        <f aca="false">IF((P29+P30)=0,0,P25/(P29+P30))</f>
        <v>0.564838990613094</v>
      </c>
      <c r="Q39" s="102" t="n">
        <f aca="false">IF((Q29+Q30)=0,0,Q25/(Q29+Q30))</f>
        <v>0.490442498693192</v>
      </c>
      <c r="R39" s="102" t="n">
        <f aca="false">IF((R29+R30)=0,0,R25/(R29+R30))</f>
        <v>0.411047802572444</v>
      </c>
      <c r="S39" s="102" t="n">
        <f aca="false">IF((S29+S30)=0,0,S25/(S29+S30))</f>
        <v>0.326389868625509</v>
      </c>
      <c r="T39" s="102" t="n">
        <f aca="false">IF((T29+T30)=0,0,T25/(T29+T30))</f>
        <v>0.236189761175846</v>
      </c>
      <c r="U39" s="102" t="n">
        <f aca="false">IF((U29+U30)=0,0,U25/(U29+U30))</f>
        <v>0.140153886263005</v>
      </c>
      <c r="V39" s="102" t="n">
        <f aca="false">IF((V29+V30)=0,0,V25/(V29+V30))</f>
        <v>0.0379731927081656</v>
      </c>
      <c r="W39" s="102" t="n">
        <f aca="false">IF((W29+W30)=0,0,W25/(W29+W30))</f>
        <v>-0.0706776719977907</v>
      </c>
    </row>
    <row r="41" customFormat="false" ht="15" hidden="false" customHeight="true" outlineLevel="0" collapsed="false">
      <c r="B41" s="13" t="s">
        <v>802</v>
      </c>
      <c r="D41" s="66" t="n">
        <f aca="false">SUMPRODUCT((ROUNDUP(CH_PayinMonths/12,0)=1)*CH_PayinAmts)</f>
        <v>1569307.65620429</v>
      </c>
      <c r="E41" s="66" t="n">
        <f aca="false">SUMPRODUCT((ROUNDUP(CH_PayinMonths/12,0)=2)*CH_PayinAmts)</f>
        <v>672560.424087552</v>
      </c>
      <c r="F41" s="66" t="n">
        <f aca="false">SUMPRODUCT((ROUNDUP(CH_PayinMonths/12,0)=3)*CH_PayinAmts)</f>
        <v>0</v>
      </c>
      <c r="G41" s="66" t="n">
        <f aca="false">SUMPRODUCT((ROUNDUP(CH_PayinMonths/12,0)=4)*CH_PayinAmts)</f>
        <v>0</v>
      </c>
      <c r="H41" s="66" t="n">
        <f aca="false">SUMPRODUCT((ROUNDUP(CH_PayinMonths/12,0)=5)*CH_PayinAmts)</f>
        <v>0</v>
      </c>
      <c r="I41" s="66" t="n">
        <f aca="false">SUMPRODUCT((ROUNDUP(CH_PayinMonths/12,0)=6)*CH_PayinAmts)</f>
        <v>0</v>
      </c>
      <c r="J41" s="66" t="n">
        <f aca="false">SUMPRODUCT((ROUNDUP(CH_PayinMonths/12,0)=7)*CH_PayinAmts)</f>
        <v>0</v>
      </c>
      <c r="K41" s="66" t="n">
        <f aca="false">SUMPRODUCT((ROUNDUP(CH_PayinMonths/12,0)=8)*CH_PayinAmts)</f>
        <v>0</v>
      </c>
      <c r="L41" s="66" t="n">
        <f aca="false">SUMPRODUCT((ROUNDUP(CH_PayinMonths/12,0)=9)*CH_PayinAmts)</f>
        <v>0</v>
      </c>
      <c r="M41" s="66" t="n">
        <f aca="false">SUMPRODUCT((ROUNDUP(CH_PayinMonths/12,0)=10)*CH_PayinAmts)</f>
        <v>0</v>
      </c>
      <c r="N41" s="66" t="n">
        <f aca="false">SUMPRODUCT((ROUNDUP(CH_PayinMonths/12,0)=11)*CH_PayinAmts)</f>
        <v>0</v>
      </c>
      <c r="O41" s="66" t="n">
        <f aca="false">SUMPRODUCT((ROUNDUP(CH_PayinMonths/12,0)=12)*CH_PayinAmts)</f>
        <v>0</v>
      </c>
      <c r="P41" s="66" t="n">
        <f aca="false">SUMPRODUCT((ROUNDUP(CH_PayinMonths/12,0)=13)*CH_PayinAmts)</f>
        <v>0</v>
      </c>
      <c r="Q41" s="66" t="n">
        <f aca="false">SUMPRODUCT((ROUNDUP(CH_PayinMonths/12,0)=14)*CH_PayinAmts)</f>
        <v>0</v>
      </c>
      <c r="R41" s="66" t="n">
        <f aca="false">SUMPRODUCT((ROUNDUP(CH_PayinMonths/12,0)=15)*CH_PayinAmts)</f>
        <v>0</v>
      </c>
      <c r="S41" s="66" t="n">
        <f aca="false">SUMPRODUCT((ROUNDUP(CH_PayinMonths/12,0)=16)*CH_PayinAmts)</f>
        <v>0</v>
      </c>
      <c r="T41" s="66" t="n">
        <f aca="false">SUMPRODUCT((ROUNDUP(CH_PayinMonths/12,0)=17)*CH_PayinAmts)</f>
        <v>0</v>
      </c>
      <c r="U41" s="66" t="n">
        <f aca="false">SUMPRODUCT((ROUNDUP(CH_PayinMonths/12,0)=18)*CH_PayinAmts)</f>
        <v>0</v>
      </c>
      <c r="V41" s="66" t="n">
        <f aca="false">SUMPRODUCT((ROUNDUP(CH_PayinMonths/12,0)=19)*CH_PayinAmts)</f>
        <v>0</v>
      </c>
      <c r="W41" s="66" t="n">
        <f aca="false">SUMPRODUCT((ROUNDUP(CH_PayinMonths/12,0)=20)*CH_PayinAmts)</f>
        <v>0</v>
      </c>
      <c r="X41" s="66" t="n">
        <f aca="false">SUM(D41:W41)</f>
        <v>2241868.08029184</v>
      </c>
    </row>
    <row r="49" customFormat="false" ht="15" hidden="false" customHeight="true" outlineLevel="0" collapsed="false">
      <c r="B49" s="63" t="s">
        <v>803</v>
      </c>
    </row>
    <row r="50" customFormat="false" ht="15" hidden="false" customHeight="true" outlineLevel="0" collapsed="false">
      <c r="B50" s="13" t="s">
        <v>804</v>
      </c>
      <c r="D50" s="51" t="n">
        <f aca="false">OCAF*OCAFHaircut</f>
        <v>0.01875</v>
      </c>
    </row>
    <row r="51" customFormat="false" ht="15" hidden="false" customHeight="true" outlineLevel="0" collapsed="false">
      <c r="B51" s="13" t="s">
        <v>805</v>
      </c>
      <c r="D51" s="51" t="n">
        <f aca="false">ExpGrowth</f>
        <v>0.03</v>
      </c>
    </row>
    <row r="56" customFormat="false" ht="15" hidden="false" customHeight="true" outlineLevel="0" collapsed="false">
      <c r="B56" s="63" t="s">
        <v>806</v>
      </c>
    </row>
    <row r="57" customFormat="false" ht="15" hidden="false" customHeight="true" outlineLevel="0" collapsed="false">
      <c r="B57" s="13" t="s">
        <v>807</v>
      </c>
      <c r="C57" s="43" t="n">
        <f aca="false">IF(DebtStrategy="Refinance",PermRate,CH_NoteRate)</f>
        <v>0.06</v>
      </c>
    </row>
    <row r="58" customFormat="false" ht="15" hidden="false" customHeight="true" outlineLevel="0" collapsed="false">
      <c r="B58" s="13" t="s">
        <v>808</v>
      </c>
      <c r="D58" s="37" t="n">
        <f aca="false">CH_SelProceeds</f>
        <v>3410352.37516911</v>
      </c>
      <c r="E58" s="37" t="n">
        <f aca="false">D61</f>
        <v>3381627.77864051</v>
      </c>
      <c r="F58" s="37" t="n">
        <f aca="false">E61</f>
        <v>3351179.70632019</v>
      </c>
      <c r="G58" s="37" t="n">
        <f aca="false">F61</f>
        <v>3318904.74966066</v>
      </c>
      <c r="H58" s="37" t="n">
        <f aca="false">G61</f>
        <v>3284693.29560155</v>
      </c>
      <c r="I58" s="37" t="n">
        <f aca="false">H61</f>
        <v>3248429.15429889</v>
      </c>
      <c r="J58" s="37" t="n">
        <f aca="false">I61</f>
        <v>3209989.16451808</v>
      </c>
      <c r="K58" s="37" t="n">
        <f aca="false">J61</f>
        <v>3169242.77535042</v>
      </c>
      <c r="L58" s="37" t="n">
        <f aca="false">K61</f>
        <v>3126051.60283269</v>
      </c>
      <c r="M58" s="37" t="n">
        <f aca="false">L61</f>
        <v>3080268.95996391</v>
      </c>
      <c r="N58" s="37" t="n">
        <f aca="false">M61</f>
        <v>3031739.35852299</v>
      </c>
      <c r="O58" s="37" t="n">
        <f aca="false">N61</f>
        <v>2980297.98099563</v>
      </c>
      <c r="P58" s="37" t="n">
        <f aca="false">O61</f>
        <v>2925770.12081661</v>
      </c>
      <c r="Q58" s="37" t="n">
        <f aca="false">P61</f>
        <v>2867970.58902686</v>
      </c>
      <c r="R58" s="37" t="n">
        <f aca="false">Q61</f>
        <v>2806703.08532973</v>
      </c>
      <c r="S58" s="37" t="n">
        <f aca="false">R61</f>
        <v>2741759.53141076</v>
      </c>
      <c r="T58" s="37" t="n">
        <f aca="false">S61</f>
        <v>2672919.36425666</v>
      </c>
      <c r="U58" s="37" t="n">
        <f aca="false">T61</f>
        <v>2599948.78707331</v>
      </c>
      <c r="V58" s="37" t="n">
        <f aca="false">U61</f>
        <v>2522599.97525896</v>
      </c>
      <c r="W58" s="37" t="n">
        <f aca="false">V61</f>
        <v>2440610.23473575</v>
      </c>
    </row>
    <row r="59" customFormat="false" ht="15" hidden="false" customHeight="true" outlineLevel="0" collapsed="false">
      <c r="B59" s="13" t="s">
        <v>809</v>
      </c>
      <c r="D59" s="37" t="n">
        <f aca="false">D58*$C$57</f>
        <v>204621.142510147</v>
      </c>
      <c r="E59" s="37" t="n">
        <f aca="false">E58*$C$57</f>
        <v>202897.666718431</v>
      </c>
      <c r="F59" s="37" t="n">
        <f aca="false">F58*$C$57</f>
        <v>201070.782379212</v>
      </c>
      <c r="G59" s="37" t="n">
        <f aca="false">G58*$C$57</f>
        <v>199134.284979639</v>
      </c>
      <c r="H59" s="37" t="n">
        <f aca="false">H58*$C$57</f>
        <v>197081.597736093</v>
      </c>
      <c r="I59" s="37" t="n">
        <f aca="false">I58*$C$57</f>
        <v>194905.749257934</v>
      </c>
      <c r="J59" s="37" t="n">
        <f aca="false">J58*$C$57</f>
        <v>192599.349871085</v>
      </c>
      <c r="K59" s="37" t="n">
        <f aca="false">K58*$C$57</f>
        <v>190154.566521025</v>
      </c>
      <c r="L59" s="37" t="n">
        <f aca="false">L58*$C$57</f>
        <v>187563.096169962</v>
      </c>
      <c r="M59" s="37" t="n">
        <f aca="false">M58*$C$57</f>
        <v>184816.137597834</v>
      </c>
      <c r="N59" s="37" t="n">
        <f aca="false">N58*$C$57</f>
        <v>181904.36151138</v>
      </c>
      <c r="O59" s="37" t="n">
        <f aca="false">O58*$C$57</f>
        <v>178817.878859737</v>
      </c>
      <c r="P59" s="37" t="n">
        <f aca="false">P58*$C$57</f>
        <v>175546.207248997</v>
      </c>
      <c r="Q59" s="37" t="n">
        <f aca="false">Q58*$C$57</f>
        <v>172078.235341612</v>
      </c>
      <c r="R59" s="37" t="n">
        <f aca="false">R58*$C$57</f>
        <v>168402.185119784</v>
      </c>
      <c r="S59" s="37" t="n">
        <f aca="false">S58*$C$57</f>
        <v>164505.571884646</v>
      </c>
      <c r="T59" s="37" t="n">
        <f aca="false">T58*$C$57</f>
        <v>160375.1618554</v>
      </c>
      <c r="U59" s="37" t="n">
        <f aca="false">U58*$C$57</f>
        <v>155996.927224399</v>
      </c>
      <c r="V59" s="37" t="n">
        <f aca="false">V58*$C$57</f>
        <v>151355.998515538</v>
      </c>
      <c r="W59" s="37" t="n">
        <f aca="false">W58*$C$57</f>
        <v>146436.614084145</v>
      </c>
    </row>
    <row r="60" customFormat="false" ht="15" hidden="false" customHeight="true" outlineLevel="0" collapsed="false">
      <c r="B60" s="13" t="s">
        <v>810</v>
      </c>
      <c r="D60" s="37" t="n">
        <f aca="false">MAX(0,MIN(D58,$C$62-D59))</f>
        <v>28724.5965286011</v>
      </c>
      <c r="E60" s="37" t="n">
        <f aca="false">MAX(0,MIN(E58,$C$62-E59))</f>
        <v>30448.0723203172</v>
      </c>
      <c r="F60" s="37" t="n">
        <f aca="false">MAX(0,MIN(F58,$C$62-F59))</f>
        <v>32274.9566595363</v>
      </c>
      <c r="G60" s="37" t="n">
        <f aca="false">MAX(0,MIN(G58,$C$62-G59))</f>
        <v>34211.4540591084</v>
      </c>
      <c r="H60" s="37" t="n">
        <f aca="false">MAX(0,MIN(H58,$C$62-H59))</f>
        <v>36264.1413026549</v>
      </c>
      <c r="I60" s="37" t="n">
        <f aca="false">MAX(0,MIN(I58,$C$62-I59))</f>
        <v>38439.9897808142</v>
      </c>
      <c r="J60" s="37" t="n">
        <f aca="false">MAX(0,MIN(J58,$C$62-J59))</f>
        <v>40746.3891676631</v>
      </c>
      <c r="K60" s="37" t="n">
        <f aca="false">MAX(0,MIN(K58,$C$62-K59))</f>
        <v>43191.1725177229</v>
      </c>
      <c r="L60" s="37" t="n">
        <f aca="false">MAX(0,MIN(L58,$C$62-L59))</f>
        <v>45782.6428687863</v>
      </c>
      <c r="M60" s="37" t="n">
        <f aca="false">MAX(0,MIN(M58,$C$62-M59))</f>
        <v>48529.6014409134</v>
      </c>
      <c r="N60" s="37" t="n">
        <f aca="false">MAX(0,MIN(N58,$C$62-N59))</f>
        <v>51441.3775273683</v>
      </c>
      <c r="O60" s="37" t="n">
        <f aca="false">MAX(0,MIN(O58,$C$62-O59))</f>
        <v>54527.8601790103</v>
      </c>
      <c r="P60" s="37" t="n">
        <f aca="false">MAX(0,MIN(P58,$C$62-P59))</f>
        <v>57799.531789751</v>
      </c>
      <c r="Q60" s="37" t="n">
        <f aca="false">MAX(0,MIN(Q58,$C$62-Q59))</f>
        <v>61267.503697136</v>
      </c>
      <c r="R60" s="37" t="n">
        <f aca="false">MAX(0,MIN(R58,$C$62-R59))</f>
        <v>64943.5539189642</v>
      </c>
      <c r="S60" s="37" t="n">
        <f aca="false">MAX(0,MIN(S58,$C$62-S59))</f>
        <v>68840.167154102</v>
      </c>
      <c r="T60" s="37" t="n">
        <f aca="false">MAX(0,MIN(T58,$C$62-T59))</f>
        <v>72970.5771833482</v>
      </c>
      <c r="U60" s="37" t="n">
        <f aca="false">MAX(0,MIN(U58,$C$62-U59))</f>
        <v>77348.811814349</v>
      </c>
      <c r="V60" s="37" t="n">
        <f aca="false">MAX(0,MIN(V58,$C$62-V59))</f>
        <v>81989.74052321</v>
      </c>
      <c r="W60" s="37" t="n">
        <f aca="false">MAX(0,MIN(W58,$C$62-W59))</f>
        <v>86909.1249546026</v>
      </c>
    </row>
    <row r="61" customFormat="false" ht="15" hidden="false" customHeight="true" outlineLevel="0" collapsed="false">
      <c r="B61" s="13" t="s">
        <v>811</v>
      </c>
      <c r="D61" s="37" t="n">
        <f aca="false">D58-D60</f>
        <v>3381627.77864051</v>
      </c>
      <c r="E61" s="37" t="n">
        <f aca="false">E58-E60</f>
        <v>3351179.70632019</v>
      </c>
      <c r="F61" s="37" t="n">
        <f aca="false">F58-F60</f>
        <v>3318904.74966066</v>
      </c>
      <c r="G61" s="37" t="n">
        <f aca="false">G58-G60</f>
        <v>3284693.29560155</v>
      </c>
      <c r="H61" s="37" t="n">
        <f aca="false">H58-H60</f>
        <v>3248429.15429889</v>
      </c>
      <c r="I61" s="37" t="n">
        <f aca="false">I58-I60</f>
        <v>3209989.16451808</v>
      </c>
      <c r="J61" s="37" t="n">
        <f aca="false">J58-J60</f>
        <v>3169242.77535042</v>
      </c>
      <c r="K61" s="37" t="n">
        <f aca="false">K58-K60</f>
        <v>3126051.60283269</v>
      </c>
      <c r="L61" s="37" t="n">
        <f aca="false">L58-L60</f>
        <v>3080268.95996391</v>
      </c>
      <c r="M61" s="37" t="n">
        <f aca="false">M58-M60</f>
        <v>3031739.35852299</v>
      </c>
      <c r="N61" s="37" t="n">
        <f aca="false">N58-N60</f>
        <v>2980297.98099563</v>
      </c>
      <c r="O61" s="37" t="n">
        <f aca="false">O58-O60</f>
        <v>2925770.12081661</v>
      </c>
      <c r="P61" s="37" t="n">
        <f aca="false">P58-P60</f>
        <v>2867970.58902686</v>
      </c>
      <c r="Q61" s="37" t="n">
        <f aca="false">Q58-Q60</f>
        <v>2806703.08532973</v>
      </c>
      <c r="R61" s="37" t="n">
        <f aca="false">R58-R60</f>
        <v>2741759.53141076</v>
      </c>
      <c r="S61" s="37" t="n">
        <f aca="false">S58-S60</f>
        <v>2672919.36425666</v>
      </c>
      <c r="T61" s="37" t="n">
        <f aca="false">T58-T60</f>
        <v>2599948.78707331</v>
      </c>
      <c r="U61" s="37" t="n">
        <f aca="false">U58-U60</f>
        <v>2522599.97525896</v>
      </c>
      <c r="V61" s="37" t="n">
        <f aca="false">V58-V60</f>
        <v>2440610.23473575</v>
      </c>
      <c r="W61" s="37" t="n">
        <f aca="false">W58-W60</f>
        <v>2353701.10978115</v>
      </c>
    </row>
    <row r="62" customFormat="false" ht="15" hidden="false" customHeight="true" outlineLevel="0" collapsed="false">
      <c r="B62" s="13" t="s">
        <v>812</v>
      </c>
      <c r="C62" s="37" t="n">
        <f aca="false">IF(DebtStrategy="Refinance",CH_PermLoan*(-PMT(PermRate/12,PermAmort*12,1)*12),12*CH_NotePI)</f>
        <v>233345.739038748</v>
      </c>
    </row>
  </sheetData>
  <conditionalFormatting sqref="D39:W39">
    <cfRule type="expression" priority="2" aboveAverage="0" equalAverage="0" bottom="0" percent="0" rank="0" text="" dxfId="1">
      <formula>AND(D39&lt;&gt;0,OR(D39&lt;DSCRFloor,D39&gt;DSCRCeil))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3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.43"/>
    <col collapsed="false" customWidth="true" hidden="false" outlineLevel="0" max="2" min="2" style="1" width="44"/>
    <col collapsed="false" customWidth="true" hidden="false" outlineLevel="0" max="22" min="3" style="1" width="13.29"/>
  </cols>
  <sheetData>
    <row r="1" customFormat="false" ht="17.25" hidden="false" customHeight="true" outlineLevel="0" collapsed="false">
      <c r="A1" s="11" t="s">
        <v>813</v>
      </c>
    </row>
    <row r="3" customFormat="false" ht="15" hidden="false" customHeight="true" outlineLevel="0" collapsed="false">
      <c r="B3" s="19" t="s">
        <v>764</v>
      </c>
      <c r="C3" s="58" t="str">
        <f aca="false">"Yr "&amp;1</f>
        <v>Yr 1</v>
      </c>
      <c r="D3" s="58" t="str">
        <f aca="false">"Yr "&amp;2</f>
        <v>Yr 2</v>
      </c>
      <c r="E3" s="58" t="str">
        <f aca="false">"Yr "&amp;3</f>
        <v>Yr 3</v>
      </c>
      <c r="F3" s="58" t="str">
        <f aca="false">"Yr "&amp;4</f>
        <v>Yr 4</v>
      </c>
      <c r="G3" s="58" t="str">
        <f aca="false">"Yr "&amp;5</f>
        <v>Yr 5</v>
      </c>
      <c r="H3" s="58" t="str">
        <f aca="false">"Yr "&amp;6</f>
        <v>Yr 6</v>
      </c>
      <c r="I3" s="58" t="str">
        <f aca="false">"Yr "&amp;7</f>
        <v>Yr 7</v>
      </c>
      <c r="J3" s="58" t="str">
        <f aca="false">"Yr "&amp;8</f>
        <v>Yr 8</v>
      </c>
      <c r="K3" s="58" t="str">
        <f aca="false">"Yr "&amp;9</f>
        <v>Yr 9</v>
      </c>
      <c r="L3" s="58" t="str">
        <f aca="false">"Yr "&amp;10</f>
        <v>Yr 10</v>
      </c>
      <c r="M3" s="58" t="str">
        <f aca="false">"Yr "&amp;11</f>
        <v>Yr 11</v>
      </c>
      <c r="N3" s="58" t="str">
        <f aca="false">"Yr "&amp;12</f>
        <v>Yr 12</v>
      </c>
      <c r="O3" s="58" t="str">
        <f aca="false">"Yr "&amp;13</f>
        <v>Yr 13</v>
      </c>
      <c r="P3" s="58" t="str">
        <f aca="false">"Yr "&amp;14</f>
        <v>Yr 14</v>
      </c>
      <c r="Q3" s="58" t="str">
        <f aca="false">"Yr "&amp;15</f>
        <v>Yr 15</v>
      </c>
      <c r="R3" s="58" t="str">
        <f aca="false">"Yr "&amp;16</f>
        <v>Yr 16</v>
      </c>
      <c r="S3" s="58" t="str">
        <f aca="false">"Yr "&amp;17</f>
        <v>Yr 17</v>
      </c>
      <c r="T3" s="58" t="str">
        <f aca="false">"Yr "&amp;18</f>
        <v>Yr 18</v>
      </c>
      <c r="U3" s="58" t="str">
        <f aca="false">"Yr "&amp;19</f>
        <v>Yr 19</v>
      </c>
      <c r="V3" s="58" t="str">
        <f aca="false">"Yr "&amp;20</f>
        <v>Yr 20</v>
      </c>
    </row>
    <row r="5" customFormat="false" ht="15" hidden="false" customHeight="true" outlineLevel="0" collapsed="false">
      <c r="B5" s="19" t="s">
        <v>814</v>
      </c>
      <c r="C5" s="109" t="n">
        <f aca="false">'CH - Pro Forma'!D36</f>
        <v>-43825.0917841878</v>
      </c>
      <c r="D5" s="109" t="n">
        <f aca="false">'CH - Pro Forma'!E36</f>
        <v>-4784.10171853993</v>
      </c>
      <c r="E5" s="109" t="n">
        <f aca="false">'CH - Pro Forma'!F36</f>
        <v>-13583.300670552</v>
      </c>
      <c r="F5" s="109" t="n">
        <f aca="false">'CH - Pro Forma'!G36</f>
        <v>-23069.5453734626</v>
      </c>
      <c r="G5" s="109" t="n">
        <f aca="false">'CH - Pro Forma'!H36</f>
        <v>-33279.1508910764</v>
      </c>
      <c r="H5" s="109" t="n">
        <f aca="false">'CH - Pro Forma'!I36</f>
        <v>-44250.2824512964</v>
      </c>
      <c r="I5" s="109" t="n">
        <f aca="false">'CH - Pro Forma'!J36</f>
        <v>-56023.0531904769</v>
      </c>
      <c r="J5" s="109" t="n">
        <f aca="false">'CH - Pro Forma'!K36</f>
        <v>-68639.6273006643</v>
      </c>
      <c r="K5" s="109" t="n">
        <f aca="false">'CH - Pro Forma'!L36</f>
        <v>-82144.328888842</v>
      </c>
      <c r="L5" s="109" t="n">
        <f aca="false">'CH - Pro Forma'!M36</f>
        <v>-96583.7568753852</v>
      </c>
      <c r="M5" s="109" t="n">
        <f aca="false">'CH - Pro Forma'!N36</f>
        <v>-112006.906278056</v>
      </c>
      <c r="N5" s="109" t="n">
        <f aca="false">'CH - Pro Forma'!O36</f>
        <v>-128465.296248163</v>
      </c>
      <c r="O5" s="109" t="n">
        <f aca="false">'CH - Pro Forma'!P36</f>
        <v>-146013.105246975</v>
      </c>
      <c r="P5" s="109" t="n">
        <f aca="false">'CH - Pro Forma'!Q36</f>
        <v>-164707.313773237</v>
      </c>
      <c r="Q5" s="109" t="n">
        <f aca="false">'CH - Pro Forma'!R36</f>
        <v>-184607.855076732</v>
      </c>
      <c r="R5" s="109" t="n">
        <f aca="false">'CH - Pro Forma'!S36</f>
        <v>-205777.774318358</v>
      </c>
      <c r="S5" s="109" t="n">
        <f aca="false">'CH - Pro Forma'!T36</f>
        <v>-228283.396664238</v>
      </c>
      <c r="T5" s="109" t="n">
        <f aca="false">'CH - Pro Forma'!U36</f>
        <v>-252194.504830021</v>
      </c>
      <c r="U5" s="109" t="n">
        <f aca="false">'CH - Pro Forma'!V36</f>
        <v>-277584.526621881</v>
      </c>
      <c r="V5" s="109" t="n">
        <f aca="false">'CH - Pro Forma'!W36</f>
        <v>-304530.73305287</v>
      </c>
    </row>
    <row r="7" customFormat="false" ht="15" hidden="false" customHeight="true" outlineLevel="0" collapsed="false">
      <c r="B7" s="13" t="s">
        <v>815</v>
      </c>
      <c r="C7" s="18" t="n">
        <f aca="false">MIN(C17,MAX(0,C5))</f>
        <v>0</v>
      </c>
      <c r="D7" s="18" t="n">
        <f aca="false">MIN(D17,MAX(0,D5))</f>
        <v>0</v>
      </c>
      <c r="E7" s="18" t="n">
        <f aca="false">MIN(E17,MAX(0,E5))</f>
        <v>0</v>
      </c>
      <c r="F7" s="18" t="n">
        <f aca="false">MIN(F17,MAX(0,F5))</f>
        <v>0</v>
      </c>
      <c r="G7" s="18" t="n">
        <f aca="false">MIN(G17,MAX(0,G5))</f>
        <v>0</v>
      </c>
      <c r="H7" s="18" t="n">
        <f aca="false">MIN(H17,MAX(0,H5))</f>
        <v>0</v>
      </c>
      <c r="I7" s="18" t="n">
        <f aca="false">MIN(I17,MAX(0,I5))</f>
        <v>0</v>
      </c>
      <c r="J7" s="18" t="n">
        <f aca="false">MIN(J17,MAX(0,J5))</f>
        <v>0</v>
      </c>
      <c r="K7" s="18" t="n">
        <f aca="false">MIN(K17,MAX(0,K5))</f>
        <v>0</v>
      </c>
      <c r="L7" s="18" t="n">
        <f aca="false">MIN(L17,MAX(0,L5))</f>
        <v>0</v>
      </c>
      <c r="M7" s="18" t="n">
        <f aca="false">MIN(M17,MAX(0,M5))</f>
        <v>0</v>
      </c>
      <c r="N7" s="18" t="n">
        <f aca="false">MIN(N17,MAX(0,N5))</f>
        <v>0</v>
      </c>
      <c r="O7" s="18" t="n">
        <f aca="false">MIN(O17,MAX(0,O5))</f>
        <v>0</v>
      </c>
      <c r="P7" s="18" t="n">
        <f aca="false">MIN(P17,MAX(0,P5))</f>
        <v>0</v>
      </c>
      <c r="Q7" s="18" t="n">
        <f aca="false">MIN(Q17,MAX(0,Q5))</f>
        <v>0</v>
      </c>
      <c r="R7" s="18" t="n">
        <f aca="false">MIN(R17,MAX(0,R5))</f>
        <v>0</v>
      </c>
      <c r="S7" s="18" t="n">
        <f aca="false">MIN(S17,MAX(0,S5))</f>
        <v>0</v>
      </c>
      <c r="T7" s="18" t="n">
        <f aca="false">MIN(T17,MAX(0,T5))</f>
        <v>0</v>
      </c>
      <c r="U7" s="18" t="n">
        <f aca="false">MIN(U17,MAX(0,U5))</f>
        <v>0</v>
      </c>
      <c r="V7" s="18" t="n">
        <f aca="false">MIN(V17,MAX(0,V5))</f>
        <v>0</v>
      </c>
    </row>
    <row r="8" customFormat="false" ht="15" hidden="false" customHeight="true" outlineLevel="0" collapsed="false">
      <c r="B8" s="13" t="s">
        <v>816</v>
      </c>
      <c r="C8" s="18" t="n">
        <f aca="false">MIN(C23,MAX(0,C5)-C7)</f>
        <v>0</v>
      </c>
      <c r="D8" s="18" t="n">
        <f aca="false">MIN(D23,MAX(0,D5)-D7)</f>
        <v>0</v>
      </c>
      <c r="E8" s="18" t="n">
        <f aca="false">MIN(E23,MAX(0,E5)-E7)</f>
        <v>0</v>
      </c>
      <c r="F8" s="18" t="n">
        <f aca="false">MIN(F23,MAX(0,F5)-F7)</f>
        <v>0</v>
      </c>
      <c r="G8" s="18" t="n">
        <f aca="false">MIN(G23,MAX(0,G5)-G7)</f>
        <v>0</v>
      </c>
      <c r="H8" s="18" t="n">
        <f aca="false">MIN(H23,MAX(0,H5)-H7)</f>
        <v>0</v>
      </c>
      <c r="I8" s="18" t="n">
        <f aca="false">MIN(I23,MAX(0,I5)-I7)</f>
        <v>0</v>
      </c>
      <c r="J8" s="18" t="n">
        <f aca="false">MIN(J23,MAX(0,J5)-J7)</f>
        <v>0</v>
      </c>
      <c r="K8" s="18" t="n">
        <f aca="false">MIN(K23,MAX(0,K5)-K7)</f>
        <v>0</v>
      </c>
      <c r="L8" s="18" t="n">
        <f aca="false">MIN(L23,MAX(0,L5)-L7)</f>
        <v>0</v>
      </c>
      <c r="M8" s="18" t="n">
        <f aca="false">MIN(M23,MAX(0,M5)-M7)</f>
        <v>0</v>
      </c>
      <c r="N8" s="18" t="n">
        <f aca="false">MIN(N23,MAX(0,N5)-N7)</f>
        <v>0</v>
      </c>
      <c r="O8" s="18" t="n">
        <f aca="false">MIN(O23,MAX(0,O5)-O7)</f>
        <v>0</v>
      </c>
      <c r="P8" s="18" t="n">
        <f aca="false">MIN(P23,MAX(0,P5)-P7)</f>
        <v>0</v>
      </c>
      <c r="Q8" s="18" t="n">
        <f aca="false">MIN(Q23,MAX(0,Q5)-Q7)</f>
        <v>0</v>
      </c>
      <c r="R8" s="18" t="n">
        <f aca="false">MIN(R23,MAX(0,R5)-R7)</f>
        <v>0</v>
      </c>
      <c r="S8" s="18" t="n">
        <f aca="false">MIN(S23,MAX(0,S5)-S7)</f>
        <v>0</v>
      </c>
      <c r="T8" s="18" t="n">
        <f aca="false">MIN(T23,MAX(0,T5)-T7)</f>
        <v>0</v>
      </c>
      <c r="U8" s="18" t="n">
        <f aca="false">MIN(U23,MAX(0,U5)-U7)</f>
        <v>0</v>
      </c>
      <c r="V8" s="18" t="n">
        <f aca="false">MIN(V23,MAX(0,V5)-V7)</f>
        <v>0</v>
      </c>
    </row>
    <row r="9" customFormat="false" ht="15" hidden="false" customHeight="true" outlineLevel="0" collapsed="false">
      <c r="B9" s="13" t="s">
        <v>817</v>
      </c>
      <c r="C9" s="18" t="n">
        <f aca="false">MIN(MAX(0,C33-C29),MAX(0,C5)-C7-C8)</f>
        <v>0</v>
      </c>
      <c r="D9" s="18" t="n">
        <f aca="false">MIN(MAX(0,D33-D29),MAX(0,D5)-D7-D8)</f>
        <v>0</v>
      </c>
      <c r="E9" s="18" t="n">
        <f aca="false">MIN(MAX(0,E33-E29),MAX(0,E5)-E7-E8)</f>
        <v>0</v>
      </c>
      <c r="F9" s="18" t="n">
        <f aca="false">MIN(MAX(0,F33-F29),MAX(0,F5)-F7-F8)</f>
        <v>0</v>
      </c>
      <c r="G9" s="18" t="n">
        <f aca="false">MIN(MAX(0,G33-G29),MAX(0,G5)-G7-G8)</f>
        <v>0</v>
      </c>
      <c r="H9" s="18" t="n">
        <f aca="false">MIN(MAX(0,H33-H29),MAX(0,H5)-H7-H8)</f>
        <v>0</v>
      </c>
      <c r="I9" s="18" t="n">
        <f aca="false">MIN(MAX(0,I33-I29),MAX(0,I5)-I7-I8)</f>
        <v>0</v>
      </c>
      <c r="J9" s="18" t="n">
        <f aca="false">MIN(MAX(0,J33-J29),MAX(0,J5)-J7-J8)</f>
        <v>0</v>
      </c>
      <c r="K9" s="18" t="n">
        <f aca="false">MIN(MAX(0,K33-K29),MAX(0,K5)-K7-K8)</f>
        <v>0</v>
      </c>
      <c r="L9" s="18" t="n">
        <f aca="false">MIN(MAX(0,L33-L29),MAX(0,L5)-L7-L8)</f>
        <v>0</v>
      </c>
      <c r="M9" s="18" t="n">
        <f aca="false">MIN(MAX(0,M33-M29),MAX(0,M5)-M7-M8)</f>
        <v>0</v>
      </c>
      <c r="N9" s="18" t="n">
        <f aca="false">MIN(MAX(0,N33-N29),MAX(0,N5)-N7-N8)</f>
        <v>0</v>
      </c>
      <c r="O9" s="18" t="n">
        <f aca="false">MIN(MAX(0,O33-O29),MAX(0,O5)-O7-O8)</f>
        <v>0</v>
      </c>
      <c r="P9" s="18" t="n">
        <f aca="false">MIN(MAX(0,P33-P29),MAX(0,P5)-P7-P8)</f>
        <v>0</v>
      </c>
      <c r="Q9" s="18" t="n">
        <f aca="false">MIN(MAX(0,Q33-Q29),MAX(0,Q5)-Q7-Q8)</f>
        <v>0</v>
      </c>
      <c r="R9" s="18" t="n">
        <f aca="false">MIN(MAX(0,R33-R29),MAX(0,R5)-R7-R8)</f>
        <v>0</v>
      </c>
      <c r="S9" s="18" t="n">
        <f aca="false">MIN(MAX(0,S33-S29),MAX(0,S5)-S7-S8)</f>
        <v>0</v>
      </c>
      <c r="T9" s="18" t="n">
        <f aca="false">MIN(MAX(0,T33-T29),MAX(0,T5)-T7-T8)</f>
        <v>0</v>
      </c>
      <c r="U9" s="18" t="n">
        <f aca="false">MIN(MAX(0,U33-U29),MAX(0,U5)-U7-U8)</f>
        <v>0</v>
      </c>
      <c r="V9" s="18" t="n">
        <f aca="false">MIN(MAX(0,V33-V29),MAX(0,V5)-V7-V8)</f>
        <v>0</v>
      </c>
    </row>
    <row r="11" customFormat="false" ht="15" hidden="false" customHeight="true" outlineLevel="0" collapsed="false">
      <c r="B11" s="19" t="s">
        <v>818</v>
      </c>
      <c r="C11" s="42" t="n">
        <f aca="false">C7+C8+C9</f>
        <v>0</v>
      </c>
      <c r="D11" s="42" t="n">
        <f aca="false">D7+D8+D9</f>
        <v>0</v>
      </c>
      <c r="E11" s="42" t="n">
        <f aca="false">E7+E8+E9</f>
        <v>0</v>
      </c>
      <c r="F11" s="42" t="n">
        <f aca="false">F7+F8+F9</f>
        <v>0</v>
      </c>
      <c r="G11" s="42" t="n">
        <f aca="false">G7+G8+G9</f>
        <v>0</v>
      </c>
      <c r="H11" s="42" t="n">
        <f aca="false">H7+H8+H9</f>
        <v>0</v>
      </c>
      <c r="I11" s="42" t="n">
        <f aca="false">I7+I8+I9</f>
        <v>0</v>
      </c>
      <c r="J11" s="42" t="n">
        <f aca="false">J7+J8+J9</f>
        <v>0</v>
      </c>
      <c r="K11" s="42" t="n">
        <f aca="false">K7+K8+K9</f>
        <v>0</v>
      </c>
      <c r="L11" s="42" t="n">
        <f aca="false">L7+L8+L9</f>
        <v>0</v>
      </c>
      <c r="M11" s="42" t="n">
        <f aca="false">M7+M8+M9</f>
        <v>0</v>
      </c>
      <c r="N11" s="42" t="n">
        <f aca="false">N7+N8+N9</f>
        <v>0</v>
      </c>
      <c r="O11" s="42" t="n">
        <f aca="false">O7+O8+O9</f>
        <v>0</v>
      </c>
      <c r="P11" s="42" t="n">
        <f aca="false">P7+P8+P9</f>
        <v>0</v>
      </c>
      <c r="Q11" s="42" t="n">
        <f aca="false">Q7+Q8+Q9</f>
        <v>0</v>
      </c>
      <c r="R11" s="42" t="n">
        <f aca="false">R7+R8+R9</f>
        <v>0</v>
      </c>
      <c r="S11" s="42" t="n">
        <f aca="false">S7+S8+S9</f>
        <v>0</v>
      </c>
      <c r="T11" s="42" t="n">
        <f aca="false">T7+T8+T9</f>
        <v>0</v>
      </c>
      <c r="U11" s="42" t="n">
        <f aca="false">U7+U8+U9</f>
        <v>0</v>
      </c>
      <c r="V11" s="42" t="n">
        <f aca="false">V7+V8+V9</f>
        <v>0</v>
      </c>
    </row>
    <row r="13" customFormat="false" ht="15" hidden="false" customHeight="true" outlineLevel="0" collapsed="false">
      <c r="B13" s="19" t="s">
        <v>819</v>
      </c>
      <c r="C13" s="42" t="n">
        <f aca="false">C5-C11</f>
        <v>-43825.0917841878</v>
      </c>
      <c r="D13" s="42" t="n">
        <f aca="false">D5-D11</f>
        <v>-4784.10171853993</v>
      </c>
      <c r="E13" s="42" t="n">
        <f aca="false">E5-E11</f>
        <v>-13583.300670552</v>
      </c>
      <c r="F13" s="42" t="n">
        <f aca="false">F5-F11</f>
        <v>-23069.5453734626</v>
      </c>
      <c r="G13" s="42" t="n">
        <f aca="false">G5-G11</f>
        <v>-33279.1508910764</v>
      </c>
      <c r="H13" s="42" t="n">
        <f aca="false">H5-H11</f>
        <v>-44250.2824512964</v>
      </c>
      <c r="I13" s="42" t="n">
        <f aca="false">I5-I11</f>
        <v>-56023.0531904769</v>
      </c>
      <c r="J13" s="42" t="n">
        <f aca="false">J5-J11</f>
        <v>-68639.6273006643</v>
      </c>
      <c r="K13" s="42" t="n">
        <f aca="false">K5-K11</f>
        <v>-82144.328888842</v>
      </c>
      <c r="L13" s="42" t="n">
        <f aca="false">L5-L11</f>
        <v>-96583.7568753852</v>
      </c>
      <c r="M13" s="42" t="n">
        <f aca="false">M5-M11</f>
        <v>-112006.906278056</v>
      </c>
      <c r="N13" s="42" t="n">
        <f aca="false">N5-N11</f>
        <v>-128465.296248163</v>
      </c>
      <c r="O13" s="42" t="n">
        <f aca="false">O5-O11</f>
        <v>-146013.105246975</v>
      </c>
      <c r="P13" s="42" t="n">
        <f aca="false">P5-P11</f>
        <v>-164707.313773237</v>
      </c>
      <c r="Q13" s="42" t="n">
        <f aca="false">Q5-Q11</f>
        <v>-184607.855076732</v>
      </c>
      <c r="R13" s="42" t="n">
        <f aca="false">R5-R11</f>
        <v>-205777.774318358</v>
      </c>
      <c r="S13" s="42" t="n">
        <f aca="false">S5-S11</f>
        <v>-228283.396664238</v>
      </c>
      <c r="T13" s="42" t="n">
        <f aca="false">T5-T11</f>
        <v>-252194.504830021</v>
      </c>
      <c r="U13" s="42" t="n">
        <f aca="false">U5-U11</f>
        <v>-277584.526621881</v>
      </c>
      <c r="V13" s="42" t="n">
        <f aca="false">V5-V11</f>
        <v>-304530.73305287</v>
      </c>
    </row>
    <row r="16" customFormat="false" ht="15" hidden="false" customHeight="true" outlineLevel="0" collapsed="false">
      <c r="B16" s="19" t="s">
        <v>820</v>
      </c>
    </row>
    <row r="17" customFormat="false" ht="15" hidden="false" customHeight="true" outlineLevel="0" collapsed="false">
      <c r="B17" s="13" t="s">
        <v>808</v>
      </c>
      <c r="C17" s="109" t="n">
        <f aca="false">'Sources &amp; Uses'!C10</f>
        <v>816531.2064</v>
      </c>
      <c r="D17" s="18" t="n">
        <f aca="false">C19</f>
        <v>816531.2064</v>
      </c>
      <c r="E17" s="18" t="n">
        <f aca="false">D19</f>
        <v>816531.2064</v>
      </c>
      <c r="F17" s="18" t="n">
        <f aca="false">E19</f>
        <v>816531.2064</v>
      </c>
      <c r="G17" s="18" t="n">
        <f aca="false">F19</f>
        <v>816531.2064</v>
      </c>
      <c r="H17" s="18" t="n">
        <f aca="false">G19</f>
        <v>816531.2064</v>
      </c>
      <c r="I17" s="18" t="n">
        <f aca="false">H19</f>
        <v>816531.2064</v>
      </c>
      <c r="J17" s="18" t="n">
        <f aca="false">I19</f>
        <v>816531.2064</v>
      </c>
      <c r="K17" s="18" t="n">
        <f aca="false">J19</f>
        <v>816531.2064</v>
      </c>
      <c r="L17" s="18" t="n">
        <f aca="false">K19</f>
        <v>816531.2064</v>
      </c>
      <c r="M17" s="18" t="n">
        <f aca="false">L19</f>
        <v>816531.2064</v>
      </c>
      <c r="N17" s="18" t="n">
        <f aca="false">M19</f>
        <v>816531.2064</v>
      </c>
      <c r="O17" s="18" t="n">
        <f aca="false">N19</f>
        <v>816531.2064</v>
      </c>
      <c r="P17" s="18" t="n">
        <f aca="false">O19</f>
        <v>816531.2064</v>
      </c>
      <c r="Q17" s="18" t="n">
        <f aca="false">P19</f>
        <v>816531.2064</v>
      </c>
      <c r="R17" s="18" t="n">
        <f aca="false">Q19</f>
        <v>816531.2064</v>
      </c>
      <c r="S17" s="18" t="n">
        <f aca="false">R19</f>
        <v>816531.2064</v>
      </c>
      <c r="T17" s="18" t="n">
        <f aca="false">S19</f>
        <v>816531.2064</v>
      </c>
      <c r="U17" s="18" t="n">
        <f aca="false">T19</f>
        <v>816531.2064</v>
      </c>
      <c r="V17" s="18" t="n">
        <f aca="false">U19</f>
        <v>816531.2064</v>
      </c>
    </row>
    <row r="18" customFormat="false" ht="15" hidden="false" customHeight="true" outlineLevel="0" collapsed="false">
      <c r="B18" s="13" t="s">
        <v>821</v>
      </c>
      <c r="C18" s="18" t="n">
        <f aca="false">C7</f>
        <v>0</v>
      </c>
      <c r="D18" s="18" t="n">
        <f aca="false">D7</f>
        <v>0</v>
      </c>
      <c r="E18" s="18" t="n">
        <f aca="false">E7</f>
        <v>0</v>
      </c>
      <c r="F18" s="18" t="n">
        <f aca="false">F7</f>
        <v>0</v>
      </c>
      <c r="G18" s="18" t="n">
        <f aca="false">G7</f>
        <v>0</v>
      </c>
      <c r="H18" s="18" t="n">
        <f aca="false">H7</f>
        <v>0</v>
      </c>
      <c r="I18" s="18" t="n">
        <f aca="false">I7</f>
        <v>0</v>
      </c>
      <c r="J18" s="18" t="n">
        <f aca="false">J7</f>
        <v>0</v>
      </c>
      <c r="K18" s="18" t="n">
        <f aca="false">K7</f>
        <v>0</v>
      </c>
      <c r="L18" s="18" t="n">
        <f aca="false">L7</f>
        <v>0</v>
      </c>
      <c r="M18" s="18" t="n">
        <f aca="false">M7</f>
        <v>0</v>
      </c>
      <c r="N18" s="18" t="n">
        <f aca="false">N7</f>
        <v>0</v>
      </c>
      <c r="O18" s="18" t="n">
        <f aca="false">O7</f>
        <v>0</v>
      </c>
      <c r="P18" s="18" t="n">
        <f aca="false">P7</f>
        <v>0</v>
      </c>
      <c r="Q18" s="18" t="n">
        <f aca="false">Q7</f>
        <v>0</v>
      </c>
      <c r="R18" s="18" t="n">
        <f aca="false">R7</f>
        <v>0</v>
      </c>
      <c r="S18" s="18" t="n">
        <f aca="false">S7</f>
        <v>0</v>
      </c>
      <c r="T18" s="18" t="n">
        <f aca="false">T7</f>
        <v>0</v>
      </c>
      <c r="U18" s="18" t="n">
        <f aca="false">U7</f>
        <v>0</v>
      </c>
      <c r="V18" s="18" t="n">
        <f aca="false">V7</f>
        <v>0</v>
      </c>
    </row>
    <row r="19" customFormat="false" ht="15" hidden="false" customHeight="true" outlineLevel="0" collapsed="false">
      <c r="B19" s="13" t="s">
        <v>811</v>
      </c>
      <c r="C19" s="18" t="n">
        <f aca="false">C17-C18</f>
        <v>816531.2064</v>
      </c>
      <c r="D19" s="18" t="n">
        <f aca="false">D17-D18</f>
        <v>816531.2064</v>
      </c>
      <c r="E19" s="18" t="n">
        <f aca="false">E17-E18</f>
        <v>816531.2064</v>
      </c>
      <c r="F19" s="18" t="n">
        <f aca="false">F17-F18</f>
        <v>816531.2064</v>
      </c>
      <c r="G19" s="18" t="n">
        <f aca="false">G17-G18</f>
        <v>816531.2064</v>
      </c>
      <c r="H19" s="18" t="n">
        <f aca="false">H17-H18</f>
        <v>816531.2064</v>
      </c>
      <c r="I19" s="18" t="n">
        <f aca="false">I17-I18</f>
        <v>816531.2064</v>
      </c>
      <c r="J19" s="18" t="n">
        <f aca="false">J17-J18</f>
        <v>816531.2064</v>
      </c>
      <c r="K19" s="18" t="n">
        <f aca="false">K17-K18</f>
        <v>816531.2064</v>
      </c>
      <c r="L19" s="18" t="n">
        <f aca="false">L17-L18</f>
        <v>816531.2064</v>
      </c>
      <c r="M19" s="18" t="n">
        <f aca="false">M17-M18</f>
        <v>816531.2064</v>
      </c>
      <c r="N19" s="18" t="n">
        <f aca="false">N17-N18</f>
        <v>816531.2064</v>
      </c>
      <c r="O19" s="18" t="n">
        <f aca="false">O17-O18</f>
        <v>816531.2064</v>
      </c>
      <c r="P19" s="18" t="n">
        <f aca="false">P17-P18</f>
        <v>816531.2064</v>
      </c>
      <c r="Q19" s="18" t="n">
        <f aca="false">Q17-Q18</f>
        <v>816531.2064</v>
      </c>
      <c r="R19" s="18" t="n">
        <f aca="false">R17-R18</f>
        <v>816531.2064</v>
      </c>
      <c r="S19" s="18" t="n">
        <f aca="false">S17-S18</f>
        <v>816531.2064</v>
      </c>
      <c r="T19" s="18" t="n">
        <f aca="false">T17-T18</f>
        <v>816531.2064</v>
      </c>
      <c r="U19" s="18" t="n">
        <f aca="false">U17-U18</f>
        <v>816531.2064</v>
      </c>
      <c r="V19" s="18" t="n">
        <f aca="false">V17-V18</f>
        <v>816531.2064</v>
      </c>
    </row>
    <row r="22" customFormat="false" ht="15" hidden="false" customHeight="true" outlineLevel="0" collapsed="false">
      <c r="B22" s="19" t="s">
        <v>822</v>
      </c>
    </row>
    <row r="23" customFormat="false" ht="15" hidden="false" customHeight="true" outlineLevel="0" collapsed="false">
      <c r="B23" s="13" t="s">
        <v>808</v>
      </c>
      <c r="C23" s="109" t="n">
        <f aca="false">'Sources &amp; Uses'!C12</f>
        <v>461898.42260548</v>
      </c>
      <c r="D23" s="18" t="n">
        <f aca="false">C25</f>
        <v>461898.42260548</v>
      </c>
      <c r="E23" s="18" t="n">
        <f aca="false">D25</f>
        <v>461898.42260548</v>
      </c>
      <c r="F23" s="18" t="n">
        <f aca="false">E25</f>
        <v>461898.42260548</v>
      </c>
      <c r="G23" s="18" t="n">
        <f aca="false">F25</f>
        <v>461898.42260548</v>
      </c>
      <c r="H23" s="18" t="n">
        <f aca="false">G25</f>
        <v>461898.42260548</v>
      </c>
      <c r="I23" s="18" t="n">
        <f aca="false">H25</f>
        <v>461898.42260548</v>
      </c>
      <c r="J23" s="18" t="n">
        <f aca="false">I25</f>
        <v>461898.42260548</v>
      </c>
      <c r="K23" s="18" t="n">
        <f aca="false">J25</f>
        <v>461898.42260548</v>
      </c>
      <c r="L23" s="18" t="n">
        <f aca="false">K25</f>
        <v>461898.42260548</v>
      </c>
      <c r="M23" s="18" t="n">
        <f aca="false">L25</f>
        <v>461898.42260548</v>
      </c>
      <c r="N23" s="18" t="n">
        <f aca="false">M25</f>
        <v>461898.42260548</v>
      </c>
      <c r="O23" s="18" t="n">
        <f aca="false">N25</f>
        <v>461898.42260548</v>
      </c>
      <c r="P23" s="18" t="n">
        <f aca="false">O25</f>
        <v>461898.42260548</v>
      </c>
      <c r="Q23" s="18" t="n">
        <f aca="false">P25</f>
        <v>461898.42260548</v>
      </c>
      <c r="R23" s="18" t="n">
        <f aca="false">Q25</f>
        <v>461898.42260548</v>
      </c>
      <c r="S23" s="18" t="n">
        <f aca="false">R25</f>
        <v>461898.42260548</v>
      </c>
      <c r="T23" s="18" t="n">
        <f aca="false">S25</f>
        <v>461898.42260548</v>
      </c>
      <c r="U23" s="18" t="n">
        <f aca="false">T25</f>
        <v>461898.42260548</v>
      </c>
      <c r="V23" s="18" t="n">
        <f aca="false">U25</f>
        <v>461898.42260548</v>
      </c>
    </row>
    <row r="24" customFormat="false" ht="15" hidden="false" customHeight="true" outlineLevel="0" collapsed="false">
      <c r="B24" s="13" t="s">
        <v>821</v>
      </c>
      <c r="C24" s="18" t="n">
        <f aca="false">C8</f>
        <v>0</v>
      </c>
      <c r="D24" s="18" t="n">
        <f aca="false">D8</f>
        <v>0</v>
      </c>
      <c r="E24" s="18" t="n">
        <f aca="false">E8</f>
        <v>0</v>
      </c>
      <c r="F24" s="18" t="n">
        <f aca="false">F8</f>
        <v>0</v>
      </c>
      <c r="G24" s="18" t="n">
        <f aca="false">G8</f>
        <v>0</v>
      </c>
      <c r="H24" s="18" t="n">
        <f aca="false">H8</f>
        <v>0</v>
      </c>
      <c r="I24" s="18" t="n">
        <f aca="false">I8</f>
        <v>0</v>
      </c>
      <c r="J24" s="18" t="n">
        <f aca="false">J8</f>
        <v>0</v>
      </c>
      <c r="K24" s="18" t="n">
        <f aca="false">K8</f>
        <v>0</v>
      </c>
      <c r="L24" s="18" t="n">
        <f aca="false">L8</f>
        <v>0</v>
      </c>
      <c r="M24" s="18" t="n">
        <f aca="false">M8</f>
        <v>0</v>
      </c>
      <c r="N24" s="18" t="n">
        <f aca="false">N8</f>
        <v>0</v>
      </c>
      <c r="O24" s="18" t="n">
        <f aca="false">O8</f>
        <v>0</v>
      </c>
      <c r="P24" s="18" t="n">
        <f aca="false">P8</f>
        <v>0</v>
      </c>
      <c r="Q24" s="18" t="n">
        <f aca="false">Q8</f>
        <v>0</v>
      </c>
      <c r="R24" s="18" t="n">
        <f aca="false">R8</f>
        <v>0</v>
      </c>
      <c r="S24" s="18" t="n">
        <f aca="false">S8</f>
        <v>0</v>
      </c>
      <c r="T24" s="18" t="n">
        <f aca="false">T8</f>
        <v>0</v>
      </c>
      <c r="U24" s="18" t="n">
        <f aca="false">U8</f>
        <v>0</v>
      </c>
      <c r="V24" s="18" t="n">
        <f aca="false">V8</f>
        <v>0</v>
      </c>
    </row>
    <row r="25" customFormat="false" ht="15" hidden="false" customHeight="true" outlineLevel="0" collapsed="false">
      <c r="B25" s="13" t="s">
        <v>811</v>
      </c>
      <c r="C25" s="18" t="n">
        <f aca="false">C23-C24</f>
        <v>461898.42260548</v>
      </c>
      <c r="D25" s="18" t="n">
        <f aca="false">D23-D24</f>
        <v>461898.42260548</v>
      </c>
      <c r="E25" s="18" t="n">
        <f aca="false">E23-E24</f>
        <v>461898.42260548</v>
      </c>
      <c r="F25" s="18" t="n">
        <f aca="false">F23-F24</f>
        <v>461898.42260548</v>
      </c>
      <c r="G25" s="18" t="n">
        <f aca="false">G23-G24</f>
        <v>461898.42260548</v>
      </c>
      <c r="H25" s="18" t="n">
        <f aca="false">H23-H24</f>
        <v>461898.42260548</v>
      </c>
      <c r="I25" s="18" t="n">
        <f aca="false">I23-I24</f>
        <v>461898.42260548</v>
      </c>
      <c r="J25" s="18" t="n">
        <f aca="false">J23-J24</f>
        <v>461898.42260548</v>
      </c>
      <c r="K25" s="18" t="n">
        <f aca="false">K23-K24</f>
        <v>461898.42260548</v>
      </c>
      <c r="L25" s="18" t="n">
        <f aca="false">L23-L24</f>
        <v>461898.42260548</v>
      </c>
      <c r="M25" s="18" t="n">
        <f aca="false">M23-M24</f>
        <v>461898.42260548</v>
      </c>
      <c r="N25" s="18" t="n">
        <f aca="false">N23-N24</f>
        <v>461898.42260548</v>
      </c>
      <c r="O25" s="18" t="n">
        <f aca="false">O23-O24</f>
        <v>461898.42260548</v>
      </c>
      <c r="P25" s="18" t="n">
        <f aca="false">P23-P24</f>
        <v>461898.42260548</v>
      </c>
      <c r="Q25" s="18" t="n">
        <f aca="false">Q23-Q24</f>
        <v>461898.42260548</v>
      </c>
      <c r="R25" s="18" t="n">
        <f aca="false">R23-R24</f>
        <v>461898.42260548</v>
      </c>
      <c r="S25" s="18" t="n">
        <f aca="false">S23-S24</f>
        <v>461898.42260548</v>
      </c>
      <c r="T25" s="18" t="n">
        <f aca="false">T23-T24</f>
        <v>461898.42260548</v>
      </c>
      <c r="U25" s="18" t="n">
        <f aca="false">U23-U24</f>
        <v>461898.42260548</v>
      </c>
      <c r="V25" s="18" t="n">
        <f aca="false">V23-V24</f>
        <v>461898.42260548</v>
      </c>
    </row>
    <row r="28" customFormat="false" ht="15" hidden="false" customHeight="true" outlineLevel="0" collapsed="false">
      <c r="B28" s="19" t="s">
        <v>823</v>
      </c>
    </row>
    <row r="29" customFormat="false" ht="15" hidden="false" customHeight="true" outlineLevel="0" collapsed="false">
      <c r="B29" s="13" t="s">
        <v>808</v>
      </c>
      <c r="C29" s="109" t="n">
        <f aca="false">'Sources &amp; Uses'!C23</f>
        <v>434848.69432072</v>
      </c>
      <c r="D29" s="18" t="n">
        <f aca="false">C32</f>
        <v>391023.602536532</v>
      </c>
      <c r="E29" s="18" t="n">
        <f aca="false">D32</f>
        <v>386239.500817992</v>
      </c>
      <c r="F29" s="18" t="n">
        <f aca="false">E32</f>
        <v>372656.20014744</v>
      </c>
      <c r="G29" s="18" t="n">
        <f aca="false">F32</f>
        <v>349586.654773978</v>
      </c>
      <c r="H29" s="18" t="n">
        <f aca="false">G32</f>
        <v>316307.503882901</v>
      </c>
      <c r="I29" s="18" t="n">
        <f aca="false">H32</f>
        <v>272057.221431605</v>
      </c>
      <c r="J29" s="18" t="n">
        <f aca="false">I32</f>
        <v>216034.168241128</v>
      </c>
      <c r="K29" s="18" t="n">
        <f aca="false">J32</f>
        <v>147394.540940464</v>
      </c>
      <c r="L29" s="18" t="n">
        <f aca="false">K32</f>
        <v>65250.2120516216</v>
      </c>
      <c r="M29" s="18" t="n">
        <f aca="false">L32</f>
        <v>0</v>
      </c>
      <c r="N29" s="18" t="n">
        <f aca="false">M32</f>
        <v>0</v>
      </c>
      <c r="O29" s="18" t="n">
        <f aca="false">N32</f>
        <v>0</v>
      </c>
      <c r="P29" s="18" t="n">
        <f aca="false">O32</f>
        <v>0</v>
      </c>
      <c r="Q29" s="18" t="n">
        <f aca="false">P32</f>
        <v>0</v>
      </c>
      <c r="R29" s="18" t="n">
        <f aca="false">Q32</f>
        <v>0</v>
      </c>
      <c r="S29" s="18" t="n">
        <f aca="false">R32</f>
        <v>0</v>
      </c>
      <c r="T29" s="18" t="n">
        <f aca="false">S32</f>
        <v>0</v>
      </c>
      <c r="U29" s="18" t="n">
        <f aca="false">T32</f>
        <v>0</v>
      </c>
      <c r="V29" s="18" t="n">
        <f aca="false">U32</f>
        <v>0</v>
      </c>
    </row>
    <row r="30" customFormat="false" ht="15" hidden="false" customHeight="true" outlineLevel="0" collapsed="false">
      <c r="B30" s="13" t="s">
        <v>824</v>
      </c>
      <c r="C30" s="18" t="n">
        <f aca="false">C9</f>
        <v>0</v>
      </c>
      <c r="D30" s="18" t="n">
        <f aca="false">D9</f>
        <v>0</v>
      </c>
      <c r="E30" s="18" t="n">
        <f aca="false">E9</f>
        <v>0</v>
      </c>
      <c r="F30" s="18" t="n">
        <f aca="false">F9</f>
        <v>0</v>
      </c>
      <c r="G30" s="18" t="n">
        <f aca="false">G9</f>
        <v>0</v>
      </c>
      <c r="H30" s="18" t="n">
        <f aca="false">H9</f>
        <v>0</v>
      </c>
      <c r="I30" s="18" t="n">
        <f aca="false">I9</f>
        <v>0</v>
      </c>
      <c r="J30" s="18" t="n">
        <f aca="false">J9</f>
        <v>0</v>
      </c>
      <c r="K30" s="18" t="n">
        <f aca="false">K9</f>
        <v>0</v>
      </c>
      <c r="L30" s="18" t="n">
        <f aca="false">L9</f>
        <v>0</v>
      </c>
      <c r="M30" s="18" t="n">
        <f aca="false">M9</f>
        <v>0</v>
      </c>
      <c r="N30" s="18" t="n">
        <f aca="false">N9</f>
        <v>0</v>
      </c>
      <c r="O30" s="18" t="n">
        <f aca="false">O9</f>
        <v>0</v>
      </c>
      <c r="P30" s="18" t="n">
        <f aca="false">P9</f>
        <v>0</v>
      </c>
      <c r="Q30" s="18" t="n">
        <f aca="false">Q9</f>
        <v>0</v>
      </c>
      <c r="R30" s="18" t="n">
        <f aca="false">R9</f>
        <v>0</v>
      </c>
      <c r="S30" s="18" t="n">
        <f aca="false">S9</f>
        <v>0</v>
      </c>
      <c r="T30" s="18" t="n">
        <f aca="false">T9</f>
        <v>0</v>
      </c>
      <c r="U30" s="18" t="n">
        <f aca="false">U9</f>
        <v>0</v>
      </c>
      <c r="V30" s="18" t="n">
        <f aca="false">V9</f>
        <v>0</v>
      </c>
    </row>
    <row r="31" customFormat="false" ht="15" hidden="false" customHeight="true" outlineLevel="0" collapsed="false">
      <c r="B31" s="13" t="s">
        <v>825</v>
      </c>
      <c r="C31" s="18" t="n">
        <f aca="false">MIN(C29,MAX(0,-C5))</f>
        <v>43825.0917841878</v>
      </c>
      <c r="D31" s="18" t="n">
        <f aca="false">MIN(D29,MAX(0,-D5))</f>
        <v>4784.10171853993</v>
      </c>
      <c r="E31" s="18" t="n">
        <f aca="false">MIN(E29,MAX(0,-E5))</f>
        <v>13583.300670552</v>
      </c>
      <c r="F31" s="18" t="n">
        <f aca="false">MIN(F29,MAX(0,-F5))</f>
        <v>23069.5453734626</v>
      </c>
      <c r="G31" s="18" t="n">
        <f aca="false">MIN(G29,MAX(0,-G5))</f>
        <v>33279.1508910764</v>
      </c>
      <c r="H31" s="18" t="n">
        <f aca="false">MIN(H29,MAX(0,-H5))</f>
        <v>44250.2824512964</v>
      </c>
      <c r="I31" s="18" t="n">
        <f aca="false">MIN(I29,MAX(0,-I5))</f>
        <v>56023.0531904769</v>
      </c>
      <c r="J31" s="18" t="n">
        <f aca="false">MIN(J29,MAX(0,-J5))</f>
        <v>68639.6273006643</v>
      </c>
      <c r="K31" s="18" t="n">
        <f aca="false">MIN(K29,MAX(0,-K5))</f>
        <v>82144.328888842</v>
      </c>
      <c r="L31" s="18" t="n">
        <f aca="false">MIN(L29,MAX(0,-L5))</f>
        <v>65250.2120516216</v>
      </c>
      <c r="M31" s="18" t="n">
        <f aca="false">MIN(M29,MAX(0,-M5))</f>
        <v>0</v>
      </c>
      <c r="N31" s="18" t="n">
        <f aca="false">MIN(N29,MAX(0,-N5))</f>
        <v>0</v>
      </c>
      <c r="O31" s="18" t="n">
        <f aca="false">MIN(O29,MAX(0,-O5))</f>
        <v>0</v>
      </c>
      <c r="P31" s="18" t="n">
        <f aca="false">MIN(P29,MAX(0,-P5))</f>
        <v>0</v>
      </c>
      <c r="Q31" s="18" t="n">
        <f aca="false">MIN(Q29,MAX(0,-Q5))</f>
        <v>0</v>
      </c>
      <c r="R31" s="18" t="n">
        <f aca="false">MIN(R29,MAX(0,-R5))</f>
        <v>0</v>
      </c>
      <c r="S31" s="18" t="n">
        <f aca="false">MIN(S29,MAX(0,-S5))</f>
        <v>0</v>
      </c>
      <c r="T31" s="18" t="n">
        <f aca="false">MIN(T29,MAX(0,-T5))</f>
        <v>0</v>
      </c>
      <c r="U31" s="18" t="n">
        <f aca="false">MIN(U29,MAX(0,-U5))</f>
        <v>0</v>
      </c>
      <c r="V31" s="18" t="n">
        <f aca="false">MIN(V29,MAX(0,-V5))</f>
        <v>0</v>
      </c>
    </row>
    <row r="32" customFormat="false" ht="15" hidden="false" customHeight="true" outlineLevel="0" collapsed="false">
      <c r="B32" s="13" t="s">
        <v>811</v>
      </c>
      <c r="C32" s="18" t="n">
        <f aca="false">C29+C30-C31</f>
        <v>391023.602536532</v>
      </c>
      <c r="D32" s="18" t="n">
        <f aca="false">D29+D30-D31</f>
        <v>386239.500817992</v>
      </c>
      <c r="E32" s="18" t="n">
        <f aca="false">E29+E30-E31</f>
        <v>372656.20014744</v>
      </c>
      <c r="F32" s="18" t="n">
        <f aca="false">F29+F30-F31</f>
        <v>349586.654773978</v>
      </c>
      <c r="G32" s="18" t="n">
        <f aca="false">G29+G30-G31</f>
        <v>316307.503882901</v>
      </c>
      <c r="H32" s="18" t="n">
        <f aca="false">H29+H30-H31</f>
        <v>272057.221431605</v>
      </c>
      <c r="I32" s="18" t="n">
        <f aca="false">I29+I30-I31</f>
        <v>216034.168241128</v>
      </c>
      <c r="J32" s="18" t="n">
        <f aca="false">J29+J30-J31</f>
        <v>147394.540940464</v>
      </c>
      <c r="K32" s="18" t="n">
        <f aca="false">K29+K30-K31</f>
        <v>65250.2120516216</v>
      </c>
      <c r="L32" s="18" t="n">
        <f aca="false">L29+L30-L31</f>
        <v>0</v>
      </c>
      <c r="M32" s="18" t="n">
        <f aca="false">M29+M30-M31</f>
        <v>0</v>
      </c>
      <c r="N32" s="18" t="n">
        <f aca="false">N29+N30-N31</f>
        <v>0</v>
      </c>
      <c r="O32" s="18" t="n">
        <f aca="false">O29+O30-O31</f>
        <v>0</v>
      </c>
      <c r="P32" s="18" t="n">
        <f aca="false">P29+P30-P31</f>
        <v>0</v>
      </c>
      <c r="Q32" s="18" t="n">
        <f aca="false">Q29+Q30-Q31</f>
        <v>0</v>
      </c>
      <c r="R32" s="18" t="n">
        <f aca="false">R29+R30-R31</f>
        <v>0</v>
      </c>
      <c r="S32" s="18" t="n">
        <f aca="false">S29+S30-S31</f>
        <v>0</v>
      </c>
      <c r="T32" s="18" t="n">
        <f aca="false">T29+T30-T31</f>
        <v>0</v>
      </c>
      <c r="U32" s="18" t="n">
        <f aca="false">U29+U30-U31</f>
        <v>0</v>
      </c>
      <c r="V32" s="18" t="n">
        <f aca="false">V29+V30-V31</f>
        <v>0</v>
      </c>
    </row>
    <row r="33" customFormat="false" ht="15" hidden="false" customHeight="true" outlineLevel="0" collapsed="false">
      <c r="B33" s="13" t="s">
        <v>826</v>
      </c>
      <c r="C33" s="18" t="n">
        <f aca="false">'Sources &amp; Uses'!C23</f>
        <v>434848.69432072</v>
      </c>
      <c r="D33" s="18" t="n">
        <f aca="false">'Sources &amp; Uses'!C23</f>
        <v>434848.69432072</v>
      </c>
      <c r="E33" s="18" t="n">
        <f aca="false">'Sources &amp; Uses'!C23</f>
        <v>434848.69432072</v>
      </c>
      <c r="F33" s="18" t="n">
        <f aca="false">'Sources &amp; Uses'!C23</f>
        <v>434848.69432072</v>
      </c>
      <c r="G33" s="18" t="n">
        <f aca="false">'Sources &amp; Uses'!C23</f>
        <v>434848.69432072</v>
      </c>
      <c r="H33" s="18" t="n">
        <f aca="false">'Sources &amp; Uses'!C23</f>
        <v>434848.69432072</v>
      </c>
      <c r="I33" s="18" t="n">
        <f aca="false">'Sources &amp; Uses'!C23</f>
        <v>434848.69432072</v>
      </c>
      <c r="J33" s="18" t="n">
        <f aca="false">'Sources &amp; Uses'!C23</f>
        <v>434848.69432072</v>
      </c>
      <c r="K33" s="18" t="n">
        <f aca="false">'Sources &amp; Uses'!C23</f>
        <v>434848.69432072</v>
      </c>
      <c r="L33" s="18" t="n">
        <f aca="false">'Sources &amp; Uses'!C23</f>
        <v>434848.69432072</v>
      </c>
      <c r="M33" s="18" t="n">
        <f aca="false">'Sources &amp; Uses'!C23</f>
        <v>434848.69432072</v>
      </c>
      <c r="N33" s="18" t="n">
        <f aca="false">'Sources &amp; Uses'!C23</f>
        <v>434848.69432072</v>
      </c>
      <c r="O33" s="18" t="n">
        <f aca="false">'Sources &amp; Uses'!C23</f>
        <v>434848.69432072</v>
      </c>
      <c r="P33" s="18" t="n">
        <f aca="false">'Sources &amp; Uses'!C23</f>
        <v>434848.69432072</v>
      </c>
      <c r="Q33" s="18" t="n">
        <f aca="false">'Sources &amp; Uses'!C23</f>
        <v>434848.69432072</v>
      </c>
      <c r="R33" s="18" t="n">
        <f aca="false">'Sources &amp; Uses'!C23</f>
        <v>434848.69432072</v>
      </c>
      <c r="S33" s="18" t="n">
        <f aca="false">'Sources &amp; Uses'!C23</f>
        <v>434848.69432072</v>
      </c>
      <c r="T33" s="18" t="n">
        <f aca="false">'Sources &amp; Uses'!C23</f>
        <v>434848.69432072</v>
      </c>
      <c r="U33" s="18" t="n">
        <f aca="false">'Sources &amp; Uses'!C23</f>
        <v>434848.69432072</v>
      </c>
      <c r="V33" s="18" t="n">
        <f aca="false">'Sources &amp; Uses'!C23</f>
        <v>434848.69432072</v>
      </c>
    </row>
    <row r="35" customFormat="false" ht="15" hidden="false" customHeight="true" outlineLevel="0" collapsed="false">
      <c r="B35" s="19" t="s">
        <v>827</v>
      </c>
      <c r="C35" s="101" t="str">
        <f aca="false">IFERROR(MATCH(0,C19:V19,0),"NOT REPAID")</f>
        <v>NOT REPAID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62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.43"/>
    <col collapsed="false" customWidth="true" hidden="false" outlineLevel="0" max="2" min="2" style="1" width="26"/>
    <col collapsed="false" customWidth="true" hidden="false" outlineLevel="0" max="3" min="3" style="1" width="10"/>
    <col collapsed="false" customWidth="true" hidden="false" outlineLevel="0" max="24" min="4" style="1" width="12.86"/>
  </cols>
  <sheetData>
    <row r="1" customFormat="false" ht="17.25" hidden="false" customHeight="true" outlineLevel="0" collapsed="false">
      <c r="A1" s="11" t="s">
        <v>828</v>
      </c>
    </row>
    <row r="2" customFormat="false" ht="15" hidden="false" customHeight="true" outlineLevel="0" collapsed="false">
      <c r="B2" s="36" t="s">
        <v>763</v>
      </c>
    </row>
    <row r="3" customFormat="false" ht="15" hidden="false" customHeight="true" outlineLevel="0" collapsed="false">
      <c r="B3" s="19" t="s">
        <v>764</v>
      </c>
      <c r="D3" s="58" t="s">
        <v>765</v>
      </c>
      <c r="E3" s="58" t="s">
        <v>766</v>
      </c>
      <c r="F3" s="58" t="s">
        <v>767</v>
      </c>
      <c r="G3" s="58" t="s">
        <v>768</v>
      </c>
      <c r="H3" s="58" t="s">
        <v>769</v>
      </c>
      <c r="I3" s="58" t="s">
        <v>770</v>
      </c>
      <c r="J3" s="58" t="s">
        <v>771</v>
      </c>
      <c r="K3" s="58" t="s">
        <v>772</v>
      </c>
      <c r="L3" s="58" t="s">
        <v>773</v>
      </c>
      <c r="M3" s="58" t="s">
        <v>774</v>
      </c>
      <c r="N3" s="58" t="s">
        <v>775</v>
      </c>
      <c r="O3" s="58" t="s">
        <v>776</v>
      </c>
      <c r="P3" s="58" t="s">
        <v>777</v>
      </c>
      <c r="Q3" s="58" t="s">
        <v>778</v>
      </c>
      <c r="R3" s="58" t="s">
        <v>779</v>
      </c>
      <c r="S3" s="58" t="s">
        <v>780</v>
      </c>
      <c r="T3" s="58" t="s">
        <v>781</v>
      </c>
      <c r="U3" s="58" t="s">
        <v>782</v>
      </c>
      <c r="V3" s="58" t="s">
        <v>783</v>
      </c>
      <c r="W3" s="58" t="s">
        <v>784</v>
      </c>
      <c r="X3" s="58" t="s">
        <v>613</v>
      </c>
    </row>
    <row r="4" customFormat="false" ht="15" hidden="false" customHeight="true" outlineLevel="0" collapsed="false">
      <c r="B4" s="13" t="s">
        <v>785</v>
      </c>
      <c r="D4" s="108" t="n">
        <f aca="false">YEAR(NZ_ResynDate)+0</f>
        <v>2029</v>
      </c>
      <c r="E4" s="108" t="n">
        <f aca="false">YEAR(NZ_ResynDate)+1</f>
        <v>2030</v>
      </c>
      <c r="F4" s="108" t="n">
        <f aca="false">YEAR(NZ_ResynDate)+2</f>
        <v>2031</v>
      </c>
      <c r="G4" s="108" t="n">
        <f aca="false">YEAR(NZ_ResynDate)+3</f>
        <v>2032</v>
      </c>
      <c r="H4" s="108" t="n">
        <f aca="false">YEAR(NZ_ResynDate)+4</f>
        <v>2033</v>
      </c>
      <c r="I4" s="108" t="n">
        <f aca="false">YEAR(NZ_ResynDate)+5</f>
        <v>2034</v>
      </c>
      <c r="J4" s="108" t="n">
        <f aca="false">YEAR(NZ_ResynDate)+6</f>
        <v>2035</v>
      </c>
      <c r="K4" s="108" t="n">
        <f aca="false">YEAR(NZ_ResynDate)+7</f>
        <v>2036</v>
      </c>
      <c r="L4" s="108" t="n">
        <f aca="false">YEAR(NZ_ResynDate)+8</f>
        <v>2037</v>
      </c>
      <c r="M4" s="108" t="n">
        <f aca="false">YEAR(NZ_ResynDate)+9</f>
        <v>2038</v>
      </c>
      <c r="N4" s="108" t="n">
        <f aca="false">YEAR(NZ_ResynDate)+10</f>
        <v>2039</v>
      </c>
      <c r="O4" s="108" t="n">
        <f aca="false">YEAR(NZ_ResynDate)+11</f>
        <v>2040</v>
      </c>
      <c r="P4" s="108" t="n">
        <f aca="false">YEAR(NZ_ResynDate)+12</f>
        <v>2041</v>
      </c>
      <c r="Q4" s="108" t="n">
        <f aca="false">YEAR(NZ_ResynDate)+13</f>
        <v>2042</v>
      </c>
      <c r="R4" s="108" t="n">
        <f aca="false">YEAR(NZ_ResynDate)+14</f>
        <v>2043</v>
      </c>
      <c r="S4" s="108" t="n">
        <f aca="false">YEAR(NZ_ResynDate)+15</f>
        <v>2044</v>
      </c>
      <c r="T4" s="108" t="n">
        <f aca="false">YEAR(NZ_ResynDate)+16</f>
        <v>2045</v>
      </c>
      <c r="U4" s="108" t="n">
        <f aca="false">YEAR(NZ_ResynDate)+17</f>
        <v>2046</v>
      </c>
      <c r="V4" s="108" t="n">
        <f aca="false">YEAR(NZ_ResynDate)+18</f>
        <v>2047</v>
      </c>
      <c r="W4" s="108" t="n">
        <f aca="false">YEAR(NZ_ResynDate)+19</f>
        <v>2048</v>
      </c>
    </row>
    <row r="6" customFormat="false" ht="15" hidden="false" customHeight="true" outlineLevel="0" collapsed="false">
      <c r="B6" s="13" t="s">
        <v>786</v>
      </c>
      <c r="D6" s="66" t="n">
        <f aca="false">NZ_GPR</f>
        <v>1427889.73236834</v>
      </c>
      <c r="E6" s="37" t="n">
        <f aca="false">D6*(1+$D$50)</f>
        <v>1454662.66485025</v>
      </c>
      <c r="F6" s="37" t="n">
        <f aca="false">E6*(1+$D$50)</f>
        <v>1481937.58981619</v>
      </c>
      <c r="G6" s="37" t="n">
        <f aca="false">F6*(1+$D$50)</f>
        <v>1509723.91962525</v>
      </c>
      <c r="H6" s="37" t="n">
        <f aca="false">G6*(1+$D$50)</f>
        <v>1538031.24311822</v>
      </c>
      <c r="I6" s="37" t="n">
        <f aca="false">H6*(1+$D$50)</f>
        <v>1566869.32892669</v>
      </c>
      <c r="J6" s="37" t="n">
        <f aca="false">I6*(1+$D$50)</f>
        <v>1596248.12884406</v>
      </c>
      <c r="K6" s="37" t="n">
        <f aca="false">J6*(1+$D$50)</f>
        <v>1626177.78125989</v>
      </c>
      <c r="L6" s="37" t="n">
        <f aca="false">K6*(1+$D$50)</f>
        <v>1656668.61465851</v>
      </c>
      <c r="M6" s="37" t="n">
        <f aca="false">L6*(1+$D$50)</f>
        <v>1687731.15118336</v>
      </c>
      <c r="N6" s="37" t="n">
        <f aca="false">M6*(1+$D$50)</f>
        <v>1719376.11026805</v>
      </c>
      <c r="O6" s="37" t="n">
        <f aca="false">N6*(1+$D$50)</f>
        <v>1751614.41233557</v>
      </c>
      <c r="P6" s="37" t="n">
        <f aca="false">O6*(1+$D$50)</f>
        <v>1784457.18256686</v>
      </c>
      <c r="Q6" s="37" t="n">
        <f aca="false">P6*(1+$D$50)</f>
        <v>1817915.75473999</v>
      </c>
      <c r="R6" s="37" t="n">
        <f aca="false">Q6*(1+$D$50)</f>
        <v>1852001.67514137</v>
      </c>
      <c r="S6" s="37" t="n">
        <f aca="false">R6*(1+$D$50)</f>
        <v>1886726.70655027</v>
      </c>
      <c r="T6" s="37" t="n">
        <f aca="false">S6*(1+$D$50)</f>
        <v>1922102.83229809</v>
      </c>
      <c r="U6" s="37" t="n">
        <f aca="false">T6*(1+$D$50)</f>
        <v>1958142.26040368</v>
      </c>
      <c r="V6" s="37" t="n">
        <f aca="false">U6*(1+$D$50)</f>
        <v>1994857.42778625</v>
      </c>
      <c r="W6" s="37" t="n">
        <f aca="false">V6*(1+$D$50)</f>
        <v>2032261.00455724</v>
      </c>
    </row>
    <row r="7" customFormat="false" ht="15" hidden="false" customHeight="true" outlineLevel="0" collapsed="false">
      <c r="B7" s="13" t="s">
        <v>477</v>
      </c>
      <c r="D7" s="66" t="n">
        <f aca="false">NZ_OtherInc</f>
        <v>14577</v>
      </c>
      <c r="E7" s="37" t="n">
        <f aca="false">D7*(1+$D$50)</f>
        <v>14850.31875</v>
      </c>
      <c r="F7" s="37" t="n">
        <f aca="false">E7*(1+$D$50)</f>
        <v>15128.7622265625</v>
      </c>
      <c r="G7" s="37" t="n">
        <f aca="false">F7*(1+$D$50)</f>
        <v>15412.4265183105</v>
      </c>
      <c r="H7" s="37" t="n">
        <f aca="false">G7*(1+$D$50)</f>
        <v>15701.4095155289</v>
      </c>
      <c r="I7" s="37" t="n">
        <f aca="false">H7*(1+$D$50)</f>
        <v>15995.810943945</v>
      </c>
      <c r="J7" s="37" t="n">
        <f aca="false">I7*(1+$D$50)</f>
        <v>16295.732399144</v>
      </c>
      <c r="K7" s="37" t="n">
        <f aca="false">J7*(1+$D$50)</f>
        <v>16601.277381628</v>
      </c>
      <c r="L7" s="37" t="n">
        <f aca="false">K7*(1+$D$50)</f>
        <v>16912.5513325335</v>
      </c>
      <c r="M7" s="37" t="n">
        <f aca="false">L7*(1+$D$50)</f>
        <v>17229.6616700185</v>
      </c>
      <c r="N7" s="37" t="n">
        <f aca="false">M7*(1+$D$50)</f>
        <v>17552.7178263313</v>
      </c>
      <c r="O7" s="37" t="n">
        <f aca="false">N7*(1+$D$50)</f>
        <v>17881.8312855751</v>
      </c>
      <c r="P7" s="37" t="n">
        <f aca="false">O7*(1+$D$50)</f>
        <v>18217.1156221796</v>
      </c>
      <c r="Q7" s="37" t="n">
        <f aca="false">P7*(1+$D$50)</f>
        <v>18558.6865400955</v>
      </c>
      <c r="R7" s="37" t="n">
        <f aca="false">Q7*(1+$D$50)</f>
        <v>18906.6619127222</v>
      </c>
      <c r="S7" s="37" t="n">
        <f aca="false">R7*(1+$D$50)</f>
        <v>19261.1618235858</v>
      </c>
      <c r="T7" s="37" t="n">
        <f aca="false">S7*(1+$D$50)</f>
        <v>19622.308607778</v>
      </c>
      <c r="U7" s="37" t="n">
        <f aca="false">T7*(1+$D$50)</f>
        <v>19990.2268941739</v>
      </c>
      <c r="V7" s="37" t="n">
        <f aca="false">U7*(1+$D$50)</f>
        <v>20365.0436484396</v>
      </c>
      <c r="W7" s="37" t="n">
        <f aca="false">V7*(1+$D$50)</f>
        <v>20746.8882168479</v>
      </c>
    </row>
    <row r="9" customFormat="false" ht="15" hidden="false" customHeight="true" outlineLevel="0" collapsed="false">
      <c r="B9" s="19" t="s">
        <v>787</v>
      </c>
      <c r="D9" s="21" t="n">
        <f aca="false">SUM(D6:D7)</f>
        <v>1442466.73236834</v>
      </c>
      <c r="E9" s="21" t="n">
        <f aca="false">SUM(E6:E7)</f>
        <v>1469512.98360025</v>
      </c>
      <c r="F9" s="21" t="n">
        <f aca="false">SUM(F6:F7)</f>
        <v>1497066.35204276</v>
      </c>
      <c r="G9" s="21" t="n">
        <f aca="false">SUM(G6:G7)</f>
        <v>1525136.34614356</v>
      </c>
      <c r="H9" s="21" t="n">
        <f aca="false">SUM(H6:H7)</f>
        <v>1553732.65263375</v>
      </c>
      <c r="I9" s="21" t="n">
        <f aca="false">SUM(I6:I7)</f>
        <v>1582865.13987063</v>
      </c>
      <c r="J9" s="21" t="n">
        <f aca="false">SUM(J6:J7)</f>
        <v>1612543.86124321</v>
      </c>
      <c r="K9" s="21" t="n">
        <f aca="false">SUM(K6:K7)</f>
        <v>1642779.05864152</v>
      </c>
      <c r="L9" s="21" t="n">
        <f aca="false">SUM(L6:L7)</f>
        <v>1673581.16599105</v>
      </c>
      <c r="M9" s="21" t="n">
        <f aca="false">SUM(M6:M7)</f>
        <v>1704960.81285338</v>
      </c>
      <c r="N9" s="21" t="n">
        <f aca="false">SUM(N6:N7)</f>
        <v>1736928.82809438</v>
      </c>
      <c r="O9" s="21" t="n">
        <f aca="false">SUM(O6:O7)</f>
        <v>1769496.24362115</v>
      </c>
      <c r="P9" s="21" t="n">
        <f aca="false">SUM(P6:P7)</f>
        <v>1802674.29818904</v>
      </c>
      <c r="Q9" s="21" t="n">
        <f aca="false">SUM(Q6:Q7)</f>
        <v>1836474.44128009</v>
      </c>
      <c r="R9" s="21" t="n">
        <f aca="false">SUM(R6:R7)</f>
        <v>1870908.33705409</v>
      </c>
      <c r="S9" s="21" t="n">
        <f aca="false">SUM(S6:S7)</f>
        <v>1905987.86837386</v>
      </c>
      <c r="T9" s="21" t="n">
        <f aca="false">SUM(T6:T7)</f>
        <v>1941725.14090586</v>
      </c>
      <c r="U9" s="21" t="n">
        <f aca="false">SUM(U6:U7)</f>
        <v>1978132.48729785</v>
      </c>
      <c r="V9" s="21" t="n">
        <f aca="false">SUM(V6:V7)</f>
        <v>2015222.47143468</v>
      </c>
      <c r="W9" s="21" t="n">
        <f aca="false">SUM(W6:W7)</f>
        <v>2053007.89277409</v>
      </c>
      <c r="X9" s="21" t="n">
        <f aca="false">SUM(D9:W9)</f>
        <v>34615203.1144135</v>
      </c>
    </row>
    <row r="10" customFormat="false" ht="15" hidden="false" customHeight="true" outlineLevel="0" collapsed="false">
      <c r="B10" s="13" t="s">
        <v>788</v>
      </c>
      <c r="D10" s="37" t="n">
        <f aca="false">-NZ_VacHAP*D9</f>
        <v>-28849.3346473669</v>
      </c>
      <c r="E10" s="37" t="n">
        <f aca="false">-NZ_VacHAP*E9</f>
        <v>-29390.259672005</v>
      </c>
      <c r="F10" s="37" t="n">
        <f aca="false">-NZ_VacHAP*F9</f>
        <v>-29941.3270408551</v>
      </c>
      <c r="G10" s="37" t="n">
        <f aca="false">-NZ_VacHAP*G9</f>
        <v>-30502.7269228712</v>
      </c>
      <c r="H10" s="37" t="n">
        <f aca="false">-NZ_VacHAP*H9</f>
        <v>-31074.653052675</v>
      </c>
      <c r="I10" s="37" t="n">
        <f aca="false">-NZ_VacHAP*I9</f>
        <v>-31657.3027974126</v>
      </c>
      <c r="J10" s="37" t="n">
        <f aca="false">-NZ_VacHAP*J9</f>
        <v>-32250.8772248641</v>
      </c>
      <c r="K10" s="37" t="n">
        <f aca="false">-NZ_VacHAP*K9</f>
        <v>-32855.5811728303</v>
      </c>
      <c r="L10" s="37" t="n">
        <f aca="false">-NZ_VacHAP*L9</f>
        <v>-33471.6233198209</v>
      </c>
      <c r="M10" s="37" t="n">
        <f aca="false">-NZ_VacHAP*M9</f>
        <v>-34099.2162570675</v>
      </c>
      <c r="N10" s="37" t="n">
        <f aca="false">-NZ_VacHAP*N9</f>
        <v>-34738.5765618876</v>
      </c>
      <c r="O10" s="37" t="n">
        <f aca="false">-NZ_VacHAP*O9</f>
        <v>-35389.924872423</v>
      </c>
      <c r="P10" s="37" t="n">
        <f aca="false">-NZ_VacHAP*P9</f>
        <v>-36053.4859637809</v>
      </c>
      <c r="Q10" s="37" t="n">
        <f aca="false">-NZ_VacHAP*Q9</f>
        <v>-36729.4888256018</v>
      </c>
      <c r="R10" s="37" t="n">
        <f aca="false">-NZ_VacHAP*R9</f>
        <v>-37418.1667410818</v>
      </c>
      <c r="S10" s="37" t="n">
        <f aca="false">-NZ_VacHAP*S9</f>
        <v>-38119.7573674771</v>
      </c>
      <c r="T10" s="37" t="n">
        <f aca="false">-NZ_VacHAP*T9</f>
        <v>-38834.5028181173</v>
      </c>
      <c r="U10" s="37" t="n">
        <f aca="false">-NZ_VacHAP*U9</f>
        <v>-39562.649745957</v>
      </c>
      <c r="V10" s="37" t="n">
        <f aca="false">-NZ_VacHAP*V9</f>
        <v>-40304.4494286937</v>
      </c>
      <c r="W10" s="37" t="n">
        <f aca="false">-NZ_VacHAP*W9</f>
        <v>-41060.1578554817</v>
      </c>
    </row>
    <row r="11" customFormat="false" ht="15" hidden="false" customHeight="true" outlineLevel="0" collapsed="false">
      <c r="B11" s="13" t="s">
        <v>789</v>
      </c>
      <c r="D11" s="37" t="n">
        <f aca="false">-D9*NZ_OfflinePct*MAX(0,MIN(NZ_RehabMonths-0,12))/12</f>
        <v>-64911.0029565755</v>
      </c>
      <c r="E11" s="37" t="n">
        <f aca="false">-E9*NZ_OfflinePct*MAX(0,MIN(NZ_RehabMonths-12,12))/12</f>
        <v>-0</v>
      </c>
      <c r="F11" s="37" t="n">
        <f aca="false">-F9*NZ_OfflinePct*MAX(0,MIN(NZ_RehabMonths-24,12))/12</f>
        <v>-0</v>
      </c>
      <c r="G11" s="37" t="n">
        <f aca="false">-G9*NZ_OfflinePct*MAX(0,MIN(NZ_RehabMonths-36,12))/12</f>
        <v>-0</v>
      </c>
      <c r="H11" s="37" t="n">
        <f aca="false">-H9*NZ_OfflinePct*MAX(0,MIN(NZ_RehabMonths-48,12))/12</f>
        <v>-0</v>
      </c>
      <c r="I11" s="37" t="n">
        <f aca="false">-I9*NZ_OfflinePct*MAX(0,MIN(NZ_RehabMonths-60,12))/12</f>
        <v>-0</v>
      </c>
      <c r="J11" s="37" t="n">
        <f aca="false">-J9*NZ_OfflinePct*MAX(0,MIN(NZ_RehabMonths-72,12))/12</f>
        <v>-0</v>
      </c>
      <c r="K11" s="37" t="n">
        <f aca="false">-K9*NZ_OfflinePct*MAX(0,MIN(NZ_RehabMonths-84,12))/12</f>
        <v>-0</v>
      </c>
      <c r="L11" s="37" t="n">
        <f aca="false">-L9*NZ_OfflinePct*MAX(0,MIN(NZ_RehabMonths-96,12))/12</f>
        <v>-0</v>
      </c>
      <c r="M11" s="37" t="n">
        <f aca="false">-M9*NZ_OfflinePct*MAX(0,MIN(NZ_RehabMonths-108,12))/12</f>
        <v>-0</v>
      </c>
      <c r="N11" s="37" t="n">
        <f aca="false">-N9*NZ_OfflinePct*MAX(0,MIN(NZ_RehabMonths-120,12))/12</f>
        <v>-0</v>
      </c>
      <c r="O11" s="37" t="n">
        <f aca="false">-O9*NZ_OfflinePct*MAX(0,MIN(NZ_RehabMonths-132,12))/12</f>
        <v>-0</v>
      </c>
      <c r="P11" s="37" t="n">
        <f aca="false">-P9*NZ_OfflinePct*MAX(0,MIN(NZ_RehabMonths-144,12))/12</f>
        <v>-0</v>
      </c>
      <c r="Q11" s="37" t="n">
        <f aca="false">-Q9*NZ_OfflinePct*MAX(0,MIN(NZ_RehabMonths-156,12))/12</f>
        <v>-0</v>
      </c>
      <c r="R11" s="37" t="n">
        <f aca="false">-R9*NZ_OfflinePct*MAX(0,MIN(NZ_RehabMonths-168,12))/12</f>
        <v>-0</v>
      </c>
      <c r="S11" s="37" t="n">
        <f aca="false">-S9*NZ_OfflinePct*MAX(0,MIN(NZ_RehabMonths-180,12))/12</f>
        <v>-0</v>
      </c>
      <c r="T11" s="37" t="n">
        <f aca="false">-T9*NZ_OfflinePct*MAX(0,MIN(NZ_RehabMonths-192,12))/12</f>
        <v>-0</v>
      </c>
      <c r="U11" s="37" t="n">
        <f aca="false">-U9*NZ_OfflinePct*MAX(0,MIN(NZ_RehabMonths-204,12))/12</f>
        <v>-0</v>
      </c>
      <c r="V11" s="37" t="n">
        <f aca="false">-V9*NZ_OfflinePct*MAX(0,MIN(NZ_RehabMonths-216,12))/12</f>
        <v>-0</v>
      </c>
      <c r="W11" s="37" t="n">
        <f aca="false">-W9*NZ_OfflinePct*MAX(0,MIN(NZ_RehabMonths-228,12))/12</f>
        <v>-0</v>
      </c>
    </row>
    <row r="13" customFormat="false" ht="15" hidden="false" customHeight="true" outlineLevel="0" collapsed="false">
      <c r="B13" s="19" t="s">
        <v>790</v>
      </c>
      <c r="D13" s="21" t="n">
        <f aca="false">D9+D10+D11</f>
        <v>1348706.3947644</v>
      </c>
      <c r="E13" s="21" t="n">
        <f aca="false">E9+E10+E11</f>
        <v>1440122.72392825</v>
      </c>
      <c r="F13" s="21" t="n">
        <f aca="false">F9+F10+F11</f>
        <v>1467125.0250019</v>
      </c>
      <c r="G13" s="21" t="n">
        <f aca="false">G9+G10+G11</f>
        <v>1494633.61922069</v>
      </c>
      <c r="H13" s="21" t="n">
        <f aca="false">H9+H10+H11</f>
        <v>1522657.99958107</v>
      </c>
      <c r="I13" s="21" t="n">
        <f aca="false">I9+I10+I11</f>
        <v>1551207.83707322</v>
      </c>
      <c r="J13" s="21" t="n">
        <f aca="false">J9+J10+J11</f>
        <v>1580292.98401834</v>
      </c>
      <c r="K13" s="21" t="n">
        <f aca="false">K9+K10+K11</f>
        <v>1609923.47746869</v>
      </c>
      <c r="L13" s="21" t="n">
        <f aca="false">L9+L10+L11</f>
        <v>1640109.54267122</v>
      </c>
      <c r="M13" s="21" t="n">
        <f aca="false">M9+M10+M11</f>
        <v>1670861.59659631</v>
      </c>
      <c r="N13" s="21" t="n">
        <f aca="false">N9+N10+N11</f>
        <v>1702190.25153249</v>
      </c>
      <c r="O13" s="21" t="n">
        <f aca="false">O9+O10+O11</f>
        <v>1734106.31874872</v>
      </c>
      <c r="P13" s="21" t="n">
        <f aca="false">P9+P10+P11</f>
        <v>1766620.81222526</v>
      </c>
      <c r="Q13" s="21" t="n">
        <f aca="false">Q9+Q10+Q11</f>
        <v>1799744.95245449</v>
      </c>
      <c r="R13" s="21" t="n">
        <f aca="false">R9+R10+R11</f>
        <v>1833490.17031301</v>
      </c>
      <c r="S13" s="21" t="n">
        <f aca="false">S9+S10+S11</f>
        <v>1867868.11100638</v>
      </c>
      <c r="T13" s="21" t="n">
        <f aca="false">T9+T10+T11</f>
        <v>1902890.63808775</v>
      </c>
      <c r="U13" s="21" t="n">
        <f aca="false">U9+U10+U11</f>
        <v>1938569.83755189</v>
      </c>
      <c r="V13" s="21" t="n">
        <f aca="false">V9+V10+V11</f>
        <v>1974918.02200599</v>
      </c>
      <c r="W13" s="21" t="n">
        <f aca="false">W9+W10+W11</f>
        <v>2011947.7349186</v>
      </c>
      <c r="X13" s="21" t="n">
        <f aca="false">SUM(D13:W13)</f>
        <v>33857988.0491687</v>
      </c>
    </row>
    <row r="15" customFormat="false" ht="15" hidden="false" customHeight="true" outlineLevel="0" collapsed="false">
      <c r="B15" s="63" t="s">
        <v>791</v>
      </c>
    </row>
    <row r="16" customFormat="false" ht="15" hidden="false" customHeight="true" outlineLevel="0" collapsed="false">
      <c r="B16" s="13" t="s">
        <v>483</v>
      </c>
      <c r="D16" s="37" t="n">
        <f aca="false">MgmtFeePct*D13</f>
        <v>53948.2557905761</v>
      </c>
      <c r="E16" s="37" t="n">
        <f aca="false">MgmtFeePct*E13</f>
        <v>57604.9089571298</v>
      </c>
      <c r="F16" s="37" t="n">
        <f aca="false">MgmtFeePct*F13</f>
        <v>58685.001000076</v>
      </c>
      <c r="G16" s="37" t="n">
        <f aca="false">MgmtFeePct*G13</f>
        <v>59785.3447688275</v>
      </c>
      <c r="H16" s="37" t="n">
        <f aca="false">MgmtFeePct*H13</f>
        <v>60906.319983243</v>
      </c>
      <c r="I16" s="37" t="n">
        <f aca="false">MgmtFeePct*I13</f>
        <v>62048.3134829288</v>
      </c>
      <c r="J16" s="37" t="n">
        <f aca="false">MgmtFeePct*J13</f>
        <v>63211.7193607337</v>
      </c>
      <c r="K16" s="37" t="n">
        <f aca="false">MgmtFeePct*K13</f>
        <v>64396.9390987475</v>
      </c>
      <c r="L16" s="37" t="n">
        <f aca="false">MgmtFeePct*L13</f>
        <v>65604.381706849</v>
      </c>
      <c r="M16" s="37" t="n">
        <f aca="false">MgmtFeePct*M13</f>
        <v>66834.4638638524</v>
      </c>
      <c r="N16" s="37" t="n">
        <f aca="false">MgmtFeePct*N13</f>
        <v>68087.6100612996</v>
      </c>
      <c r="O16" s="37" t="n">
        <f aca="false">MgmtFeePct*O13</f>
        <v>69364.252749949</v>
      </c>
      <c r="P16" s="37" t="n">
        <f aca="false">MgmtFeePct*P13</f>
        <v>70664.8324890105</v>
      </c>
      <c r="Q16" s="37" t="n">
        <f aca="false">MgmtFeePct*Q13</f>
        <v>71989.7980981795</v>
      </c>
      <c r="R16" s="37" t="n">
        <f aca="false">MgmtFeePct*R13</f>
        <v>73339.6068125204</v>
      </c>
      <c r="S16" s="37" t="n">
        <f aca="false">MgmtFeePct*S13</f>
        <v>74714.7244402551</v>
      </c>
      <c r="T16" s="37" t="n">
        <f aca="false">MgmtFeePct*T13</f>
        <v>76115.6255235099</v>
      </c>
      <c r="U16" s="37" t="n">
        <f aca="false">MgmtFeePct*U13</f>
        <v>77542.7935020757</v>
      </c>
      <c r="V16" s="37" t="n">
        <f aca="false">MgmtFeePct*V13</f>
        <v>78996.7208802397</v>
      </c>
      <c r="W16" s="37" t="n">
        <f aca="false">MgmtFeePct*W13</f>
        <v>80477.9093967441</v>
      </c>
    </row>
    <row r="17" customFormat="false" ht="15" hidden="false" customHeight="true" outlineLevel="0" collapsed="false">
      <c r="B17" s="13" t="s">
        <v>792</v>
      </c>
      <c r="D17" s="66" t="n">
        <f aca="false">'Rev+Expenses'!D19</f>
        <v>184096.088598</v>
      </c>
      <c r="E17" s="37" t="n">
        <f aca="false">D17*(1+$D$51)</f>
        <v>189618.97125594</v>
      </c>
      <c r="F17" s="37" t="n">
        <f aca="false">E17*(1+$D$51)</f>
        <v>195307.540393618</v>
      </c>
      <c r="G17" s="37" t="n">
        <f aca="false">F17*(1+$D$51)</f>
        <v>201166.766605427</v>
      </c>
      <c r="H17" s="37" t="n">
        <f aca="false">G17*(1+$D$51)</f>
        <v>207201.76960359</v>
      </c>
      <c r="I17" s="37" t="n">
        <f aca="false">H17*(1+$D$51)</f>
        <v>213417.822691697</v>
      </c>
      <c r="J17" s="37" t="n">
        <f aca="false">I17*(1+$D$51)</f>
        <v>219820.357372448</v>
      </c>
      <c r="K17" s="37" t="n">
        <f aca="false">J17*(1+$D$51)</f>
        <v>226414.968093622</v>
      </c>
      <c r="L17" s="37" t="n">
        <f aca="false">K17*(1+$D$51)</f>
        <v>233207.41713643</v>
      </c>
      <c r="M17" s="37" t="n">
        <f aca="false">L17*(1+$D$51)</f>
        <v>240203.639650523</v>
      </c>
      <c r="N17" s="37" t="n">
        <f aca="false">M17*(1+$D$51)</f>
        <v>247409.748840039</v>
      </c>
      <c r="O17" s="37" t="n">
        <f aca="false">N17*(1+$D$51)</f>
        <v>254832.04130524</v>
      </c>
      <c r="P17" s="37" t="n">
        <f aca="false">O17*(1+$D$51)</f>
        <v>262477.002544397</v>
      </c>
      <c r="Q17" s="37" t="n">
        <f aca="false">P17*(1+$D$51)</f>
        <v>270351.312620729</v>
      </c>
      <c r="R17" s="37" t="n">
        <f aca="false">Q17*(1+$D$51)</f>
        <v>278461.851999351</v>
      </c>
      <c r="S17" s="37" t="n">
        <f aca="false">R17*(1+$D$51)</f>
        <v>286815.707559332</v>
      </c>
      <c r="T17" s="37" t="n">
        <f aca="false">S17*(1+$D$51)</f>
        <v>295420.178786112</v>
      </c>
      <c r="U17" s="37" t="n">
        <f aca="false">T17*(1+$D$51)</f>
        <v>304282.784149695</v>
      </c>
      <c r="V17" s="37" t="n">
        <f aca="false">U17*(1+$D$51)</f>
        <v>313411.267674186</v>
      </c>
      <c r="W17" s="37" t="n">
        <f aca="false">V17*(1+$D$51)</f>
        <v>322813.605704412</v>
      </c>
    </row>
    <row r="18" customFormat="false" ht="15" hidden="false" customHeight="true" outlineLevel="0" collapsed="false">
      <c r="B18" s="13" t="s">
        <v>224</v>
      </c>
      <c r="D18" s="66" t="n">
        <f aca="false">'Rev+Expenses'!D20</f>
        <v>72790.916378</v>
      </c>
      <c r="E18" s="37" t="n">
        <f aca="false">D18*(1+$D$51)</f>
        <v>74974.64386934</v>
      </c>
      <c r="F18" s="37" t="n">
        <f aca="false">E18*(1+$D$51)</f>
        <v>77223.8831854202</v>
      </c>
      <c r="G18" s="37" t="n">
        <f aca="false">F18*(1+$D$51)</f>
        <v>79540.5996809828</v>
      </c>
      <c r="H18" s="37" t="n">
        <f aca="false">G18*(1+$D$51)</f>
        <v>81926.8176714123</v>
      </c>
      <c r="I18" s="37" t="n">
        <f aca="false">H18*(1+$D$51)</f>
        <v>84384.6222015547</v>
      </c>
      <c r="J18" s="37" t="n">
        <f aca="false">I18*(1+$D$51)</f>
        <v>86916.1608676013</v>
      </c>
      <c r="K18" s="37" t="n">
        <f aca="false">J18*(1+$D$51)</f>
        <v>89523.6456936294</v>
      </c>
      <c r="L18" s="37" t="n">
        <f aca="false">K18*(1+$D$51)</f>
        <v>92209.3550644382</v>
      </c>
      <c r="M18" s="37" t="n">
        <f aca="false">L18*(1+$D$51)</f>
        <v>94975.6357163714</v>
      </c>
      <c r="N18" s="37" t="n">
        <f aca="false">M18*(1+$D$51)</f>
        <v>97824.9047878625</v>
      </c>
      <c r="O18" s="37" t="n">
        <f aca="false">N18*(1+$D$51)</f>
        <v>100759.651931498</v>
      </c>
      <c r="P18" s="37" t="n">
        <f aca="false">O18*(1+$D$51)</f>
        <v>103782.441489443</v>
      </c>
      <c r="Q18" s="37" t="n">
        <f aca="false">P18*(1+$D$51)</f>
        <v>106895.914734127</v>
      </c>
      <c r="R18" s="37" t="n">
        <f aca="false">Q18*(1+$D$51)</f>
        <v>110102.79217615</v>
      </c>
      <c r="S18" s="37" t="n">
        <f aca="false">R18*(1+$D$51)</f>
        <v>113405.875941435</v>
      </c>
      <c r="T18" s="37" t="n">
        <f aca="false">S18*(1+$D$51)</f>
        <v>116808.052219678</v>
      </c>
      <c r="U18" s="37" t="n">
        <f aca="false">T18*(1+$D$51)</f>
        <v>120312.293786268</v>
      </c>
      <c r="V18" s="37" t="n">
        <f aca="false">U18*(1+$D$51)</f>
        <v>123921.662599856</v>
      </c>
      <c r="W18" s="37" t="n">
        <f aca="false">V18*(1+$D$51)</f>
        <v>127639.312477852</v>
      </c>
    </row>
    <row r="19" customFormat="false" ht="15" hidden="false" customHeight="true" outlineLevel="0" collapsed="false">
      <c r="B19" s="13" t="s">
        <v>485</v>
      </c>
      <c r="D19" s="66" t="n">
        <f aca="false">'Rev+Expenses'!D21</f>
        <v>400028.778341</v>
      </c>
      <c r="E19" s="37" t="n">
        <f aca="false">D19*(1+$D$51)</f>
        <v>412029.64169123</v>
      </c>
      <c r="F19" s="37" t="n">
        <f aca="false">E19*(1+$D$51)</f>
        <v>424390.530941967</v>
      </c>
      <c r="G19" s="37" t="n">
        <f aca="false">F19*(1+$D$51)</f>
        <v>437122.246870226</v>
      </c>
      <c r="H19" s="37" t="n">
        <f aca="false">G19*(1+$D$51)</f>
        <v>450235.914276333</v>
      </c>
      <c r="I19" s="37" t="n">
        <f aca="false">H19*(1+$D$51)</f>
        <v>463742.991704623</v>
      </c>
      <c r="J19" s="37" t="n">
        <f aca="false">I19*(1+$D$51)</f>
        <v>477655.281455761</v>
      </c>
      <c r="K19" s="37" t="n">
        <f aca="false">J19*(1+$D$51)</f>
        <v>491984.939899434</v>
      </c>
      <c r="L19" s="37" t="n">
        <f aca="false">K19*(1+$D$51)</f>
        <v>506744.488096417</v>
      </c>
      <c r="M19" s="37" t="n">
        <f aca="false">L19*(1+$D$51)</f>
        <v>521946.82273931</v>
      </c>
      <c r="N19" s="37" t="n">
        <f aca="false">M19*(1+$D$51)</f>
        <v>537605.227421489</v>
      </c>
      <c r="O19" s="37" t="n">
        <f aca="false">N19*(1+$D$51)</f>
        <v>553733.384244134</v>
      </c>
      <c r="P19" s="37" t="n">
        <f aca="false">O19*(1+$D$51)</f>
        <v>570345.385771458</v>
      </c>
      <c r="Q19" s="37" t="n">
        <f aca="false">P19*(1+$D$51)</f>
        <v>587455.747344602</v>
      </c>
      <c r="R19" s="37" t="n">
        <f aca="false">Q19*(1+$D$51)</f>
        <v>605079.41976494</v>
      </c>
      <c r="S19" s="37" t="n">
        <f aca="false">R19*(1+$D$51)</f>
        <v>623231.802357888</v>
      </c>
      <c r="T19" s="37" t="n">
        <f aca="false">S19*(1+$D$51)</f>
        <v>641928.756428625</v>
      </c>
      <c r="U19" s="37" t="n">
        <f aca="false">T19*(1+$D$51)</f>
        <v>661186.619121483</v>
      </c>
      <c r="V19" s="37" t="n">
        <f aca="false">U19*(1+$D$51)</f>
        <v>681022.217695128</v>
      </c>
      <c r="W19" s="37" t="n">
        <f aca="false">V19*(1+$D$51)</f>
        <v>701452.884225982</v>
      </c>
    </row>
    <row r="20" customFormat="false" ht="15" hidden="false" customHeight="true" outlineLevel="0" collapsed="false">
      <c r="B20" s="13" t="s">
        <v>793</v>
      </c>
      <c r="D20" s="66" t="n">
        <f aca="false">'Rev+Expenses'!D22</f>
        <v>84935.484256</v>
      </c>
      <c r="E20" s="37" t="n">
        <f aca="false">D20*(1+$D$51)</f>
        <v>87483.54878368</v>
      </c>
      <c r="F20" s="37" t="n">
        <f aca="false">E20*(1+$D$51)</f>
        <v>90108.0552471904</v>
      </c>
      <c r="G20" s="37" t="n">
        <f aca="false">F20*(1+$D$51)</f>
        <v>92811.2969046061</v>
      </c>
      <c r="H20" s="37" t="n">
        <f aca="false">G20*(1+$D$51)</f>
        <v>95595.6358117443</v>
      </c>
      <c r="I20" s="37" t="n">
        <f aca="false">H20*(1+$D$51)</f>
        <v>98463.5048860966</v>
      </c>
      <c r="J20" s="37" t="n">
        <f aca="false">I20*(1+$D$51)</f>
        <v>101417.41003268</v>
      </c>
      <c r="K20" s="37" t="n">
        <f aca="false">J20*(1+$D$51)</f>
        <v>104459.93233366</v>
      </c>
      <c r="L20" s="37" t="n">
        <f aca="false">K20*(1+$D$51)</f>
        <v>107593.73030367</v>
      </c>
      <c r="M20" s="37" t="n">
        <f aca="false">L20*(1+$D$51)</f>
        <v>110821.54221278</v>
      </c>
      <c r="N20" s="37" t="n">
        <f aca="false">M20*(1+$D$51)</f>
        <v>114146.188479163</v>
      </c>
      <c r="O20" s="37" t="n">
        <f aca="false">N20*(1+$D$51)</f>
        <v>117570.574133538</v>
      </c>
      <c r="P20" s="37" t="n">
        <f aca="false">O20*(1+$D$51)</f>
        <v>121097.691357544</v>
      </c>
      <c r="Q20" s="37" t="n">
        <f aca="false">P20*(1+$D$51)</f>
        <v>124730.622098271</v>
      </c>
      <c r="R20" s="37" t="n">
        <f aca="false">Q20*(1+$D$51)</f>
        <v>128472.540761219</v>
      </c>
      <c r="S20" s="37" t="n">
        <f aca="false">R20*(1+$D$51)</f>
        <v>132326.716984055</v>
      </c>
      <c r="T20" s="37" t="n">
        <f aca="false">S20*(1+$D$51)</f>
        <v>136296.518493577</v>
      </c>
      <c r="U20" s="37" t="n">
        <f aca="false">T20*(1+$D$51)</f>
        <v>140385.414048384</v>
      </c>
      <c r="V20" s="37" t="n">
        <f aca="false">U20*(1+$D$51)</f>
        <v>144596.976469836</v>
      </c>
      <c r="W20" s="37" t="n">
        <f aca="false">V20*(1+$D$51)</f>
        <v>148934.885763931</v>
      </c>
    </row>
    <row r="21" customFormat="false" ht="15" hidden="false" customHeight="true" outlineLevel="0" collapsed="false">
      <c r="B21" s="13" t="s">
        <v>794</v>
      </c>
      <c r="D21" s="66" t="n">
        <f aca="false">'Rev+Expenses'!D23</f>
        <v>105204.825312</v>
      </c>
      <c r="E21" s="37" t="n">
        <f aca="false">D21*(1+InsGrowth)</f>
        <v>111517.11483072</v>
      </c>
      <c r="F21" s="37" t="n">
        <f aca="false">E21*(1+InsGrowth)</f>
        <v>118208.141720563</v>
      </c>
      <c r="G21" s="37" t="n">
        <f aca="false">F21*(1+InsGrowth)</f>
        <v>125300.630223797</v>
      </c>
      <c r="H21" s="37" t="n">
        <f aca="false">G21*(1+InsGrowth)</f>
        <v>132818.668037225</v>
      </c>
      <c r="I21" s="37" t="n">
        <f aca="false">H21*(1+InsGrowth)</f>
        <v>140787.788119458</v>
      </c>
      <c r="J21" s="37" t="n">
        <f aca="false">I21*(1+InsGrowth)</f>
        <v>149235.055406626</v>
      </c>
      <c r="K21" s="37" t="n">
        <f aca="false">J21*(1+InsGrowth)</f>
        <v>158189.158731023</v>
      </c>
      <c r="L21" s="37" t="n">
        <f aca="false">K21*(1+InsGrowth)</f>
        <v>167680.508254885</v>
      </c>
      <c r="M21" s="37" t="n">
        <f aca="false">L21*(1+InsGrowth)</f>
        <v>177741.338750178</v>
      </c>
      <c r="N21" s="37" t="n">
        <f aca="false">M21*(1+InsGrowth)</f>
        <v>188405.819075189</v>
      </c>
      <c r="O21" s="37" t="n">
        <f aca="false">N21*(1+InsGrowth)</f>
        <v>199710.1682197</v>
      </c>
      <c r="P21" s="37" t="n">
        <f aca="false">O21*(1+InsGrowth)</f>
        <v>211692.778312882</v>
      </c>
      <c r="Q21" s="37" t="n">
        <f aca="false">P21*(1+InsGrowth)</f>
        <v>224394.345011655</v>
      </c>
      <c r="R21" s="37" t="n">
        <f aca="false">Q21*(1+InsGrowth)</f>
        <v>237858.005712354</v>
      </c>
      <c r="S21" s="37" t="n">
        <f aca="false">R21*(1+InsGrowth)</f>
        <v>252129.486055096</v>
      </c>
      <c r="T21" s="37" t="n">
        <f aca="false">S21*(1+InsGrowth)</f>
        <v>267257.255218401</v>
      </c>
      <c r="U21" s="37" t="n">
        <f aca="false">T21*(1+InsGrowth)</f>
        <v>283292.690531505</v>
      </c>
      <c r="V21" s="37" t="n">
        <f aca="false">U21*(1+InsGrowth)</f>
        <v>300290.251963396</v>
      </c>
      <c r="W21" s="37" t="n">
        <f aca="false">V21*(1+InsGrowth)</f>
        <v>318307.667081199</v>
      </c>
    </row>
    <row r="23" customFormat="false" ht="15" hidden="false" customHeight="true" outlineLevel="0" collapsed="false">
      <c r="B23" s="19" t="s">
        <v>488</v>
      </c>
      <c r="D23" s="21" t="n">
        <f aca="false">SUM(D16:D21)</f>
        <v>901004.348675576</v>
      </c>
      <c r="E23" s="21" t="n">
        <f aca="false">SUM(E16:E21)</f>
        <v>933228.82938804</v>
      </c>
      <c r="F23" s="21" t="n">
        <f aca="false">SUM(F16:F21)</f>
        <v>963923.152488835</v>
      </c>
      <c r="G23" s="21" t="n">
        <f aca="false">SUM(G16:G21)</f>
        <v>995726.885053866</v>
      </c>
      <c r="H23" s="21" t="n">
        <f aca="false">SUM(H16:H21)</f>
        <v>1028685.12538355</v>
      </c>
      <c r="I23" s="21" t="n">
        <f aca="false">SUM(I16:I21)</f>
        <v>1062845.04308636</v>
      </c>
      <c r="J23" s="21" t="n">
        <f aca="false">SUM(J16:J21)</f>
        <v>1098255.98449585</v>
      </c>
      <c r="K23" s="21" t="n">
        <f aca="false">SUM(K16:K21)</f>
        <v>1134969.58385012</v>
      </c>
      <c r="L23" s="21" t="n">
        <f aca="false">SUM(L16:L21)</f>
        <v>1173039.88056269</v>
      </c>
      <c r="M23" s="21" t="n">
        <f aca="false">SUM(M16:M21)</f>
        <v>1212523.44293301</v>
      </c>
      <c r="N23" s="21" t="n">
        <f aca="false">SUM(N16:N21)</f>
        <v>1253479.49866504</v>
      </c>
      <c r="O23" s="21" t="n">
        <f aca="false">SUM(O16:O21)</f>
        <v>1295970.07258406</v>
      </c>
      <c r="P23" s="21" t="n">
        <f aca="false">SUM(P16:P21)</f>
        <v>1340060.13196474</v>
      </c>
      <c r="Q23" s="21" t="n">
        <f aca="false">SUM(Q16:Q21)</f>
        <v>1385817.73990756</v>
      </c>
      <c r="R23" s="21" t="n">
        <f aca="false">SUM(R16:R21)</f>
        <v>1433314.21722653</v>
      </c>
      <c r="S23" s="21" t="n">
        <f aca="false">SUM(S16:S21)</f>
        <v>1482624.31333806</v>
      </c>
      <c r="T23" s="21" t="n">
        <f aca="false">SUM(T16:T21)</f>
        <v>1533826.3866699</v>
      </c>
      <c r="U23" s="21" t="n">
        <f aca="false">SUM(U16:U21)</f>
        <v>1587002.59513941</v>
      </c>
      <c r="V23" s="21" t="n">
        <f aca="false">SUM(V16:V21)</f>
        <v>1642239.09728264</v>
      </c>
      <c r="W23" s="21" t="n">
        <f aca="false">SUM(W16:W21)</f>
        <v>1699626.26465012</v>
      </c>
      <c r="X23" s="21" t="n">
        <f aca="false">SUM(D23:W23)</f>
        <v>25158162.593346</v>
      </c>
    </row>
    <row r="25" customFormat="false" ht="15" hidden="false" customHeight="true" outlineLevel="0" collapsed="false">
      <c r="B25" s="19" t="s">
        <v>489</v>
      </c>
      <c r="D25" s="21" t="n">
        <f aca="false">D13-D23</f>
        <v>447702.046088826</v>
      </c>
      <c r="E25" s="21" t="n">
        <f aca="false">E13-E23</f>
        <v>506893.894540206</v>
      </c>
      <c r="F25" s="21" t="n">
        <f aca="false">F13-F23</f>
        <v>503201.872513065</v>
      </c>
      <c r="G25" s="21" t="n">
        <f aca="false">G13-G23</f>
        <v>498906.73416682</v>
      </c>
      <c r="H25" s="21" t="n">
        <f aca="false">H13-H23</f>
        <v>493972.874197527</v>
      </c>
      <c r="I25" s="21" t="n">
        <f aca="false">I13-I23</f>
        <v>488362.793986861</v>
      </c>
      <c r="J25" s="21" t="n">
        <f aca="false">J13-J23</f>
        <v>482036.999522492</v>
      </c>
      <c r="K25" s="21" t="n">
        <f aca="false">K13-K23</f>
        <v>474953.89361857</v>
      </c>
      <c r="L25" s="21" t="n">
        <f aca="false">L13-L23</f>
        <v>467069.662108535</v>
      </c>
      <c r="M25" s="21" t="n">
        <f aca="false">M13-M23</f>
        <v>458338.153663295</v>
      </c>
      <c r="N25" s="21" t="n">
        <f aca="false">N13-N23</f>
        <v>448710.752867448</v>
      </c>
      <c r="O25" s="21" t="n">
        <f aca="false">O13-O23</f>
        <v>438136.246164665</v>
      </c>
      <c r="P25" s="21" t="n">
        <f aca="false">P13-P23</f>
        <v>426560.680260528</v>
      </c>
      <c r="Q25" s="21" t="n">
        <f aca="false">Q13-Q23</f>
        <v>413927.212546924</v>
      </c>
      <c r="R25" s="21" t="n">
        <f aca="false">R13-R23</f>
        <v>400175.953086474</v>
      </c>
      <c r="S25" s="21" t="n">
        <f aca="false">S13-S23</f>
        <v>385243.797668318</v>
      </c>
      <c r="T25" s="21" t="n">
        <f aca="false">T13-T23</f>
        <v>369064.251417845</v>
      </c>
      <c r="U25" s="21" t="n">
        <f aca="false">U13-U23</f>
        <v>351567.242412481</v>
      </c>
      <c r="V25" s="21" t="n">
        <f aca="false">V13-V23</f>
        <v>332678.92472335</v>
      </c>
      <c r="W25" s="21" t="n">
        <f aca="false">W13-W23</f>
        <v>312321.470268484</v>
      </c>
      <c r="X25" s="21" t="n">
        <f aca="false">SUM(D25:W25)</f>
        <v>8699825.45582271</v>
      </c>
    </row>
    <row r="27" customFormat="false" ht="15" hidden="false" customHeight="true" outlineLevel="0" collapsed="false">
      <c r="B27" s="13" t="s">
        <v>795</v>
      </c>
      <c r="D27" s="66" t="n">
        <f aca="false">NZ_ReservesStab</f>
        <v>38245.445</v>
      </c>
      <c r="E27" s="37" t="n">
        <f aca="false">D27*(1+$D$51)</f>
        <v>39392.80835</v>
      </c>
      <c r="F27" s="37" t="n">
        <f aca="false">E27*(1+$D$51)</f>
        <v>40574.5926005</v>
      </c>
      <c r="G27" s="37" t="n">
        <f aca="false">F27*(1+$D$51)</f>
        <v>41791.830378515</v>
      </c>
      <c r="H27" s="37" t="n">
        <f aca="false">G27*(1+$D$51)</f>
        <v>43045.5852898705</v>
      </c>
      <c r="I27" s="37" t="n">
        <f aca="false">H27*(1+$D$51)</f>
        <v>44336.9528485666</v>
      </c>
      <c r="J27" s="37" t="n">
        <f aca="false">I27*(1+$D$51)</f>
        <v>45667.0614340236</v>
      </c>
      <c r="K27" s="37" t="n">
        <f aca="false">J27*(1+$D$51)</f>
        <v>47037.0732770443</v>
      </c>
      <c r="L27" s="37" t="n">
        <f aca="false">K27*(1+$D$51)</f>
        <v>48448.1854753556</v>
      </c>
      <c r="M27" s="37" t="n">
        <f aca="false">L27*(1+$D$51)</f>
        <v>49901.6310396163</v>
      </c>
      <c r="N27" s="37" t="n">
        <f aca="false">M27*(1+$D$51)</f>
        <v>51398.6799708048</v>
      </c>
      <c r="O27" s="37" t="n">
        <f aca="false">N27*(1+$D$51)</f>
        <v>52940.6403699289</v>
      </c>
      <c r="P27" s="37" t="n">
        <f aca="false">O27*(1+$D$51)</f>
        <v>54528.8595810268</v>
      </c>
      <c r="Q27" s="37" t="n">
        <f aca="false">P27*(1+$D$51)</f>
        <v>56164.7253684576</v>
      </c>
      <c r="R27" s="37" t="n">
        <f aca="false">Q27*(1+$D$51)</f>
        <v>57849.6671295113</v>
      </c>
      <c r="S27" s="37" t="n">
        <f aca="false">R27*(1+$D$51)</f>
        <v>59585.1571433966</v>
      </c>
      <c r="T27" s="37" t="n">
        <f aca="false">S27*(1+$D$51)</f>
        <v>61372.7118576985</v>
      </c>
      <c r="U27" s="37" t="n">
        <f aca="false">T27*(1+$D$51)</f>
        <v>63213.8932134295</v>
      </c>
      <c r="V27" s="37" t="n">
        <f aca="false">U27*(1+$D$51)</f>
        <v>65110.3100098324</v>
      </c>
      <c r="W27" s="37" t="n">
        <f aca="false">V27*(1+$D$51)</f>
        <v>67063.6193101274</v>
      </c>
    </row>
    <row r="29" customFormat="false" ht="15" hidden="false" customHeight="true" outlineLevel="0" collapsed="false">
      <c r="B29" s="13" t="s">
        <v>796</v>
      </c>
      <c r="D29" s="37" t="n">
        <f aca="false">D59</f>
        <v>389112.666917169</v>
      </c>
      <c r="E29" s="37" t="n">
        <f aca="false">E59</f>
        <v>385835.262376</v>
      </c>
      <c r="F29" s="37" t="n">
        <f aca="false">F59</f>
        <v>382361.213562362</v>
      </c>
      <c r="G29" s="37" t="n">
        <f aca="false">G59</f>
        <v>378678.721819905</v>
      </c>
      <c r="H29" s="37" t="n">
        <f aca="false">H59</f>
        <v>374775.280572901</v>
      </c>
      <c r="I29" s="37" t="n">
        <f aca="false">I59</f>
        <v>370637.632851076</v>
      </c>
      <c r="J29" s="37" t="n">
        <f aca="false">J59</f>
        <v>366251.726265943</v>
      </c>
      <c r="K29" s="37" t="n">
        <f aca="false">K59</f>
        <v>361602.665285701</v>
      </c>
      <c r="L29" s="37" t="n">
        <f aca="false">L59</f>
        <v>356674.660646644</v>
      </c>
      <c r="M29" s="37" t="n">
        <f aca="false">M59</f>
        <v>351450.975729244</v>
      </c>
      <c r="N29" s="37" t="n">
        <f aca="false">N59</f>
        <v>345913.8697168</v>
      </c>
      <c r="O29" s="37" t="n">
        <f aca="false">O59</f>
        <v>340044.53734361</v>
      </c>
      <c r="P29" s="37" t="n">
        <f aca="false">P59</f>
        <v>333823.045028028</v>
      </c>
      <c r="Q29" s="37" t="n">
        <f aca="false">Q59</f>
        <v>327228.263173511</v>
      </c>
      <c r="R29" s="37" t="n">
        <f aca="false">R59</f>
        <v>320237.794407723</v>
      </c>
      <c r="S29" s="37" t="n">
        <f aca="false">S59</f>
        <v>312827.897515988</v>
      </c>
      <c r="T29" s="37" t="n">
        <f aca="false">T59</f>
        <v>304973.406810749</v>
      </c>
      <c r="U29" s="37" t="n">
        <f aca="false">U59</f>
        <v>296647.646663195</v>
      </c>
      <c r="V29" s="37" t="n">
        <f aca="false">V59</f>
        <v>287822.340906788</v>
      </c>
      <c r="W29" s="37" t="n">
        <f aca="false">W59</f>
        <v>278467.516804997</v>
      </c>
    </row>
    <row r="30" customFormat="false" ht="15" hidden="false" customHeight="true" outlineLevel="0" collapsed="false">
      <c r="B30" s="13" t="s">
        <v>797</v>
      </c>
      <c r="D30" s="37" t="n">
        <f aca="false">D60</f>
        <v>54623.4090194731</v>
      </c>
      <c r="E30" s="37" t="n">
        <f aca="false">E60</f>
        <v>57900.8135606415</v>
      </c>
      <c r="F30" s="37" t="n">
        <f aca="false">F60</f>
        <v>61374.86237428</v>
      </c>
      <c r="G30" s="37" t="n">
        <f aca="false">G60</f>
        <v>65057.3541167368</v>
      </c>
      <c r="H30" s="37" t="n">
        <f aca="false">H60</f>
        <v>68960.795363741</v>
      </c>
      <c r="I30" s="37" t="n">
        <f aca="false">I60</f>
        <v>73098.4430855655</v>
      </c>
      <c r="J30" s="37" t="n">
        <f aca="false">J60</f>
        <v>77484.3496706993</v>
      </c>
      <c r="K30" s="37" t="n">
        <f aca="false">K60</f>
        <v>82133.4106509414</v>
      </c>
      <c r="L30" s="37" t="n">
        <f aca="false">L60</f>
        <v>87061.4152899978</v>
      </c>
      <c r="M30" s="37" t="n">
        <f aca="false">M60</f>
        <v>92285.1002073977</v>
      </c>
      <c r="N30" s="37" t="n">
        <f aca="false">N60</f>
        <v>97822.2062198416</v>
      </c>
      <c r="O30" s="37" t="n">
        <f aca="false">O60</f>
        <v>103691.538593032</v>
      </c>
      <c r="P30" s="37" t="n">
        <f aca="false">P60</f>
        <v>109913.030908614</v>
      </c>
      <c r="Q30" s="37" t="n">
        <f aca="false">Q60</f>
        <v>116507.812763131</v>
      </c>
      <c r="R30" s="37" t="n">
        <f aca="false">R60</f>
        <v>123498.281528919</v>
      </c>
      <c r="S30" s="37" t="n">
        <f aca="false">S60</f>
        <v>130908.178420654</v>
      </c>
      <c r="T30" s="37" t="n">
        <f aca="false">T60</f>
        <v>138762.669125893</v>
      </c>
      <c r="U30" s="37" t="n">
        <f aca="false">U60</f>
        <v>147088.429273447</v>
      </c>
      <c r="V30" s="37" t="n">
        <f aca="false">V60</f>
        <v>155913.735029854</v>
      </c>
      <c r="W30" s="37" t="n">
        <f aca="false">W60</f>
        <v>165268.559131645</v>
      </c>
    </row>
    <row r="32" customFormat="false" ht="15" hidden="false" customHeight="true" outlineLevel="0" collapsed="false">
      <c r="B32" s="19" t="s">
        <v>798</v>
      </c>
      <c r="D32" s="21" t="n">
        <f aca="false">D25-D27-D29-D30</f>
        <v>-34279.474847816</v>
      </c>
      <c r="E32" s="21" t="n">
        <f aca="false">E25-E27-E29-E30</f>
        <v>23765.0102535642</v>
      </c>
      <c r="F32" s="21" t="n">
        <f aca="false">F25-F27-F29-F30</f>
        <v>18891.2039759236</v>
      </c>
      <c r="G32" s="21" t="n">
        <f aca="false">G25-G27-G29-G30</f>
        <v>13378.8278516633</v>
      </c>
      <c r="H32" s="21" t="n">
        <f aca="false">H25-H27-H29-H30</f>
        <v>7191.21297101496</v>
      </c>
      <c r="I32" s="21" t="n">
        <f aca="false">I25-I27-I29-I30</f>
        <v>289.765201652423</v>
      </c>
      <c r="J32" s="21" t="n">
        <f aca="false">J25-J27-J29-J30</f>
        <v>-7366.13784817339</v>
      </c>
      <c r="K32" s="21" t="n">
        <f aca="false">K25-K27-K29-K30</f>
        <v>-15819.255595116</v>
      </c>
      <c r="L32" s="21" t="n">
        <f aca="false">L25-L27-L29-L30</f>
        <v>-25114.599303463</v>
      </c>
      <c r="M32" s="21" t="n">
        <f aca="false">M25-M27-M29-M30</f>
        <v>-35299.5533129633</v>
      </c>
      <c r="N32" s="21" t="n">
        <f aca="false">N25-N27-N29-N30</f>
        <v>-46424.0030399985</v>
      </c>
      <c r="O32" s="21" t="n">
        <f aca="false">O25-O27-O29-O30</f>
        <v>-58540.4701419059</v>
      </c>
      <c r="P32" s="21" t="n">
        <f aca="false">P25-P27-P29-P30</f>
        <v>-71704.2552571406</v>
      </c>
      <c r="Q32" s="21" t="n">
        <f aca="false">Q25-Q27-Q29-Q30</f>
        <v>-85973.5887581751</v>
      </c>
      <c r="R32" s="21" t="n">
        <f aca="false">R25-R27-R29-R30</f>
        <v>-101409.789979679</v>
      </c>
      <c r="S32" s="21" t="n">
        <f aca="false">S25-S27-S29-S30</f>
        <v>-118077.435411721</v>
      </c>
      <c r="T32" s="21" t="n">
        <f aca="false">T25-T27-T29-T30</f>
        <v>-136044.536376495</v>
      </c>
      <c r="U32" s="21" t="n">
        <f aca="false">U25-U27-U29-U30</f>
        <v>-155382.726737591</v>
      </c>
      <c r="V32" s="21" t="n">
        <f aca="false">V25-V27-V29-V30</f>
        <v>-176167.461223124</v>
      </c>
      <c r="W32" s="21" t="n">
        <f aca="false">W25-W27-W29-W30</f>
        <v>-198478.224978286</v>
      </c>
    </row>
    <row r="34" customFormat="false" ht="15" hidden="false" customHeight="true" outlineLevel="0" collapsed="false">
      <c r="B34" s="13" t="s">
        <v>799</v>
      </c>
      <c r="D34" s="37" t="n">
        <f aca="false">IF((CashFlowCeilPct*D32)&lt;=0,0,CashFlowCeilPct*D32)</f>
        <v>0</v>
      </c>
      <c r="E34" s="37" t="n">
        <f aca="false">IF((CashFlowCeilPct*E32)&lt;=0,0,CashFlowCeilPct*E32)</f>
        <v>2376.50102535642</v>
      </c>
      <c r="F34" s="37" t="n">
        <f aca="false">IF((CashFlowCeilPct*F32)&lt;=0,0,CashFlowCeilPct*F32)</f>
        <v>1889.12039759236</v>
      </c>
      <c r="G34" s="37" t="n">
        <f aca="false">IF((CashFlowCeilPct*G32)&lt;=0,0,CashFlowCeilPct*G32)</f>
        <v>1337.88278516633</v>
      </c>
      <c r="H34" s="37" t="n">
        <f aca="false">IF((CashFlowCeilPct*H32)&lt;=0,0,CashFlowCeilPct*H32)</f>
        <v>719.121297101496</v>
      </c>
      <c r="I34" s="37" t="n">
        <f aca="false">IF((CashFlowCeilPct*I32)&lt;=0,0,CashFlowCeilPct*I32)</f>
        <v>28.9765201652423</v>
      </c>
      <c r="J34" s="37" t="n">
        <f aca="false">IF((CashFlowCeilPct*J32)&lt;=0,0,CashFlowCeilPct*J32)</f>
        <v>0</v>
      </c>
      <c r="K34" s="37" t="n">
        <f aca="false">IF((CashFlowCeilPct*K32)&lt;=0,0,CashFlowCeilPct*K32)</f>
        <v>0</v>
      </c>
      <c r="L34" s="37" t="n">
        <f aca="false">IF((CashFlowCeilPct*L32)&lt;=0,0,CashFlowCeilPct*L32)</f>
        <v>0</v>
      </c>
      <c r="M34" s="37" t="n">
        <f aca="false">IF((CashFlowCeilPct*M32)&lt;=0,0,CashFlowCeilPct*M32)</f>
        <v>0</v>
      </c>
      <c r="N34" s="37" t="n">
        <f aca="false">IF((CashFlowCeilPct*N32)&lt;=0,0,CashFlowCeilPct*N32)</f>
        <v>0</v>
      </c>
      <c r="O34" s="37" t="n">
        <f aca="false">IF((CashFlowCeilPct*O32)&lt;=0,0,CashFlowCeilPct*O32)</f>
        <v>0</v>
      </c>
      <c r="P34" s="37" t="n">
        <f aca="false">IF((CashFlowCeilPct*P32)&lt;=0,0,CashFlowCeilPct*P32)</f>
        <v>0</v>
      </c>
      <c r="Q34" s="37" t="n">
        <f aca="false">IF((CashFlowCeilPct*Q32)&lt;=0,0,CashFlowCeilPct*Q32)</f>
        <v>0</v>
      </c>
      <c r="R34" s="37" t="n">
        <f aca="false">IF((CashFlowCeilPct*R32)&lt;=0,0,CashFlowCeilPct*R32)</f>
        <v>0</v>
      </c>
      <c r="S34" s="37" t="n">
        <f aca="false">IF((CashFlowCeilPct*S32)&lt;=0,0,CashFlowCeilPct*S32)</f>
        <v>0</v>
      </c>
      <c r="T34" s="37" t="n">
        <f aca="false">IF((CashFlowCeilPct*T32)&lt;=0,0,CashFlowCeilPct*T32)</f>
        <v>0</v>
      </c>
      <c r="U34" s="37" t="n">
        <f aca="false">IF((CashFlowCeilPct*U32)&lt;=0,0,CashFlowCeilPct*U32)</f>
        <v>0</v>
      </c>
      <c r="V34" s="37" t="n">
        <f aca="false">IF((CashFlowCeilPct*V32)&lt;=0,0,CashFlowCeilPct*V32)</f>
        <v>0</v>
      </c>
      <c r="W34" s="37" t="n">
        <f aca="false">IF((CashFlowCeilPct*W32)&lt;=0,0,CashFlowCeilPct*W32)</f>
        <v>0</v>
      </c>
    </row>
    <row r="36" customFormat="false" ht="15" hidden="false" customHeight="true" outlineLevel="0" collapsed="false">
      <c r="B36" s="19" t="s">
        <v>800</v>
      </c>
      <c r="D36" s="21" t="n">
        <f aca="false">D32-D34</f>
        <v>-34279.474847816</v>
      </c>
      <c r="E36" s="21" t="n">
        <f aca="false">E32-E34</f>
        <v>21388.5092282077</v>
      </c>
      <c r="F36" s="21" t="n">
        <f aca="false">F32-F34</f>
        <v>17002.0835783312</v>
      </c>
      <c r="G36" s="21" t="n">
        <f aca="false">G32-G34</f>
        <v>12040.945066497</v>
      </c>
      <c r="H36" s="21" t="n">
        <f aca="false">H32-H34</f>
        <v>6472.09167391347</v>
      </c>
      <c r="I36" s="21" t="n">
        <f aca="false">I32-I34</f>
        <v>260.78868148718</v>
      </c>
      <c r="J36" s="21" t="n">
        <f aca="false">J32-J34</f>
        <v>-7366.13784817339</v>
      </c>
      <c r="K36" s="21" t="n">
        <f aca="false">K32-K34</f>
        <v>-15819.255595116</v>
      </c>
      <c r="L36" s="21" t="n">
        <f aca="false">L32-L34</f>
        <v>-25114.599303463</v>
      </c>
      <c r="M36" s="21" t="n">
        <f aca="false">M32-M34</f>
        <v>-35299.5533129633</v>
      </c>
      <c r="N36" s="21" t="n">
        <f aca="false">N32-N34</f>
        <v>-46424.0030399985</v>
      </c>
      <c r="O36" s="21" t="n">
        <f aca="false">O32-O34</f>
        <v>-58540.4701419059</v>
      </c>
      <c r="P36" s="21" t="n">
        <f aca="false">P32-P34</f>
        <v>-71704.2552571406</v>
      </c>
      <c r="Q36" s="21" t="n">
        <f aca="false">Q32-Q34</f>
        <v>-85973.5887581751</v>
      </c>
      <c r="R36" s="21" t="n">
        <f aca="false">R32-R34</f>
        <v>-101409.789979679</v>
      </c>
      <c r="S36" s="21" t="n">
        <f aca="false">S32-S34</f>
        <v>-118077.435411721</v>
      </c>
      <c r="T36" s="21" t="n">
        <f aca="false">T32-T34</f>
        <v>-136044.536376495</v>
      </c>
      <c r="U36" s="21" t="n">
        <f aca="false">U32-U34</f>
        <v>-155382.726737591</v>
      </c>
      <c r="V36" s="21" t="n">
        <f aca="false">V32-V34</f>
        <v>-176167.461223124</v>
      </c>
      <c r="W36" s="21" t="n">
        <f aca="false">W32-W34</f>
        <v>-198478.224978286</v>
      </c>
      <c r="X36" s="21" t="n">
        <f aca="false">SUM(D36:W36)</f>
        <v>-1208917.09458321</v>
      </c>
    </row>
    <row r="37" customFormat="false" ht="15" hidden="false" customHeight="true" outlineLevel="0" collapsed="false">
      <c r="B37" s="36" t="s">
        <v>801</v>
      </c>
    </row>
    <row r="39" customFormat="false" ht="15" hidden="false" customHeight="true" outlineLevel="0" collapsed="false">
      <c r="B39" s="69" t="s">
        <v>8</v>
      </c>
      <c r="D39" s="102" t="n">
        <f aca="false">IF((D29+D30)=0,0,D25/(D29+D30))</f>
        <v>1.00893767797404</v>
      </c>
      <c r="E39" s="102" t="n">
        <f aca="false">IF((E29+E30)=0,0,E25/(E29+E30))</f>
        <v>1.14233194465933</v>
      </c>
      <c r="F39" s="102" t="n">
        <f aca="false">IF((F29+F30)=0,0,F25/(F29+F30))</f>
        <v>1.13401163394458</v>
      </c>
      <c r="G39" s="102" t="n">
        <f aca="false">IF((G29+G30)=0,0,G25/(G29+G30))</f>
        <v>1.1243321452143</v>
      </c>
      <c r="H39" s="102" t="n">
        <f aca="false">IF((H29+H30)=0,0,H25/(H29+H30))</f>
        <v>1.11321323864607</v>
      </c>
      <c r="I39" s="102" t="n">
        <f aca="false">IF((I29+I30)=0,0,I25/(I29+I30))</f>
        <v>1.1005704076596</v>
      </c>
      <c r="J39" s="102" t="n">
        <f aca="false">IF((J29+J30)=0,0,J25/(J29+J30))</f>
        <v>1.08631464887096</v>
      </c>
      <c r="K39" s="102" t="n">
        <f aca="false">IF((K29+K30)=0,0,K25/(K29+K30))</f>
        <v>1.07035221920155</v>
      </c>
      <c r="L39" s="102" t="n">
        <f aca="false">IF((L29+L30)=0,0,L25/(L29+L30))</f>
        <v>1.05258437940309</v>
      </c>
      <c r="M39" s="102" t="n">
        <f aca="false">IF((M29+M30)=0,0,M25/(M29+M30))</f>
        <v>1.03290712321695</v>
      </c>
      <c r="N39" s="102" t="n">
        <f aca="false">IF((N29+N30)=0,0,N25/(N29+N30))</f>
        <v>1.01121089133965</v>
      </c>
      <c r="O39" s="102" t="n">
        <f aca="false">IF((O29+O30)=0,0,O25/(O29+O30))</f>
        <v>0.98738026931852</v>
      </c>
      <c r="P39" s="102" t="n">
        <f aca="false">IF((P29+P30)=0,0,P25/(P29+P30))</f>
        <v>0.961293668449517</v>
      </c>
      <c r="Q39" s="102" t="n">
        <f aca="false">IF((Q29+Q30)=0,0,Q25/(Q29+Q30))</f>
        <v>0.932822988694808</v>
      </c>
      <c r="R39" s="102" t="n">
        <f aca="false">IF((R29+R30)=0,0,R25/(R29+R30))</f>
        <v>0.901833262580193</v>
      </c>
      <c r="S39" s="102" t="n">
        <f aca="false">IF((S29+S30)=0,0,S25/(S29+S30))</f>
        <v>0.868182278970989</v>
      </c>
      <c r="T39" s="102" t="n">
        <f aca="false">IF((T29+T30)=0,0,T25/(T29+T30))</f>
        <v>0.831720185560349</v>
      </c>
      <c r="U39" s="102" t="n">
        <f aca="false">IF((U29+U30)=0,0,U25/(U29+U30))</f>
        <v>0.79228906883532</v>
      </c>
      <c r="V39" s="102" t="n">
        <f aca="false">IF((V29+V30)=0,0,V25/(V29+V30))</f>
        <v>0.749722510213145</v>
      </c>
      <c r="W39" s="102" t="n">
        <f aca="false">IF((W29+W30)=0,0,W25/(W29+W30))</f>
        <v>0.70384511696335</v>
      </c>
    </row>
    <row r="41" customFormat="false" ht="15" hidden="false" customHeight="true" outlineLevel="0" collapsed="false">
      <c r="B41" s="13" t="s">
        <v>802</v>
      </c>
      <c r="D41" s="66" t="n">
        <f aca="false">SUMPRODUCT((ROUNDUP(NZ_PayinMonths/12,0)=1)*NZ_PayinAmts)</f>
        <v>1942952.33625293</v>
      </c>
      <c r="E41" s="66" t="n">
        <f aca="false">SUMPRODUCT((ROUNDUP(NZ_PayinMonths/12,0)=2)*NZ_PayinAmts)</f>
        <v>832693.858394112</v>
      </c>
      <c r="F41" s="66" t="n">
        <f aca="false">SUMPRODUCT((ROUNDUP(NZ_PayinMonths/12,0)=3)*NZ_PayinAmts)</f>
        <v>0</v>
      </c>
      <c r="G41" s="66" t="n">
        <f aca="false">SUMPRODUCT((ROUNDUP(NZ_PayinMonths/12,0)=4)*NZ_PayinAmts)</f>
        <v>0</v>
      </c>
      <c r="H41" s="66" t="n">
        <f aca="false">SUMPRODUCT((ROUNDUP(NZ_PayinMonths/12,0)=5)*NZ_PayinAmts)</f>
        <v>0</v>
      </c>
      <c r="I41" s="66" t="n">
        <f aca="false">SUMPRODUCT((ROUNDUP(NZ_PayinMonths/12,0)=6)*NZ_PayinAmts)</f>
        <v>0</v>
      </c>
      <c r="J41" s="66" t="n">
        <f aca="false">SUMPRODUCT((ROUNDUP(NZ_PayinMonths/12,0)=7)*NZ_PayinAmts)</f>
        <v>0</v>
      </c>
      <c r="K41" s="66" t="n">
        <f aca="false">SUMPRODUCT((ROUNDUP(NZ_PayinMonths/12,0)=8)*NZ_PayinAmts)</f>
        <v>0</v>
      </c>
      <c r="L41" s="66" t="n">
        <f aca="false">SUMPRODUCT((ROUNDUP(NZ_PayinMonths/12,0)=9)*NZ_PayinAmts)</f>
        <v>0</v>
      </c>
      <c r="M41" s="66" t="n">
        <f aca="false">SUMPRODUCT((ROUNDUP(NZ_PayinMonths/12,0)=10)*NZ_PayinAmts)</f>
        <v>0</v>
      </c>
      <c r="N41" s="66" t="n">
        <f aca="false">SUMPRODUCT((ROUNDUP(NZ_PayinMonths/12,0)=11)*NZ_PayinAmts)</f>
        <v>0</v>
      </c>
      <c r="O41" s="66" t="n">
        <f aca="false">SUMPRODUCT((ROUNDUP(NZ_PayinMonths/12,0)=12)*NZ_PayinAmts)</f>
        <v>0</v>
      </c>
      <c r="P41" s="66" t="n">
        <f aca="false">SUMPRODUCT((ROUNDUP(NZ_PayinMonths/12,0)=13)*NZ_PayinAmts)</f>
        <v>0</v>
      </c>
      <c r="Q41" s="66" t="n">
        <f aca="false">SUMPRODUCT((ROUNDUP(NZ_PayinMonths/12,0)=14)*NZ_PayinAmts)</f>
        <v>0</v>
      </c>
      <c r="R41" s="66" t="n">
        <f aca="false">SUMPRODUCT((ROUNDUP(NZ_PayinMonths/12,0)=15)*NZ_PayinAmts)</f>
        <v>0</v>
      </c>
      <c r="S41" s="66" t="n">
        <f aca="false">SUMPRODUCT((ROUNDUP(NZ_PayinMonths/12,0)=16)*NZ_PayinAmts)</f>
        <v>0</v>
      </c>
      <c r="T41" s="66" t="n">
        <f aca="false">SUMPRODUCT((ROUNDUP(NZ_PayinMonths/12,0)=17)*NZ_PayinAmts)</f>
        <v>0</v>
      </c>
      <c r="U41" s="66" t="n">
        <f aca="false">SUMPRODUCT((ROUNDUP(NZ_PayinMonths/12,0)=18)*NZ_PayinAmts)</f>
        <v>0</v>
      </c>
      <c r="V41" s="66" t="n">
        <f aca="false">SUMPRODUCT((ROUNDUP(NZ_PayinMonths/12,0)=19)*NZ_PayinAmts)</f>
        <v>0</v>
      </c>
      <c r="W41" s="66" t="n">
        <f aca="false">SUMPRODUCT((ROUNDUP(NZ_PayinMonths/12,0)=20)*NZ_PayinAmts)</f>
        <v>0</v>
      </c>
      <c r="X41" s="66" t="n">
        <f aca="false">SUM(D41:W41)</f>
        <v>2775646.19464704</v>
      </c>
    </row>
    <row r="49" customFormat="false" ht="15" hidden="false" customHeight="true" outlineLevel="0" collapsed="false">
      <c r="B49" s="63" t="s">
        <v>803</v>
      </c>
    </row>
    <row r="50" customFormat="false" ht="15" hidden="false" customHeight="true" outlineLevel="0" collapsed="false">
      <c r="B50" s="13" t="s">
        <v>804</v>
      </c>
      <c r="D50" s="51" t="n">
        <f aca="false">OCAF*OCAFHaircut</f>
        <v>0.01875</v>
      </c>
    </row>
    <row r="51" customFormat="false" ht="15" hidden="false" customHeight="true" outlineLevel="0" collapsed="false">
      <c r="B51" s="13" t="s">
        <v>805</v>
      </c>
      <c r="D51" s="51" t="n">
        <f aca="false">ExpGrowth</f>
        <v>0.03</v>
      </c>
    </row>
    <row r="56" customFormat="false" ht="15" hidden="false" customHeight="true" outlineLevel="0" collapsed="false">
      <c r="B56" s="63" t="s">
        <v>806</v>
      </c>
    </row>
    <row r="57" customFormat="false" ht="15" hidden="false" customHeight="true" outlineLevel="0" collapsed="false">
      <c r="B57" s="13" t="s">
        <v>807</v>
      </c>
      <c r="C57" s="43" t="n">
        <f aca="false">IF(DebtStrategy="Refinance",PermRate,NZ_NoteRate)</f>
        <v>0.06</v>
      </c>
    </row>
    <row r="58" customFormat="false" ht="15" hidden="false" customHeight="true" outlineLevel="0" collapsed="false">
      <c r="B58" s="13" t="s">
        <v>808</v>
      </c>
      <c r="D58" s="37" t="n">
        <f aca="false">NZ_SelProceeds</f>
        <v>6485211.11528615</v>
      </c>
      <c r="E58" s="37" t="n">
        <f aca="false">D61</f>
        <v>6430587.70626667</v>
      </c>
      <c r="F58" s="37" t="n">
        <f aca="false">E61</f>
        <v>6372686.89270603</v>
      </c>
      <c r="G58" s="37" t="n">
        <f aca="false">F61</f>
        <v>6311312.03033175</v>
      </c>
      <c r="H58" s="37" t="n">
        <f aca="false">G61</f>
        <v>6246254.67621502</v>
      </c>
      <c r="I58" s="37" t="n">
        <f aca="false">H61</f>
        <v>6177293.88085127</v>
      </c>
      <c r="J58" s="37" t="n">
        <f aca="false">I61</f>
        <v>6104195.43776571</v>
      </c>
      <c r="K58" s="37" t="n">
        <f aca="false">J61</f>
        <v>6026711.08809501</v>
      </c>
      <c r="L58" s="37" t="n">
        <f aca="false">K61</f>
        <v>5944577.67744407</v>
      </c>
      <c r="M58" s="37" t="n">
        <f aca="false">L61</f>
        <v>5857516.26215407</v>
      </c>
      <c r="N58" s="37" t="n">
        <f aca="false">M61</f>
        <v>5765231.16194667</v>
      </c>
      <c r="O58" s="37" t="n">
        <f aca="false">N61</f>
        <v>5667408.95572683</v>
      </c>
      <c r="P58" s="37" t="n">
        <f aca="false">O61</f>
        <v>5563717.4171338</v>
      </c>
      <c r="Q58" s="37" t="n">
        <f aca="false">P61</f>
        <v>5453804.38622518</v>
      </c>
      <c r="R58" s="37" t="n">
        <f aca="false">Q61</f>
        <v>5337296.57346205</v>
      </c>
      <c r="S58" s="37" t="n">
        <f aca="false">R61</f>
        <v>5213798.29193313</v>
      </c>
      <c r="T58" s="37" t="n">
        <f aca="false">S61</f>
        <v>5082890.11351248</v>
      </c>
      <c r="U58" s="37" t="n">
        <f aca="false">T61</f>
        <v>4944127.44438659</v>
      </c>
      <c r="V58" s="37" t="n">
        <f aca="false">U61</f>
        <v>4797039.01511314</v>
      </c>
      <c r="W58" s="37" t="n">
        <f aca="false">V61</f>
        <v>4641125.28008329</v>
      </c>
    </row>
    <row r="59" customFormat="false" ht="15" hidden="false" customHeight="true" outlineLevel="0" collapsed="false">
      <c r="B59" s="13" t="s">
        <v>809</v>
      </c>
      <c r="D59" s="37" t="n">
        <f aca="false">D58*$C$57</f>
        <v>389112.666917169</v>
      </c>
      <c r="E59" s="37" t="n">
        <f aca="false">E58*$C$57</f>
        <v>385835.262376</v>
      </c>
      <c r="F59" s="37" t="n">
        <f aca="false">F58*$C$57</f>
        <v>382361.213562362</v>
      </c>
      <c r="G59" s="37" t="n">
        <f aca="false">G58*$C$57</f>
        <v>378678.721819905</v>
      </c>
      <c r="H59" s="37" t="n">
        <f aca="false">H58*$C$57</f>
        <v>374775.280572901</v>
      </c>
      <c r="I59" s="37" t="n">
        <f aca="false">I58*$C$57</f>
        <v>370637.632851076</v>
      </c>
      <c r="J59" s="37" t="n">
        <f aca="false">J58*$C$57</f>
        <v>366251.726265943</v>
      </c>
      <c r="K59" s="37" t="n">
        <f aca="false">K58*$C$57</f>
        <v>361602.665285701</v>
      </c>
      <c r="L59" s="37" t="n">
        <f aca="false">L58*$C$57</f>
        <v>356674.660646644</v>
      </c>
      <c r="M59" s="37" t="n">
        <f aca="false">M58*$C$57</f>
        <v>351450.975729244</v>
      </c>
      <c r="N59" s="37" t="n">
        <f aca="false">N58*$C$57</f>
        <v>345913.8697168</v>
      </c>
      <c r="O59" s="37" t="n">
        <f aca="false">O58*$C$57</f>
        <v>340044.53734361</v>
      </c>
      <c r="P59" s="37" t="n">
        <f aca="false">P58*$C$57</f>
        <v>333823.045028028</v>
      </c>
      <c r="Q59" s="37" t="n">
        <f aca="false">Q58*$C$57</f>
        <v>327228.263173511</v>
      </c>
      <c r="R59" s="37" t="n">
        <f aca="false">R58*$C$57</f>
        <v>320237.794407723</v>
      </c>
      <c r="S59" s="37" t="n">
        <f aca="false">S58*$C$57</f>
        <v>312827.897515988</v>
      </c>
      <c r="T59" s="37" t="n">
        <f aca="false">T58*$C$57</f>
        <v>304973.406810749</v>
      </c>
      <c r="U59" s="37" t="n">
        <f aca="false">U58*$C$57</f>
        <v>296647.646663195</v>
      </c>
      <c r="V59" s="37" t="n">
        <f aca="false">V58*$C$57</f>
        <v>287822.340906788</v>
      </c>
      <c r="W59" s="37" t="n">
        <f aca="false">W58*$C$57</f>
        <v>278467.516804997</v>
      </c>
    </row>
    <row r="60" customFormat="false" ht="15" hidden="false" customHeight="true" outlineLevel="0" collapsed="false">
      <c r="B60" s="13" t="s">
        <v>810</v>
      </c>
      <c r="D60" s="37" t="n">
        <f aca="false">MAX(0,MIN(D58,$C$62-D59))</f>
        <v>54623.4090194731</v>
      </c>
      <c r="E60" s="37" t="n">
        <f aca="false">MAX(0,MIN(E58,$C$62-E59))</f>
        <v>57900.8135606415</v>
      </c>
      <c r="F60" s="37" t="n">
        <f aca="false">MAX(0,MIN(F58,$C$62-F59))</f>
        <v>61374.86237428</v>
      </c>
      <c r="G60" s="37" t="n">
        <f aca="false">MAX(0,MIN(G58,$C$62-G59))</f>
        <v>65057.3541167368</v>
      </c>
      <c r="H60" s="37" t="n">
        <f aca="false">MAX(0,MIN(H58,$C$62-H59))</f>
        <v>68960.795363741</v>
      </c>
      <c r="I60" s="37" t="n">
        <f aca="false">MAX(0,MIN(I58,$C$62-I59))</f>
        <v>73098.4430855655</v>
      </c>
      <c r="J60" s="37" t="n">
        <f aca="false">MAX(0,MIN(J58,$C$62-J59))</f>
        <v>77484.3496706993</v>
      </c>
      <c r="K60" s="37" t="n">
        <f aca="false">MAX(0,MIN(K58,$C$62-K59))</f>
        <v>82133.4106509414</v>
      </c>
      <c r="L60" s="37" t="n">
        <f aca="false">MAX(0,MIN(L58,$C$62-L59))</f>
        <v>87061.4152899978</v>
      </c>
      <c r="M60" s="37" t="n">
        <f aca="false">MAX(0,MIN(M58,$C$62-M59))</f>
        <v>92285.1002073977</v>
      </c>
      <c r="N60" s="37" t="n">
        <f aca="false">MAX(0,MIN(N58,$C$62-N59))</f>
        <v>97822.2062198416</v>
      </c>
      <c r="O60" s="37" t="n">
        <f aca="false">MAX(0,MIN(O58,$C$62-O59))</f>
        <v>103691.538593032</v>
      </c>
      <c r="P60" s="37" t="n">
        <f aca="false">MAX(0,MIN(P58,$C$62-P59))</f>
        <v>109913.030908614</v>
      </c>
      <c r="Q60" s="37" t="n">
        <f aca="false">MAX(0,MIN(Q58,$C$62-Q59))</f>
        <v>116507.812763131</v>
      </c>
      <c r="R60" s="37" t="n">
        <f aca="false">MAX(0,MIN(R58,$C$62-R59))</f>
        <v>123498.281528919</v>
      </c>
      <c r="S60" s="37" t="n">
        <f aca="false">MAX(0,MIN(S58,$C$62-S59))</f>
        <v>130908.178420654</v>
      </c>
      <c r="T60" s="37" t="n">
        <f aca="false">MAX(0,MIN(T58,$C$62-T59))</f>
        <v>138762.669125893</v>
      </c>
      <c r="U60" s="37" t="n">
        <f aca="false">MAX(0,MIN(U58,$C$62-U59))</f>
        <v>147088.429273447</v>
      </c>
      <c r="V60" s="37" t="n">
        <f aca="false">MAX(0,MIN(V58,$C$62-V59))</f>
        <v>155913.735029854</v>
      </c>
      <c r="W60" s="37" t="n">
        <f aca="false">MAX(0,MIN(W58,$C$62-W59))</f>
        <v>165268.559131645</v>
      </c>
    </row>
    <row r="61" customFormat="false" ht="15" hidden="false" customHeight="true" outlineLevel="0" collapsed="false">
      <c r="B61" s="13" t="s">
        <v>811</v>
      </c>
      <c r="D61" s="37" t="n">
        <f aca="false">D58-D60</f>
        <v>6430587.70626667</v>
      </c>
      <c r="E61" s="37" t="n">
        <f aca="false">E58-E60</f>
        <v>6372686.89270603</v>
      </c>
      <c r="F61" s="37" t="n">
        <f aca="false">F58-F60</f>
        <v>6311312.03033175</v>
      </c>
      <c r="G61" s="37" t="n">
        <f aca="false">G58-G60</f>
        <v>6246254.67621502</v>
      </c>
      <c r="H61" s="37" t="n">
        <f aca="false">H58-H60</f>
        <v>6177293.88085127</v>
      </c>
      <c r="I61" s="37" t="n">
        <f aca="false">I58-I60</f>
        <v>6104195.43776571</v>
      </c>
      <c r="J61" s="37" t="n">
        <f aca="false">J58-J60</f>
        <v>6026711.08809501</v>
      </c>
      <c r="K61" s="37" t="n">
        <f aca="false">K58-K60</f>
        <v>5944577.67744407</v>
      </c>
      <c r="L61" s="37" t="n">
        <f aca="false">L58-L60</f>
        <v>5857516.26215407</v>
      </c>
      <c r="M61" s="37" t="n">
        <f aca="false">M58-M60</f>
        <v>5765231.16194667</v>
      </c>
      <c r="N61" s="37" t="n">
        <f aca="false">N58-N60</f>
        <v>5667408.95572683</v>
      </c>
      <c r="O61" s="37" t="n">
        <f aca="false">O58-O60</f>
        <v>5563717.4171338</v>
      </c>
      <c r="P61" s="37" t="n">
        <f aca="false">P58-P60</f>
        <v>5453804.38622518</v>
      </c>
      <c r="Q61" s="37" t="n">
        <f aca="false">Q58-Q60</f>
        <v>5337296.57346205</v>
      </c>
      <c r="R61" s="37" t="n">
        <f aca="false">R58-R60</f>
        <v>5213798.29193313</v>
      </c>
      <c r="S61" s="37" t="n">
        <f aca="false">S58-S60</f>
        <v>5082890.11351248</v>
      </c>
      <c r="T61" s="37" t="n">
        <f aca="false">T58-T60</f>
        <v>4944127.44438659</v>
      </c>
      <c r="U61" s="37" t="n">
        <f aca="false">U58-U60</f>
        <v>4797039.01511314</v>
      </c>
      <c r="V61" s="37" t="n">
        <f aca="false">V58-V60</f>
        <v>4641125.28008329</v>
      </c>
      <c r="W61" s="37" t="n">
        <f aca="false">W58-W60</f>
        <v>4475856.72095164</v>
      </c>
    </row>
    <row r="62" customFormat="false" ht="15" hidden="false" customHeight="true" outlineLevel="0" collapsed="false">
      <c r="B62" s="13" t="s">
        <v>812</v>
      </c>
      <c r="C62" s="37" t="n">
        <f aca="false">IF(DebtStrategy="Refinance",NZ_PermLoan*(-PMT(PermRate/12,PermAmort*12,1)*12),12*NZ_NotePI)</f>
        <v>443736.075936642</v>
      </c>
    </row>
  </sheetData>
  <conditionalFormatting sqref="D39:W39">
    <cfRule type="expression" priority="2" aboveAverage="0" equalAverage="0" bottom="0" percent="0" rank="0" text="" dxfId="1">
      <formula>AND(D39&lt;&gt;0,OR(D39&lt;DSCRFloor,D39&gt;DSCRCeil))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3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.43"/>
    <col collapsed="false" customWidth="true" hidden="false" outlineLevel="0" max="2" min="2" style="1" width="44"/>
    <col collapsed="false" customWidth="true" hidden="false" outlineLevel="0" max="22" min="3" style="1" width="13.29"/>
  </cols>
  <sheetData>
    <row r="1" customFormat="false" ht="17.25" hidden="false" customHeight="true" outlineLevel="0" collapsed="false">
      <c r="A1" s="11" t="s">
        <v>829</v>
      </c>
    </row>
    <row r="3" customFormat="false" ht="15" hidden="false" customHeight="true" outlineLevel="0" collapsed="false">
      <c r="B3" s="19" t="s">
        <v>764</v>
      </c>
      <c r="C3" s="58" t="str">
        <f aca="false">"Yr "&amp;1</f>
        <v>Yr 1</v>
      </c>
      <c r="D3" s="58" t="str">
        <f aca="false">"Yr "&amp;2</f>
        <v>Yr 2</v>
      </c>
      <c r="E3" s="58" t="str">
        <f aca="false">"Yr "&amp;3</f>
        <v>Yr 3</v>
      </c>
      <c r="F3" s="58" t="str">
        <f aca="false">"Yr "&amp;4</f>
        <v>Yr 4</v>
      </c>
      <c r="G3" s="58" t="str">
        <f aca="false">"Yr "&amp;5</f>
        <v>Yr 5</v>
      </c>
      <c r="H3" s="58" t="str">
        <f aca="false">"Yr "&amp;6</f>
        <v>Yr 6</v>
      </c>
      <c r="I3" s="58" t="str">
        <f aca="false">"Yr "&amp;7</f>
        <v>Yr 7</v>
      </c>
      <c r="J3" s="58" t="str">
        <f aca="false">"Yr "&amp;8</f>
        <v>Yr 8</v>
      </c>
      <c r="K3" s="58" t="str">
        <f aca="false">"Yr "&amp;9</f>
        <v>Yr 9</v>
      </c>
      <c r="L3" s="58" t="str">
        <f aca="false">"Yr "&amp;10</f>
        <v>Yr 10</v>
      </c>
      <c r="M3" s="58" t="str">
        <f aca="false">"Yr "&amp;11</f>
        <v>Yr 11</v>
      </c>
      <c r="N3" s="58" t="str">
        <f aca="false">"Yr "&amp;12</f>
        <v>Yr 12</v>
      </c>
      <c r="O3" s="58" t="str">
        <f aca="false">"Yr "&amp;13</f>
        <v>Yr 13</v>
      </c>
      <c r="P3" s="58" t="str">
        <f aca="false">"Yr "&amp;14</f>
        <v>Yr 14</v>
      </c>
      <c r="Q3" s="58" t="str">
        <f aca="false">"Yr "&amp;15</f>
        <v>Yr 15</v>
      </c>
      <c r="R3" s="58" t="str">
        <f aca="false">"Yr "&amp;16</f>
        <v>Yr 16</v>
      </c>
      <c r="S3" s="58" t="str">
        <f aca="false">"Yr "&amp;17</f>
        <v>Yr 17</v>
      </c>
      <c r="T3" s="58" t="str">
        <f aca="false">"Yr "&amp;18</f>
        <v>Yr 18</v>
      </c>
      <c r="U3" s="58" t="str">
        <f aca="false">"Yr "&amp;19</f>
        <v>Yr 19</v>
      </c>
      <c r="V3" s="58" t="str">
        <f aca="false">"Yr "&amp;20</f>
        <v>Yr 20</v>
      </c>
    </row>
    <row r="5" customFormat="false" ht="15" hidden="false" customHeight="true" outlineLevel="0" collapsed="false">
      <c r="B5" s="19" t="s">
        <v>814</v>
      </c>
      <c r="C5" s="109" t="n">
        <f aca="false">'NZ - Pro Forma'!D36</f>
        <v>-34279.474847816</v>
      </c>
      <c r="D5" s="109" t="n">
        <f aca="false">'NZ - Pro Forma'!E36</f>
        <v>21388.5092282077</v>
      </c>
      <c r="E5" s="109" t="n">
        <f aca="false">'NZ - Pro Forma'!F36</f>
        <v>17002.0835783312</v>
      </c>
      <c r="F5" s="109" t="n">
        <f aca="false">'NZ - Pro Forma'!G36</f>
        <v>12040.945066497</v>
      </c>
      <c r="G5" s="109" t="n">
        <f aca="false">'NZ - Pro Forma'!H36</f>
        <v>6472.09167391347</v>
      </c>
      <c r="H5" s="109" t="n">
        <f aca="false">'NZ - Pro Forma'!I36</f>
        <v>260.78868148718</v>
      </c>
      <c r="I5" s="109" t="n">
        <f aca="false">'NZ - Pro Forma'!J36</f>
        <v>-7366.13784817339</v>
      </c>
      <c r="J5" s="109" t="n">
        <f aca="false">'NZ - Pro Forma'!K36</f>
        <v>-15819.255595116</v>
      </c>
      <c r="K5" s="109" t="n">
        <f aca="false">'NZ - Pro Forma'!L36</f>
        <v>-25114.599303463</v>
      </c>
      <c r="L5" s="109" t="n">
        <f aca="false">'NZ - Pro Forma'!M36</f>
        <v>-35299.5533129633</v>
      </c>
      <c r="M5" s="109" t="n">
        <f aca="false">'NZ - Pro Forma'!N36</f>
        <v>-46424.0030399985</v>
      </c>
      <c r="N5" s="109" t="n">
        <f aca="false">'NZ - Pro Forma'!O36</f>
        <v>-58540.4701419059</v>
      </c>
      <c r="O5" s="109" t="n">
        <f aca="false">'NZ - Pro Forma'!P36</f>
        <v>-71704.2552571406</v>
      </c>
      <c r="P5" s="109" t="n">
        <f aca="false">'NZ - Pro Forma'!Q36</f>
        <v>-85973.5887581751</v>
      </c>
      <c r="Q5" s="109" t="n">
        <f aca="false">'NZ - Pro Forma'!R36</f>
        <v>-101409.789979679</v>
      </c>
      <c r="R5" s="109" t="n">
        <f aca="false">'NZ - Pro Forma'!S36</f>
        <v>-118077.435411721</v>
      </c>
      <c r="S5" s="109" t="n">
        <f aca="false">'NZ - Pro Forma'!T36</f>
        <v>-136044.536376495</v>
      </c>
      <c r="T5" s="109" t="n">
        <f aca="false">'NZ - Pro Forma'!U36</f>
        <v>-155382.726737591</v>
      </c>
      <c r="U5" s="109" t="n">
        <f aca="false">'NZ - Pro Forma'!V36</f>
        <v>-176167.461223124</v>
      </c>
      <c r="V5" s="109" t="n">
        <f aca="false">'NZ - Pro Forma'!W36</f>
        <v>-198478.224978286</v>
      </c>
    </row>
    <row r="7" customFormat="false" ht="15" hidden="false" customHeight="true" outlineLevel="0" collapsed="false">
      <c r="B7" s="13" t="s">
        <v>815</v>
      </c>
      <c r="C7" s="18" t="n">
        <f aca="false">MIN(C17,MAX(0,C5))</f>
        <v>0</v>
      </c>
      <c r="D7" s="18" t="n">
        <f aca="false">MIN(D17,MAX(0,D5))</f>
        <v>21388.5092282077</v>
      </c>
      <c r="E7" s="18" t="n">
        <f aca="false">MIN(E17,MAX(0,E5))</f>
        <v>17002.0835783312</v>
      </c>
      <c r="F7" s="18" t="n">
        <f aca="false">MIN(F17,MAX(0,F5))</f>
        <v>12040.945066497</v>
      </c>
      <c r="G7" s="18" t="n">
        <f aca="false">MIN(G17,MAX(0,G5))</f>
        <v>6472.09167391347</v>
      </c>
      <c r="H7" s="18" t="n">
        <f aca="false">MIN(H17,MAX(0,H5))</f>
        <v>260.78868148718</v>
      </c>
      <c r="I7" s="18" t="n">
        <f aca="false">MIN(I17,MAX(0,I5))</f>
        <v>0</v>
      </c>
      <c r="J7" s="18" t="n">
        <f aca="false">MIN(J17,MAX(0,J5))</f>
        <v>0</v>
      </c>
      <c r="K7" s="18" t="n">
        <f aca="false">MIN(K17,MAX(0,K5))</f>
        <v>0</v>
      </c>
      <c r="L7" s="18" t="n">
        <f aca="false">MIN(L17,MAX(0,L5))</f>
        <v>0</v>
      </c>
      <c r="M7" s="18" t="n">
        <f aca="false">MIN(M17,MAX(0,M5))</f>
        <v>0</v>
      </c>
      <c r="N7" s="18" t="n">
        <f aca="false">MIN(N17,MAX(0,N5))</f>
        <v>0</v>
      </c>
      <c r="O7" s="18" t="n">
        <f aca="false">MIN(O17,MAX(0,O5))</f>
        <v>0</v>
      </c>
      <c r="P7" s="18" t="n">
        <f aca="false">MIN(P17,MAX(0,P5))</f>
        <v>0</v>
      </c>
      <c r="Q7" s="18" t="n">
        <f aca="false">MIN(Q17,MAX(0,Q5))</f>
        <v>0</v>
      </c>
      <c r="R7" s="18" t="n">
        <f aca="false">MIN(R17,MAX(0,R5))</f>
        <v>0</v>
      </c>
      <c r="S7" s="18" t="n">
        <f aca="false">MIN(S17,MAX(0,S5))</f>
        <v>0</v>
      </c>
      <c r="T7" s="18" t="n">
        <f aca="false">MIN(T17,MAX(0,T5))</f>
        <v>0</v>
      </c>
      <c r="U7" s="18" t="n">
        <f aca="false">MIN(U17,MAX(0,U5))</f>
        <v>0</v>
      </c>
      <c r="V7" s="18" t="n">
        <f aca="false">MIN(V17,MAX(0,V5))</f>
        <v>0</v>
      </c>
    </row>
    <row r="8" customFormat="false" ht="15" hidden="false" customHeight="true" outlineLevel="0" collapsed="false">
      <c r="B8" s="13" t="s">
        <v>816</v>
      </c>
      <c r="C8" s="18" t="n">
        <f aca="false">MIN(C23,MAX(0,C5)-C7)</f>
        <v>0</v>
      </c>
      <c r="D8" s="18" t="n">
        <f aca="false">MIN(D23,MAX(0,D5)-D7)</f>
        <v>0</v>
      </c>
      <c r="E8" s="18" t="n">
        <f aca="false">MIN(E23,MAX(0,E5)-E7)</f>
        <v>0</v>
      </c>
      <c r="F8" s="18" t="n">
        <f aca="false">MIN(F23,MAX(0,F5)-F7)</f>
        <v>0</v>
      </c>
      <c r="G8" s="18" t="n">
        <f aca="false">MIN(G23,MAX(0,G5)-G7)</f>
        <v>0</v>
      </c>
      <c r="H8" s="18" t="n">
        <f aca="false">MIN(H23,MAX(0,H5)-H7)</f>
        <v>0</v>
      </c>
      <c r="I8" s="18" t="n">
        <f aca="false">MIN(I23,MAX(0,I5)-I7)</f>
        <v>0</v>
      </c>
      <c r="J8" s="18" t="n">
        <f aca="false">MIN(J23,MAX(0,J5)-J7)</f>
        <v>0</v>
      </c>
      <c r="K8" s="18" t="n">
        <f aca="false">MIN(K23,MAX(0,K5)-K7)</f>
        <v>0</v>
      </c>
      <c r="L8" s="18" t="n">
        <f aca="false">MIN(L23,MAX(0,L5)-L7)</f>
        <v>0</v>
      </c>
      <c r="M8" s="18" t="n">
        <f aca="false">MIN(M23,MAX(0,M5)-M7)</f>
        <v>0</v>
      </c>
      <c r="N8" s="18" t="n">
        <f aca="false">MIN(N23,MAX(0,N5)-N7)</f>
        <v>0</v>
      </c>
      <c r="O8" s="18" t="n">
        <f aca="false">MIN(O23,MAX(0,O5)-O7)</f>
        <v>0</v>
      </c>
      <c r="P8" s="18" t="n">
        <f aca="false">MIN(P23,MAX(0,P5)-P7)</f>
        <v>0</v>
      </c>
      <c r="Q8" s="18" t="n">
        <f aca="false">MIN(Q23,MAX(0,Q5)-Q7)</f>
        <v>0</v>
      </c>
      <c r="R8" s="18" t="n">
        <f aca="false">MIN(R23,MAX(0,R5)-R7)</f>
        <v>0</v>
      </c>
      <c r="S8" s="18" t="n">
        <f aca="false">MIN(S23,MAX(0,S5)-S7)</f>
        <v>0</v>
      </c>
      <c r="T8" s="18" t="n">
        <f aca="false">MIN(T23,MAX(0,T5)-T7)</f>
        <v>0</v>
      </c>
      <c r="U8" s="18" t="n">
        <f aca="false">MIN(U23,MAX(0,U5)-U7)</f>
        <v>0</v>
      </c>
      <c r="V8" s="18" t="n">
        <f aca="false">MIN(V23,MAX(0,V5)-V7)</f>
        <v>0</v>
      </c>
    </row>
    <row r="9" customFormat="false" ht="15" hidden="false" customHeight="true" outlineLevel="0" collapsed="false">
      <c r="B9" s="13" t="s">
        <v>817</v>
      </c>
      <c r="C9" s="18" t="n">
        <f aca="false">MIN(MAX(0,C33-C29),MAX(0,C5)-C7-C8)</f>
        <v>0</v>
      </c>
      <c r="D9" s="18" t="n">
        <f aca="false">MIN(MAX(0,D33-D29),MAX(0,D5)-D7-D8)</f>
        <v>0</v>
      </c>
      <c r="E9" s="18" t="n">
        <f aca="false">MIN(MAX(0,E33-E29),MAX(0,E5)-E7-E8)</f>
        <v>0</v>
      </c>
      <c r="F9" s="18" t="n">
        <f aca="false">MIN(MAX(0,F33-F29),MAX(0,F5)-F7-F8)</f>
        <v>0</v>
      </c>
      <c r="G9" s="18" t="n">
        <f aca="false">MIN(MAX(0,G33-G29),MAX(0,G5)-G7-G8)</f>
        <v>0</v>
      </c>
      <c r="H9" s="18" t="n">
        <f aca="false">MIN(MAX(0,H33-H29),MAX(0,H5)-H7-H8)</f>
        <v>0</v>
      </c>
      <c r="I9" s="18" t="n">
        <f aca="false">MIN(MAX(0,I33-I29),MAX(0,I5)-I7-I8)</f>
        <v>0</v>
      </c>
      <c r="J9" s="18" t="n">
        <f aca="false">MIN(MAX(0,J33-J29),MAX(0,J5)-J7-J8)</f>
        <v>0</v>
      </c>
      <c r="K9" s="18" t="n">
        <f aca="false">MIN(MAX(0,K33-K29),MAX(0,K5)-K7-K8)</f>
        <v>0</v>
      </c>
      <c r="L9" s="18" t="n">
        <f aca="false">MIN(MAX(0,L33-L29),MAX(0,L5)-L7-L8)</f>
        <v>0</v>
      </c>
      <c r="M9" s="18" t="n">
        <f aca="false">MIN(MAX(0,M33-M29),MAX(0,M5)-M7-M8)</f>
        <v>0</v>
      </c>
      <c r="N9" s="18" t="n">
        <f aca="false">MIN(MAX(0,N33-N29),MAX(0,N5)-N7-N8)</f>
        <v>0</v>
      </c>
      <c r="O9" s="18" t="n">
        <f aca="false">MIN(MAX(0,O33-O29),MAX(0,O5)-O7-O8)</f>
        <v>0</v>
      </c>
      <c r="P9" s="18" t="n">
        <f aca="false">MIN(MAX(0,P33-P29),MAX(0,P5)-P7-P8)</f>
        <v>0</v>
      </c>
      <c r="Q9" s="18" t="n">
        <f aca="false">MIN(MAX(0,Q33-Q29),MAX(0,Q5)-Q7-Q8)</f>
        <v>0</v>
      </c>
      <c r="R9" s="18" t="n">
        <f aca="false">MIN(MAX(0,R33-R29),MAX(0,R5)-R7-R8)</f>
        <v>0</v>
      </c>
      <c r="S9" s="18" t="n">
        <f aca="false">MIN(MAX(0,S33-S29),MAX(0,S5)-S7-S8)</f>
        <v>0</v>
      </c>
      <c r="T9" s="18" t="n">
        <f aca="false">MIN(MAX(0,T33-T29),MAX(0,T5)-T7-T8)</f>
        <v>0</v>
      </c>
      <c r="U9" s="18" t="n">
        <f aca="false">MIN(MAX(0,U33-U29),MAX(0,U5)-U7-U8)</f>
        <v>0</v>
      </c>
      <c r="V9" s="18" t="n">
        <f aca="false">MIN(MAX(0,V33-V29),MAX(0,V5)-V7-V8)</f>
        <v>0</v>
      </c>
    </row>
    <row r="11" customFormat="false" ht="15" hidden="false" customHeight="true" outlineLevel="0" collapsed="false">
      <c r="B11" s="19" t="s">
        <v>818</v>
      </c>
      <c r="C11" s="42" t="n">
        <f aca="false">C7+C8+C9</f>
        <v>0</v>
      </c>
      <c r="D11" s="42" t="n">
        <f aca="false">D7+D8+D9</f>
        <v>21388.5092282077</v>
      </c>
      <c r="E11" s="42" t="n">
        <f aca="false">E7+E8+E9</f>
        <v>17002.0835783312</v>
      </c>
      <c r="F11" s="42" t="n">
        <f aca="false">F7+F8+F9</f>
        <v>12040.945066497</v>
      </c>
      <c r="G11" s="42" t="n">
        <f aca="false">G7+G8+G9</f>
        <v>6472.09167391347</v>
      </c>
      <c r="H11" s="42" t="n">
        <f aca="false">H7+H8+H9</f>
        <v>260.78868148718</v>
      </c>
      <c r="I11" s="42" t="n">
        <f aca="false">I7+I8+I9</f>
        <v>0</v>
      </c>
      <c r="J11" s="42" t="n">
        <f aca="false">J7+J8+J9</f>
        <v>0</v>
      </c>
      <c r="K11" s="42" t="n">
        <f aca="false">K7+K8+K9</f>
        <v>0</v>
      </c>
      <c r="L11" s="42" t="n">
        <f aca="false">L7+L8+L9</f>
        <v>0</v>
      </c>
      <c r="M11" s="42" t="n">
        <f aca="false">M7+M8+M9</f>
        <v>0</v>
      </c>
      <c r="N11" s="42" t="n">
        <f aca="false">N7+N8+N9</f>
        <v>0</v>
      </c>
      <c r="O11" s="42" t="n">
        <f aca="false">O7+O8+O9</f>
        <v>0</v>
      </c>
      <c r="P11" s="42" t="n">
        <f aca="false">P7+P8+P9</f>
        <v>0</v>
      </c>
      <c r="Q11" s="42" t="n">
        <f aca="false">Q7+Q8+Q9</f>
        <v>0</v>
      </c>
      <c r="R11" s="42" t="n">
        <f aca="false">R7+R8+R9</f>
        <v>0</v>
      </c>
      <c r="S11" s="42" t="n">
        <f aca="false">S7+S8+S9</f>
        <v>0</v>
      </c>
      <c r="T11" s="42" t="n">
        <f aca="false">T7+T8+T9</f>
        <v>0</v>
      </c>
      <c r="U11" s="42" t="n">
        <f aca="false">U7+U8+U9</f>
        <v>0</v>
      </c>
      <c r="V11" s="42" t="n">
        <f aca="false">V7+V8+V9</f>
        <v>0</v>
      </c>
    </row>
    <row r="13" customFormat="false" ht="15" hidden="false" customHeight="true" outlineLevel="0" collapsed="false">
      <c r="B13" s="19" t="s">
        <v>819</v>
      </c>
      <c r="C13" s="42" t="n">
        <f aca="false">C5-C11</f>
        <v>-34279.474847816</v>
      </c>
      <c r="D13" s="42" t="n">
        <f aca="false">D5-D11</f>
        <v>0</v>
      </c>
      <c r="E13" s="42" t="n">
        <f aca="false">E5-E11</f>
        <v>0</v>
      </c>
      <c r="F13" s="42" t="n">
        <f aca="false">F5-F11</f>
        <v>0</v>
      </c>
      <c r="G13" s="42" t="n">
        <f aca="false">G5-G11</f>
        <v>0</v>
      </c>
      <c r="H13" s="42" t="n">
        <f aca="false">H5-H11</f>
        <v>0</v>
      </c>
      <c r="I13" s="42" t="n">
        <f aca="false">I5-I11</f>
        <v>-7366.13784817339</v>
      </c>
      <c r="J13" s="42" t="n">
        <f aca="false">J5-J11</f>
        <v>-15819.255595116</v>
      </c>
      <c r="K13" s="42" t="n">
        <f aca="false">K5-K11</f>
        <v>-25114.599303463</v>
      </c>
      <c r="L13" s="42" t="n">
        <f aca="false">L5-L11</f>
        <v>-35299.5533129633</v>
      </c>
      <c r="M13" s="42" t="n">
        <f aca="false">M5-M11</f>
        <v>-46424.0030399985</v>
      </c>
      <c r="N13" s="42" t="n">
        <f aca="false">N5-N11</f>
        <v>-58540.4701419059</v>
      </c>
      <c r="O13" s="42" t="n">
        <f aca="false">O5-O11</f>
        <v>-71704.2552571406</v>
      </c>
      <c r="P13" s="42" t="n">
        <f aca="false">P5-P11</f>
        <v>-85973.5887581751</v>
      </c>
      <c r="Q13" s="42" t="n">
        <f aca="false">Q5-Q11</f>
        <v>-101409.789979679</v>
      </c>
      <c r="R13" s="42" t="n">
        <f aca="false">R5-R11</f>
        <v>-118077.435411721</v>
      </c>
      <c r="S13" s="42" t="n">
        <f aca="false">S5-S11</f>
        <v>-136044.536376495</v>
      </c>
      <c r="T13" s="42" t="n">
        <f aca="false">T5-T11</f>
        <v>-155382.726737591</v>
      </c>
      <c r="U13" s="42" t="n">
        <f aca="false">U5-U11</f>
        <v>-176167.461223124</v>
      </c>
      <c r="V13" s="42" t="n">
        <f aca="false">V5-V11</f>
        <v>-198478.224978286</v>
      </c>
    </row>
    <row r="16" customFormat="false" ht="15" hidden="false" customHeight="true" outlineLevel="0" collapsed="false">
      <c r="B16" s="19" t="s">
        <v>820</v>
      </c>
    </row>
    <row r="17" customFormat="false" ht="15" hidden="false" customHeight="true" outlineLevel="0" collapsed="false">
      <c r="B17" s="13" t="s">
        <v>808</v>
      </c>
      <c r="C17" s="109" t="n">
        <f aca="false">'Sources &amp; Uses'!D10</f>
        <v>1010943.3984</v>
      </c>
      <c r="D17" s="18" t="n">
        <f aca="false">C19</f>
        <v>1010943.3984</v>
      </c>
      <c r="E17" s="18" t="n">
        <f aca="false">D19</f>
        <v>989554.889171792</v>
      </c>
      <c r="F17" s="18" t="n">
        <f aca="false">E19</f>
        <v>972552.80559346</v>
      </c>
      <c r="G17" s="18" t="n">
        <f aca="false">F19</f>
        <v>960511.860526963</v>
      </c>
      <c r="H17" s="18" t="n">
        <f aca="false">G19</f>
        <v>954039.76885305</v>
      </c>
      <c r="I17" s="18" t="n">
        <f aca="false">H19</f>
        <v>953778.980171563</v>
      </c>
      <c r="J17" s="18" t="n">
        <f aca="false">I19</f>
        <v>953778.980171563</v>
      </c>
      <c r="K17" s="18" t="n">
        <f aca="false">J19</f>
        <v>953778.980171563</v>
      </c>
      <c r="L17" s="18" t="n">
        <f aca="false">K19</f>
        <v>953778.980171563</v>
      </c>
      <c r="M17" s="18" t="n">
        <f aca="false">L19</f>
        <v>953778.980171563</v>
      </c>
      <c r="N17" s="18" t="n">
        <f aca="false">M19</f>
        <v>953778.980171563</v>
      </c>
      <c r="O17" s="18" t="n">
        <f aca="false">N19</f>
        <v>953778.980171563</v>
      </c>
      <c r="P17" s="18" t="n">
        <f aca="false">O19</f>
        <v>953778.980171563</v>
      </c>
      <c r="Q17" s="18" t="n">
        <f aca="false">P19</f>
        <v>953778.980171563</v>
      </c>
      <c r="R17" s="18" t="n">
        <f aca="false">Q19</f>
        <v>953778.980171563</v>
      </c>
      <c r="S17" s="18" t="n">
        <f aca="false">R19</f>
        <v>953778.980171563</v>
      </c>
      <c r="T17" s="18" t="n">
        <f aca="false">S19</f>
        <v>953778.980171563</v>
      </c>
      <c r="U17" s="18" t="n">
        <f aca="false">T19</f>
        <v>953778.980171563</v>
      </c>
      <c r="V17" s="18" t="n">
        <f aca="false">U19</f>
        <v>953778.980171563</v>
      </c>
    </row>
    <row r="18" customFormat="false" ht="15" hidden="false" customHeight="true" outlineLevel="0" collapsed="false">
      <c r="B18" s="13" t="s">
        <v>821</v>
      </c>
      <c r="C18" s="18" t="n">
        <f aca="false">C7</f>
        <v>0</v>
      </c>
      <c r="D18" s="18" t="n">
        <f aca="false">D7</f>
        <v>21388.5092282077</v>
      </c>
      <c r="E18" s="18" t="n">
        <f aca="false">E7</f>
        <v>17002.0835783312</v>
      </c>
      <c r="F18" s="18" t="n">
        <f aca="false">F7</f>
        <v>12040.945066497</v>
      </c>
      <c r="G18" s="18" t="n">
        <f aca="false">G7</f>
        <v>6472.09167391347</v>
      </c>
      <c r="H18" s="18" t="n">
        <f aca="false">H7</f>
        <v>260.78868148718</v>
      </c>
      <c r="I18" s="18" t="n">
        <f aca="false">I7</f>
        <v>0</v>
      </c>
      <c r="J18" s="18" t="n">
        <f aca="false">J7</f>
        <v>0</v>
      </c>
      <c r="K18" s="18" t="n">
        <f aca="false">K7</f>
        <v>0</v>
      </c>
      <c r="L18" s="18" t="n">
        <f aca="false">L7</f>
        <v>0</v>
      </c>
      <c r="M18" s="18" t="n">
        <f aca="false">M7</f>
        <v>0</v>
      </c>
      <c r="N18" s="18" t="n">
        <f aca="false">N7</f>
        <v>0</v>
      </c>
      <c r="O18" s="18" t="n">
        <f aca="false">O7</f>
        <v>0</v>
      </c>
      <c r="P18" s="18" t="n">
        <f aca="false">P7</f>
        <v>0</v>
      </c>
      <c r="Q18" s="18" t="n">
        <f aca="false">Q7</f>
        <v>0</v>
      </c>
      <c r="R18" s="18" t="n">
        <f aca="false">R7</f>
        <v>0</v>
      </c>
      <c r="S18" s="18" t="n">
        <f aca="false">S7</f>
        <v>0</v>
      </c>
      <c r="T18" s="18" t="n">
        <f aca="false">T7</f>
        <v>0</v>
      </c>
      <c r="U18" s="18" t="n">
        <f aca="false">U7</f>
        <v>0</v>
      </c>
      <c r="V18" s="18" t="n">
        <f aca="false">V7</f>
        <v>0</v>
      </c>
    </row>
    <row r="19" customFormat="false" ht="15" hidden="false" customHeight="true" outlineLevel="0" collapsed="false">
      <c r="B19" s="13" t="s">
        <v>811</v>
      </c>
      <c r="C19" s="18" t="n">
        <f aca="false">C17-C18</f>
        <v>1010943.3984</v>
      </c>
      <c r="D19" s="18" t="n">
        <f aca="false">D17-D18</f>
        <v>989554.889171792</v>
      </c>
      <c r="E19" s="18" t="n">
        <f aca="false">E17-E18</f>
        <v>972552.80559346</v>
      </c>
      <c r="F19" s="18" t="n">
        <f aca="false">F17-F18</f>
        <v>960511.860526963</v>
      </c>
      <c r="G19" s="18" t="n">
        <f aca="false">G17-G18</f>
        <v>954039.76885305</v>
      </c>
      <c r="H19" s="18" t="n">
        <f aca="false">H17-H18</f>
        <v>953778.980171563</v>
      </c>
      <c r="I19" s="18" t="n">
        <f aca="false">I17-I18</f>
        <v>953778.980171563</v>
      </c>
      <c r="J19" s="18" t="n">
        <f aca="false">J17-J18</f>
        <v>953778.980171563</v>
      </c>
      <c r="K19" s="18" t="n">
        <f aca="false">K17-K18</f>
        <v>953778.980171563</v>
      </c>
      <c r="L19" s="18" t="n">
        <f aca="false">L17-L18</f>
        <v>953778.980171563</v>
      </c>
      <c r="M19" s="18" t="n">
        <f aca="false">M17-M18</f>
        <v>953778.980171563</v>
      </c>
      <c r="N19" s="18" t="n">
        <f aca="false">N17-N18</f>
        <v>953778.980171563</v>
      </c>
      <c r="O19" s="18" t="n">
        <f aca="false">O17-O18</f>
        <v>953778.980171563</v>
      </c>
      <c r="P19" s="18" t="n">
        <f aca="false">P17-P18</f>
        <v>953778.980171563</v>
      </c>
      <c r="Q19" s="18" t="n">
        <f aca="false">Q17-Q18</f>
        <v>953778.980171563</v>
      </c>
      <c r="R19" s="18" t="n">
        <f aca="false">R17-R18</f>
        <v>953778.980171563</v>
      </c>
      <c r="S19" s="18" t="n">
        <f aca="false">S17-S18</f>
        <v>953778.980171563</v>
      </c>
      <c r="T19" s="18" t="n">
        <f aca="false">T17-T18</f>
        <v>953778.980171563</v>
      </c>
      <c r="U19" s="18" t="n">
        <f aca="false">U17-U18</f>
        <v>953778.980171563</v>
      </c>
      <c r="V19" s="18" t="n">
        <f aca="false">V17-V18</f>
        <v>953778.980171563</v>
      </c>
    </row>
    <row r="22" customFormat="false" ht="15" hidden="false" customHeight="true" outlineLevel="0" collapsed="false">
      <c r="B22" s="19" t="s">
        <v>822</v>
      </c>
    </row>
    <row r="23" customFormat="false" ht="15" hidden="false" customHeight="true" outlineLevel="0" collapsed="false">
      <c r="B23" s="13" t="s">
        <v>808</v>
      </c>
      <c r="C23" s="109" t="n">
        <f aca="false">'Sources &amp; Uses'!D12</f>
        <v>148039.110889174</v>
      </c>
      <c r="D23" s="18" t="n">
        <f aca="false">C25</f>
        <v>148039.110889174</v>
      </c>
      <c r="E23" s="18" t="n">
        <f aca="false">D25</f>
        <v>148039.110889174</v>
      </c>
      <c r="F23" s="18" t="n">
        <f aca="false">E25</f>
        <v>148039.110889174</v>
      </c>
      <c r="G23" s="18" t="n">
        <f aca="false">F25</f>
        <v>148039.110889174</v>
      </c>
      <c r="H23" s="18" t="n">
        <f aca="false">G25</f>
        <v>148039.110889174</v>
      </c>
      <c r="I23" s="18" t="n">
        <f aca="false">H25</f>
        <v>148039.110889174</v>
      </c>
      <c r="J23" s="18" t="n">
        <f aca="false">I25</f>
        <v>148039.110889174</v>
      </c>
      <c r="K23" s="18" t="n">
        <f aca="false">J25</f>
        <v>148039.110889174</v>
      </c>
      <c r="L23" s="18" t="n">
        <f aca="false">K25</f>
        <v>148039.110889174</v>
      </c>
      <c r="M23" s="18" t="n">
        <f aca="false">L25</f>
        <v>148039.110889174</v>
      </c>
      <c r="N23" s="18" t="n">
        <f aca="false">M25</f>
        <v>148039.110889174</v>
      </c>
      <c r="O23" s="18" t="n">
        <f aca="false">N25</f>
        <v>148039.110889174</v>
      </c>
      <c r="P23" s="18" t="n">
        <f aca="false">O25</f>
        <v>148039.110889174</v>
      </c>
      <c r="Q23" s="18" t="n">
        <f aca="false">P25</f>
        <v>148039.110889174</v>
      </c>
      <c r="R23" s="18" t="n">
        <f aca="false">Q25</f>
        <v>148039.110889174</v>
      </c>
      <c r="S23" s="18" t="n">
        <f aca="false">R25</f>
        <v>148039.110889174</v>
      </c>
      <c r="T23" s="18" t="n">
        <f aca="false">S25</f>
        <v>148039.110889174</v>
      </c>
      <c r="U23" s="18" t="n">
        <f aca="false">T25</f>
        <v>148039.110889174</v>
      </c>
      <c r="V23" s="18" t="n">
        <f aca="false">U25</f>
        <v>148039.110889174</v>
      </c>
    </row>
    <row r="24" customFormat="false" ht="15" hidden="false" customHeight="true" outlineLevel="0" collapsed="false">
      <c r="B24" s="13" t="s">
        <v>821</v>
      </c>
      <c r="C24" s="18" t="n">
        <f aca="false">C8</f>
        <v>0</v>
      </c>
      <c r="D24" s="18" t="n">
        <f aca="false">D8</f>
        <v>0</v>
      </c>
      <c r="E24" s="18" t="n">
        <f aca="false">E8</f>
        <v>0</v>
      </c>
      <c r="F24" s="18" t="n">
        <f aca="false">F8</f>
        <v>0</v>
      </c>
      <c r="G24" s="18" t="n">
        <f aca="false">G8</f>
        <v>0</v>
      </c>
      <c r="H24" s="18" t="n">
        <f aca="false">H8</f>
        <v>0</v>
      </c>
      <c r="I24" s="18" t="n">
        <f aca="false">I8</f>
        <v>0</v>
      </c>
      <c r="J24" s="18" t="n">
        <f aca="false">J8</f>
        <v>0</v>
      </c>
      <c r="K24" s="18" t="n">
        <f aca="false">K8</f>
        <v>0</v>
      </c>
      <c r="L24" s="18" t="n">
        <f aca="false">L8</f>
        <v>0</v>
      </c>
      <c r="M24" s="18" t="n">
        <f aca="false">M8</f>
        <v>0</v>
      </c>
      <c r="N24" s="18" t="n">
        <f aca="false">N8</f>
        <v>0</v>
      </c>
      <c r="O24" s="18" t="n">
        <f aca="false">O8</f>
        <v>0</v>
      </c>
      <c r="P24" s="18" t="n">
        <f aca="false">P8</f>
        <v>0</v>
      </c>
      <c r="Q24" s="18" t="n">
        <f aca="false">Q8</f>
        <v>0</v>
      </c>
      <c r="R24" s="18" t="n">
        <f aca="false">R8</f>
        <v>0</v>
      </c>
      <c r="S24" s="18" t="n">
        <f aca="false">S8</f>
        <v>0</v>
      </c>
      <c r="T24" s="18" t="n">
        <f aca="false">T8</f>
        <v>0</v>
      </c>
      <c r="U24" s="18" t="n">
        <f aca="false">U8</f>
        <v>0</v>
      </c>
      <c r="V24" s="18" t="n">
        <f aca="false">V8</f>
        <v>0</v>
      </c>
    </row>
    <row r="25" customFormat="false" ht="15" hidden="false" customHeight="true" outlineLevel="0" collapsed="false">
      <c r="B25" s="13" t="s">
        <v>811</v>
      </c>
      <c r="C25" s="18" t="n">
        <f aca="false">C23-C24</f>
        <v>148039.110889174</v>
      </c>
      <c r="D25" s="18" t="n">
        <f aca="false">D23-D24</f>
        <v>148039.110889174</v>
      </c>
      <c r="E25" s="18" t="n">
        <f aca="false">E23-E24</f>
        <v>148039.110889174</v>
      </c>
      <c r="F25" s="18" t="n">
        <f aca="false">F23-F24</f>
        <v>148039.110889174</v>
      </c>
      <c r="G25" s="18" t="n">
        <f aca="false">G23-G24</f>
        <v>148039.110889174</v>
      </c>
      <c r="H25" s="18" t="n">
        <f aca="false">H23-H24</f>
        <v>148039.110889174</v>
      </c>
      <c r="I25" s="18" t="n">
        <f aca="false">I23-I24</f>
        <v>148039.110889174</v>
      </c>
      <c r="J25" s="18" t="n">
        <f aca="false">J23-J24</f>
        <v>148039.110889174</v>
      </c>
      <c r="K25" s="18" t="n">
        <f aca="false">K23-K24</f>
        <v>148039.110889174</v>
      </c>
      <c r="L25" s="18" t="n">
        <f aca="false">L23-L24</f>
        <v>148039.110889174</v>
      </c>
      <c r="M25" s="18" t="n">
        <f aca="false">M23-M24</f>
        <v>148039.110889174</v>
      </c>
      <c r="N25" s="18" t="n">
        <f aca="false">N23-N24</f>
        <v>148039.110889174</v>
      </c>
      <c r="O25" s="18" t="n">
        <f aca="false">O23-O24</f>
        <v>148039.110889174</v>
      </c>
      <c r="P25" s="18" t="n">
        <f aca="false">P23-P24</f>
        <v>148039.110889174</v>
      </c>
      <c r="Q25" s="18" t="n">
        <f aca="false">Q23-Q24</f>
        <v>148039.110889174</v>
      </c>
      <c r="R25" s="18" t="n">
        <f aca="false">R23-R24</f>
        <v>148039.110889174</v>
      </c>
      <c r="S25" s="18" t="n">
        <f aca="false">S23-S24</f>
        <v>148039.110889174</v>
      </c>
      <c r="T25" s="18" t="n">
        <f aca="false">T23-T24</f>
        <v>148039.110889174</v>
      </c>
      <c r="U25" s="18" t="n">
        <f aca="false">U23-U24</f>
        <v>148039.110889174</v>
      </c>
      <c r="V25" s="18" t="n">
        <f aca="false">V23-V24</f>
        <v>148039.110889174</v>
      </c>
    </row>
    <row r="28" customFormat="false" ht="15" hidden="false" customHeight="true" outlineLevel="0" collapsed="false">
      <c r="B28" s="19" t="s">
        <v>823</v>
      </c>
    </row>
    <row r="29" customFormat="false" ht="15" hidden="false" customHeight="true" outlineLevel="0" collapsed="false">
      <c r="B29" s="13" t="s">
        <v>808</v>
      </c>
      <c r="C29" s="109" t="n">
        <f aca="false">'Sources &amp; Uses'!D23</f>
        <v>451806.22519692</v>
      </c>
      <c r="D29" s="18" t="n">
        <f aca="false">C32</f>
        <v>417526.750349104</v>
      </c>
      <c r="E29" s="18" t="n">
        <f aca="false">D32</f>
        <v>417526.750349104</v>
      </c>
      <c r="F29" s="18" t="n">
        <f aca="false">E32</f>
        <v>417526.750349104</v>
      </c>
      <c r="G29" s="18" t="n">
        <f aca="false">F32</f>
        <v>417526.750349104</v>
      </c>
      <c r="H29" s="18" t="n">
        <f aca="false">G32</f>
        <v>417526.750349104</v>
      </c>
      <c r="I29" s="18" t="n">
        <f aca="false">H32</f>
        <v>417526.750349104</v>
      </c>
      <c r="J29" s="18" t="n">
        <f aca="false">I32</f>
        <v>410160.61250093</v>
      </c>
      <c r="K29" s="18" t="n">
        <f aca="false">J32</f>
        <v>394341.356905814</v>
      </c>
      <c r="L29" s="18" t="n">
        <f aca="false">K32</f>
        <v>369226.757602351</v>
      </c>
      <c r="M29" s="18" t="n">
        <f aca="false">L32</f>
        <v>333927.204289388</v>
      </c>
      <c r="N29" s="18" t="n">
        <f aca="false">M32</f>
        <v>287503.201249389</v>
      </c>
      <c r="O29" s="18" t="n">
        <f aca="false">N32</f>
        <v>228962.731107483</v>
      </c>
      <c r="P29" s="18" t="n">
        <f aca="false">O32</f>
        <v>157258.475850343</v>
      </c>
      <c r="Q29" s="18" t="n">
        <f aca="false">P32</f>
        <v>71284.8870921678</v>
      </c>
      <c r="R29" s="18" t="n">
        <f aca="false">Q32</f>
        <v>0</v>
      </c>
      <c r="S29" s="18" t="n">
        <f aca="false">R32</f>
        <v>0</v>
      </c>
      <c r="T29" s="18" t="n">
        <f aca="false">S32</f>
        <v>0</v>
      </c>
      <c r="U29" s="18" t="n">
        <f aca="false">T32</f>
        <v>0</v>
      </c>
      <c r="V29" s="18" t="n">
        <f aca="false">U32</f>
        <v>0</v>
      </c>
    </row>
    <row r="30" customFormat="false" ht="15" hidden="false" customHeight="true" outlineLevel="0" collapsed="false">
      <c r="B30" s="13" t="s">
        <v>824</v>
      </c>
      <c r="C30" s="18" t="n">
        <f aca="false">C9</f>
        <v>0</v>
      </c>
      <c r="D30" s="18" t="n">
        <f aca="false">D9</f>
        <v>0</v>
      </c>
      <c r="E30" s="18" t="n">
        <f aca="false">E9</f>
        <v>0</v>
      </c>
      <c r="F30" s="18" t="n">
        <f aca="false">F9</f>
        <v>0</v>
      </c>
      <c r="G30" s="18" t="n">
        <f aca="false">G9</f>
        <v>0</v>
      </c>
      <c r="H30" s="18" t="n">
        <f aca="false">H9</f>
        <v>0</v>
      </c>
      <c r="I30" s="18" t="n">
        <f aca="false">I9</f>
        <v>0</v>
      </c>
      <c r="J30" s="18" t="n">
        <f aca="false">J9</f>
        <v>0</v>
      </c>
      <c r="K30" s="18" t="n">
        <f aca="false">K9</f>
        <v>0</v>
      </c>
      <c r="L30" s="18" t="n">
        <f aca="false">L9</f>
        <v>0</v>
      </c>
      <c r="M30" s="18" t="n">
        <f aca="false">M9</f>
        <v>0</v>
      </c>
      <c r="N30" s="18" t="n">
        <f aca="false">N9</f>
        <v>0</v>
      </c>
      <c r="O30" s="18" t="n">
        <f aca="false">O9</f>
        <v>0</v>
      </c>
      <c r="P30" s="18" t="n">
        <f aca="false">P9</f>
        <v>0</v>
      </c>
      <c r="Q30" s="18" t="n">
        <f aca="false">Q9</f>
        <v>0</v>
      </c>
      <c r="R30" s="18" t="n">
        <f aca="false">R9</f>
        <v>0</v>
      </c>
      <c r="S30" s="18" t="n">
        <f aca="false">S9</f>
        <v>0</v>
      </c>
      <c r="T30" s="18" t="n">
        <f aca="false">T9</f>
        <v>0</v>
      </c>
      <c r="U30" s="18" t="n">
        <f aca="false">U9</f>
        <v>0</v>
      </c>
      <c r="V30" s="18" t="n">
        <f aca="false">V9</f>
        <v>0</v>
      </c>
    </row>
    <row r="31" customFormat="false" ht="15" hidden="false" customHeight="true" outlineLevel="0" collapsed="false">
      <c r="B31" s="13" t="s">
        <v>825</v>
      </c>
      <c r="C31" s="18" t="n">
        <f aca="false">MIN(C29,MAX(0,-C5))</f>
        <v>34279.474847816</v>
      </c>
      <c r="D31" s="18" t="n">
        <f aca="false">MIN(D29,MAX(0,-D5))</f>
        <v>0</v>
      </c>
      <c r="E31" s="18" t="n">
        <f aca="false">MIN(E29,MAX(0,-E5))</f>
        <v>0</v>
      </c>
      <c r="F31" s="18" t="n">
        <f aca="false">MIN(F29,MAX(0,-F5))</f>
        <v>0</v>
      </c>
      <c r="G31" s="18" t="n">
        <f aca="false">MIN(G29,MAX(0,-G5))</f>
        <v>0</v>
      </c>
      <c r="H31" s="18" t="n">
        <f aca="false">MIN(H29,MAX(0,-H5))</f>
        <v>0</v>
      </c>
      <c r="I31" s="18" t="n">
        <f aca="false">MIN(I29,MAX(0,-I5))</f>
        <v>7366.13784817339</v>
      </c>
      <c r="J31" s="18" t="n">
        <f aca="false">MIN(J29,MAX(0,-J5))</f>
        <v>15819.255595116</v>
      </c>
      <c r="K31" s="18" t="n">
        <f aca="false">MIN(K29,MAX(0,-K5))</f>
        <v>25114.599303463</v>
      </c>
      <c r="L31" s="18" t="n">
        <f aca="false">MIN(L29,MAX(0,-L5))</f>
        <v>35299.5533129633</v>
      </c>
      <c r="M31" s="18" t="n">
        <f aca="false">MIN(M29,MAX(0,-M5))</f>
        <v>46424.0030399985</v>
      </c>
      <c r="N31" s="18" t="n">
        <f aca="false">MIN(N29,MAX(0,-N5))</f>
        <v>58540.4701419059</v>
      </c>
      <c r="O31" s="18" t="n">
        <f aca="false">MIN(O29,MAX(0,-O5))</f>
        <v>71704.2552571406</v>
      </c>
      <c r="P31" s="18" t="n">
        <f aca="false">MIN(P29,MAX(0,-P5))</f>
        <v>85973.5887581751</v>
      </c>
      <c r="Q31" s="18" t="n">
        <f aca="false">MIN(Q29,MAX(0,-Q5))</f>
        <v>71284.8870921678</v>
      </c>
      <c r="R31" s="18" t="n">
        <f aca="false">MIN(R29,MAX(0,-R5))</f>
        <v>0</v>
      </c>
      <c r="S31" s="18" t="n">
        <f aca="false">MIN(S29,MAX(0,-S5))</f>
        <v>0</v>
      </c>
      <c r="T31" s="18" t="n">
        <f aca="false">MIN(T29,MAX(0,-T5))</f>
        <v>0</v>
      </c>
      <c r="U31" s="18" t="n">
        <f aca="false">MIN(U29,MAX(0,-U5))</f>
        <v>0</v>
      </c>
      <c r="V31" s="18" t="n">
        <f aca="false">MIN(V29,MAX(0,-V5))</f>
        <v>0</v>
      </c>
    </row>
    <row r="32" customFormat="false" ht="15" hidden="false" customHeight="true" outlineLevel="0" collapsed="false">
      <c r="B32" s="13" t="s">
        <v>811</v>
      </c>
      <c r="C32" s="18" t="n">
        <f aca="false">C29+C30-C31</f>
        <v>417526.750349104</v>
      </c>
      <c r="D32" s="18" t="n">
        <f aca="false">D29+D30-D31</f>
        <v>417526.750349104</v>
      </c>
      <c r="E32" s="18" t="n">
        <f aca="false">E29+E30-E31</f>
        <v>417526.750349104</v>
      </c>
      <c r="F32" s="18" t="n">
        <f aca="false">F29+F30-F31</f>
        <v>417526.750349104</v>
      </c>
      <c r="G32" s="18" t="n">
        <f aca="false">G29+G30-G31</f>
        <v>417526.750349104</v>
      </c>
      <c r="H32" s="18" t="n">
        <f aca="false">H29+H30-H31</f>
        <v>417526.750349104</v>
      </c>
      <c r="I32" s="18" t="n">
        <f aca="false">I29+I30-I31</f>
        <v>410160.61250093</v>
      </c>
      <c r="J32" s="18" t="n">
        <f aca="false">J29+J30-J31</f>
        <v>394341.356905814</v>
      </c>
      <c r="K32" s="18" t="n">
        <f aca="false">K29+K30-K31</f>
        <v>369226.757602351</v>
      </c>
      <c r="L32" s="18" t="n">
        <f aca="false">L29+L30-L31</f>
        <v>333927.204289388</v>
      </c>
      <c r="M32" s="18" t="n">
        <f aca="false">M29+M30-M31</f>
        <v>287503.201249389</v>
      </c>
      <c r="N32" s="18" t="n">
        <f aca="false">N29+N30-N31</f>
        <v>228962.731107483</v>
      </c>
      <c r="O32" s="18" t="n">
        <f aca="false">O29+O30-O31</f>
        <v>157258.475850343</v>
      </c>
      <c r="P32" s="18" t="n">
        <f aca="false">P29+P30-P31</f>
        <v>71284.8870921678</v>
      </c>
      <c r="Q32" s="18" t="n">
        <f aca="false">Q29+Q30-Q31</f>
        <v>0</v>
      </c>
      <c r="R32" s="18" t="n">
        <f aca="false">R29+R30-R31</f>
        <v>0</v>
      </c>
      <c r="S32" s="18" t="n">
        <f aca="false">S29+S30-S31</f>
        <v>0</v>
      </c>
      <c r="T32" s="18" t="n">
        <f aca="false">T29+T30-T31</f>
        <v>0</v>
      </c>
      <c r="U32" s="18" t="n">
        <f aca="false">U29+U30-U31</f>
        <v>0</v>
      </c>
      <c r="V32" s="18" t="n">
        <f aca="false">V29+V30-V31</f>
        <v>0</v>
      </c>
    </row>
    <row r="33" customFormat="false" ht="15" hidden="false" customHeight="true" outlineLevel="0" collapsed="false">
      <c r="B33" s="13" t="s">
        <v>826</v>
      </c>
      <c r="C33" s="18" t="n">
        <f aca="false">'Sources &amp; Uses'!D23</f>
        <v>451806.22519692</v>
      </c>
      <c r="D33" s="18" t="n">
        <f aca="false">'Sources &amp; Uses'!D23</f>
        <v>451806.22519692</v>
      </c>
      <c r="E33" s="18" t="n">
        <f aca="false">'Sources &amp; Uses'!D23</f>
        <v>451806.22519692</v>
      </c>
      <c r="F33" s="18" t="n">
        <f aca="false">'Sources &amp; Uses'!D23</f>
        <v>451806.22519692</v>
      </c>
      <c r="G33" s="18" t="n">
        <f aca="false">'Sources &amp; Uses'!D23</f>
        <v>451806.22519692</v>
      </c>
      <c r="H33" s="18" t="n">
        <f aca="false">'Sources &amp; Uses'!D23</f>
        <v>451806.22519692</v>
      </c>
      <c r="I33" s="18" t="n">
        <f aca="false">'Sources &amp; Uses'!D23</f>
        <v>451806.22519692</v>
      </c>
      <c r="J33" s="18" t="n">
        <f aca="false">'Sources &amp; Uses'!D23</f>
        <v>451806.22519692</v>
      </c>
      <c r="K33" s="18" t="n">
        <f aca="false">'Sources &amp; Uses'!D23</f>
        <v>451806.22519692</v>
      </c>
      <c r="L33" s="18" t="n">
        <f aca="false">'Sources &amp; Uses'!D23</f>
        <v>451806.22519692</v>
      </c>
      <c r="M33" s="18" t="n">
        <f aca="false">'Sources &amp; Uses'!D23</f>
        <v>451806.22519692</v>
      </c>
      <c r="N33" s="18" t="n">
        <f aca="false">'Sources &amp; Uses'!D23</f>
        <v>451806.22519692</v>
      </c>
      <c r="O33" s="18" t="n">
        <f aca="false">'Sources &amp; Uses'!D23</f>
        <v>451806.22519692</v>
      </c>
      <c r="P33" s="18" t="n">
        <f aca="false">'Sources &amp; Uses'!D23</f>
        <v>451806.22519692</v>
      </c>
      <c r="Q33" s="18" t="n">
        <f aca="false">'Sources &amp; Uses'!D23</f>
        <v>451806.22519692</v>
      </c>
      <c r="R33" s="18" t="n">
        <f aca="false">'Sources &amp; Uses'!D23</f>
        <v>451806.22519692</v>
      </c>
      <c r="S33" s="18" t="n">
        <f aca="false">'Sources &amp; Uses'!D23</f>
        <v>451806.22519692</v>
      </c>
      <c r="T33" s="18" t="n">
        <f aca="false">'Sources &amp; Uses'!D23</f>
        <v>451806.22519692</v>
      </c>
      <c r="U33" s="18" t="n">
        <f aca="false">'Sources &amp; Uses'!D23</f>
        <v>451806.22519692</v>
      </c>
      <c r="V33" s="18" t="n">
        <f aca="false">'Sources &amp; Uses'!D23</f>
        <v>451806.22519692</v>
      </c>
    </row>
    <row r="35" customFormat="false" ht="15" hidden="false" customHeight="true" outlineLevel="0" collapsed="false">
      <c r="B35" s="19" t="s">
        <v>827</v>
      </c>
      <c r="C35" s="101" t="str">
        <f aca="false">IFERROR(MATCH(0,C19:V19,0),"NOT REPAID")</f>
        <v>NOT REPAID</v>
      </c>
    </row>
    <row r="36" customFormat="false" ht="15" hidden="false" customHeight="true" outlineLevel="0" collapsed="false">
      <c r="B36" s="36" t="s">
        <v>830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62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.43"/>
    <col collapsed="false" customWidth="true" hidden="false" outlineLevel="0" max="2" min="2" style="1" width="26"/>
    <col collapsed="false" customWidth="true" hidden="false" outlineLevel="0" max="3" min="3" style="1" width="10"/>
    <col collapsed="false" customWidth="true" hidden="false" outlineLevel="0" max="24" min="4" style="1" width="12.86"/>
  </cols>
  <sheetData>
    <row r="1" customFormat="false" ht="17.25" hidden="false" customHeight="true" outlineLevel="0" collapsed="false">
      <c r="A1" s="11" t="s">
        <v>831</v>
      </c>
    </row>
    <row r="2" customFormat="false" ht="15" hidden="false" customHeight="true" outlineLevel="0" collapsed="false">
      <c r="B2" s="36" t="s">
        <v>763</v>
      </c>
    </row>
    <row r="3" customFormat="false" ht="15" hidden="false" customHeight="true" outlineLevel="0" collapsed="false">
      <c r="B3" s="19" t="s">
        <v>764</v>
      </c>
      <c r="D3" s="58" t="s">
        <v>765</v>
      </c>
      <c r="E3" s="58" t="s">
        <v>766</v>
      </c>
      <c r="F3" s="58" t="s">
        <v>767</v>
      </c>
      <c r="G3" s="58" t="s">
        <v>768</v>
      </c>
      <c r="H3" s="58" t="s">
        <v>769</v>
      </c>
      <c r="I3" s="58" t="s">
        <v>770</v>
      </c>
      <c r="J3" s="58" t="s">
        <v>771</v>
      </c>
      <c r="K3" s="58" t="s">
        <v>772</v>
      </c>
      <c r="L3" s="58" t="s">
        <v>773</v>
      </c>
      <c r="M3" s="58" t="s">
        <v>774</v>
      </c>
      <c r="N3" s="58" t="s">
        <v>775</v>
      </c>
      <c r="O3" s="58" t="s">
        <v>776</v>
      </c>
      <c r="P3" s="58" t="s">
        <v>777</v>
      </c>
      <c r="Q3" s="58" t="s">
        <v>778</v>
      </c>
      <c r="R3" s="58" t="s">
        <v>779</v>
      </c>
      <c r="S3" s="58" t="s">
        <v>780</v>
      </c>
      <c r="T3" s="58" t="s">
        <v>781</v>
      </c>
      <c r="U3" s="58" t="s">
        <v>782</v>
      </c>
      <c r="V3" s="58" t="s">
        <v>783</v>
      </c>
      <c r="W3" s="58" t="s">
        <v>784</v>
      </c>
      <c r="X3" s="58" t="s">
        <v>613</v>
      </c>
    </row>
    <row r="4" customFormat="false" ht="15" hidden="false" customHeight="true" outlineLevel="0" collapsed="false">
      <c r="B4" s="13" t="s">
        <v>785</v>
      </c>
      <c r="D4" s="108" t="n">
        <f aca="false">YEAR(LOM_ResynDate)+0</f>
        <v>2029</v>
      </c>
      <c r="E4" s="108" t="n">
        <f aca="false">YEAR(LOM_ResynDate)+1</f>
        <v>2030</v>
      </c>
      <c r="F4" s="108" t="n">
        <f aca="false">YEAR(LOM_ResynDate)+2</f>
        <v>2031</v>
      </c>
      <c r="G4" s="108" t="n">
        <f aca="false">YEAR(LOM_ResynDate)+3</f>
        <v>2032</v>
      </c>
      <c r="H4" s="108" t="n">
        <f aca="false">YEAR(LOM_ResynDate)+4</f>
        <v>2033</v>
      </c>
      <c r="I4" s="108" t="n">
        <f aca="false">YEAR(LOM_ResynDate)+5</f>
        <v>2034</v>
      </c>
      <c r="J4" s="108" t="n">
        <f aca="false">YEAR(LOM_ResynDate)+6</f>
        <v>2035</v>
      </c>
      <c r="K4" s="108" t="n">
        <f aca="false">YEAR(LOM_ResynDate)+7</f>
        <v>2036</v>
      </c>
      <c r="L4" s="108" t="n">
        <f aca="false">YEAR(LOM_ResynDate)+8</f>
        <v>2037</v>
      </c>
      <c r="M4" s="108" t="n">
        <f aca="false">YEAR(LOM_ResynDate)+9</f>
        <v>2038</v>
      </c>
      <c r="N4" s="108" t="n">
        <f aca="false">YEAR(LOM_ResynDate)+10</f>
        <v>2039</v>
      </c>
      <c r="O4" s="108" t="n">
        <f aca="false">YEAR(LOM_ResynDate)+11</f>
        <v>2040</v>
      </c>
      <c r="P4" s="108" t="n">
        <f aca="false">YEAR(LOM_ResynDate)+12</f>
        <v>2041</v>
      </c>
      <c r="Q4" s="108" t="n">
        <f aca="false">YEAR(LOM_ResynDate)+13</f>
        <v>2042</v>
      </c>
      <c r="R4" s="108" t="n">
        <f aca="false">YEAR(LOM_ResynDate)+14</f>
        <v>2043</v>
      </c>
      <c r="S4" s="108" t="n">
        <f aca="false">YEAR(LOM_ResynDate)+15</f>
        <v>2044</v>
      </c>
      <c r="T4" s="108" t="n">
        <f aca="false">YEAR(LOM_ResynDate)+16</f>
        <v>2045</v>
      </c>
      <c r="U4" s="108" t="n">
        <f aca="false">YEAR(LOM_ResynDate)+17</f>
        <v>2046</v>
      </c>
      <c r="V4" s="108" t="n">
        <f aca="false">YEAR(LOM_ResynDate)+18</f>
        <v>2047</v>
      </c>
      <c r="W4" s="108" t="n">
        <f aca="false">YEAR(LOM_ResynDate)+19</f>
        <v>2048</v>
      </c>
    </row>
    <row r="6" customFormat="false" ht="15" hidden="false" customHeight="true" outlineLevel="0" collapsed="false">
      <c r="B6" s="13" t="s">
        <v>786</v>
      </c>
      <c r="D6" s="66" t="n">
        <f aca="false">LOM_GPR</f>
        <v>1791762.29770313</v>
      </c>
      <c r="E6" s="37" t="n">
        <f aca="false">D6*(1+$D$50)</f>
        <v>1825357.84078506</v>
      </c>
      <c r="F6" s="37" t="n">
        <f aca="false">E6*(1+$D$50)</f>
        <v>1859583.30029978</v>
      </c>
      <c r="G6" s="37" t="n">
        <f aca="false">F6*(1+$D$50)</f>
        <v>1894450.4871804</v>
      </c>
      <c r="H6" s="37" t="n">
        <f aca="false">G6*(1+$D$50)</f>
        <v>1929971.43381503</v>
      </c>
      <c r="I6" s="37" t="n">
        <f aca="false">H6*(1+$D$50)</f>
        <v>1966158.39819906</v>
      </c>
      <c r="J6" s="37" t="n">
        <f aca="false">I6*(1+$D$50)</f>
        <v>2003023.8681653</v>
      </c>
      <c r="K6" s="37" t="n">
        <f aca="false">J6*(1+$D$50)</f>
        <v>2040580.5656934</v>
      </c>
      <c r="L6" s="37" t="n">
        <f aca="false">K6*(1+$D$50)</f>
        <v>2078841.45130015</v>
      </c>
      <c r="M6" s="37" t="n">
        <f aca="false">L6*(1+$D$50)</f>
        <v>2117819.72851203</v>
      </c>
      <c r="N6" s="37" t="n">
        <f aca="false">M6*(1+$D$50)</f>
        <v>2157528.84842163</v>
      </c>
      <c r="O6" s="37" t="n">
        <f aca="false">N6*(1+$D$50)</f>
        <v>2197982.51432953</v>
      </c>
      <c r="P6" s="37" t="n">
        <f aca="false">O6*(1+$D$50)</f>
        <v>2239194.68647321</v>
      </c>
      <c r="Q6" s="37" t="n">
        <f aca="false">P6*(1+$D$50)</f>
        <v>2281179.58684458</v>
      </c>
      <c r="R6" s="37" t="n">
        <f aca="false">Q6*(1+$D$50)</f>
        <v>2323951.70409792</v>
      </c>
      <c r="S6" s="37" t="n">
        <f aca="false">R6*(1+$D$50)</f>
        <v>2367525.79854975</v>
      </c>
      <c r="T6" s="37" t="n">
        <f aca="false">S6*(1+$D$50)</f>
        <v>2411916.90727256</v>
      </c>
      <c r="U6" s="37" t="n">
        <f aca="false">T6*(1+$D$50)</f>
        <v>2457140.34928392</v>
      </c>
      <c r="V6" s="37" t="n">
        <f aca="false">U6*(1+$D$50)</f>
        <v>2503211.730833</v>
      </c>
      <c r="W6" s="37" t="n">
        <f aca="false">V6*(1+$D$50)</f>
        <v>2550146.95078612</v>
      </c>
    </row>
    <row r="7" customFormat="false" ht="15" hidden="false" customHeight="true" outlineLevel="0" collapsed="false">
      <c r="B7" s="13" t="s">
        <v>477</v>
      </c>
      <c r="D7" s="66" t="n">
        <f aca="false">LOM_OtherInc</f>
        <v>12732</v>
      </c>
      <c r="E7" s="37" t="n">
        <f aca="false">D7*(1+$D$50)</f>
        <v>12970.725</v>
      </c>
      <c r="F7" s="37" t="n">
        <f aca="false">E7*(1+$D$50)</f>
        <v>13213.92609375</v>
      </c>
      <c r="G7" s="37" t="n">
        <f aca="false">F7*(1+$D$50)</f>
        <v>13461.6872080078</v>
      </c>
      <c r="H7" s="37" t="n">
        <f aca="false">G7*(1+$D$50)</f>
        <v>13714.093843158</v>
      </c>
      <c r="I7" s="37" t="n">
        <f aca="false">H7*(1+$D$50)</f>
        <v>13971.2331027172</v>
      </c>
      <c r="J7" s="37" t="n">
        <f aca="false">I7*(1+$D$50)</f>
        <v>14233.1937233931</v>
      </c>
      <c r="K7" s="37" t="n">
        <f aca="false">J7*(1+$D$50)</f>
        <v>14500.0661057067</v>
      </c>
      <c r="L7" s="37" t="n">
        <f aca="false">K7*(1+$D$50)</f>
        <v>14771.9423451887</v>
      </c>
      <c r="M7" s="37" t="n">
        <f aca="false">L7*(1+$D$50)</f>
        <v>15048.916264161</v>
      </c>
      <c r="N7" s="37" t="n">
        <f aca="false">M7*(1+$D$50)</f>
        <v>15331.0834441141</v>
      </c>
      <c r="O7" s="37" t="n">
        <f aca="false">N7*(1+$D$50)</f>
        <v>15618.5412586912</v>
      </c>
      <c r="P7" s="37" t="n">
        <f aca="false">O7*(1+$D$50)</f>
        <v>15911.3889072917</v>
      </c>
      <c r="Q7" s="37" t="n">
        <f aca="false">P7*(1+$D$50)</f>
        <v>16209.7274493034</v>
      </c>
      <c r="R7" s="37" t="n">
        <f aca="false">Q7*(1+$D$50)</f>
        <v>16513.6598389778</v>
      </c>
      <c r="S7" s="37" t="n">
        <f aca="false">R7*(1+$D$50)</f>
        <v>16823.2909609586</v>
      </c>
      <c r="T7" s="37" t="n">
        <f aca="false">S7*(1+$D$50)</f>
        <v>17138.7276664766</v>
      </c>
      <c r="U7" s="37" t="n">
        <f aca="false">T7*(1+$D$50)</f>
        <v>17460.0788102231</v>
      </c>
      <c r="V7" s="37" t="n">
        <f aca="false">U7*(1+$D$50)</f>
        <v>17787.4552879147</v>
      </c>
      <c r="W7" s="37" t="n">
        <f aca="false">V7*(1+$D$50)</f>
        <v>18120.9700745631</v>
      </c>
    </row>
    <row r="9" customFormat="false" ht="15" hidden="false" customHeight="true" outlineLevel="0" collapsed="false">
      <c r="B9" s="19" t="s">
        <v>787</v>
      </c>
      <c r="D9" s="21" t="n">
        <f aca="false">SUM(D6:D7)</f>
        <v>1804494.29770313</v>
      </c>
      <c r="E9" s="21" t="n">
        <f aca="false">SUM(E6:E7)</f>
        <v>1838328.56578506</v>
      </c>
      <c r="F9" s="21" t="n">
        <f aca="false">SUM(F6:F7)</f>
        <v>1872797.22639353</v>
      </c>
      <c r="G9" s="21" t="n">
        <f aca="false">SUM(G6:G7)</f>
        <v>1907912.17438841</v>
      </c>
      <c r="H9" s="21" t="n">
        <f aca="false">SUM(H6:H7)</f>
        <v>1943685.52765819</v>
      </c>
      <c r="I9" s="21" t="n">
        <f aca="false">SUM(I6:I7)</f>
        <v>1980129.63130178</v>
      </c>
      <c r="J9" s="21" t="n">
        <f aca="false">SUM(J6:J7)</f>
        <v>2017257.06188869</v>
      </c>
      <c r="K9" s="21" t="n">
        <f aca="false">SUM(K6:K7)</f>
        <v>2055080.6317991</v>
      </c>
      <c r="L9" s="21" t="n">
        <f aca="false">SUM(L6:L7)</f>
        <v>2093613.39364534</v>
      </c>
      <c r="M9" s="21" t="n">
        <f aca="false">SUM(M6:M7)</f>
        <v>2132868.64477619</v>
      </c>
      <c r="N9" s="21" t="n">
        <f aca="false">SUM(N6:N7)</f>
        <v>2172859.93186574</v>
      </c>
      <c r="O9" s="21" t="n">
        <f aca="false">SUM(O6:O7)</f>
        <v>2213601.05558822</v>
      </c>
      <c r="P9" s="21" t="n">
        <f aca="false">SUM(P6:P7)</f>
        <v>2255106.0753805</v>
      </c>
      <c r="Q9" s="21" t="n">
        <f aca="false">SUM(Q6:Q7)</f>
        <v>2297389.31429389</v>
      </c>
      <c r="R9" s="21" t="n">
        <f aca="false">SUM(R6:R7)</f>
        <v>2340465.3639369</v>
      </c>
      <c r="S9" s="21" t="n">
        <f aca="false">SUM(S6:S7)</f>
        <v>2384349.08951071</v>
      </c>
      <c r="T9" s="21" t="n">
        <f aca="false">SUM(T6:T7)</f>
        <v>2429055.63493904</v>
      </c>
      <c r="U9" s="21" t="n">
        <f aca="false">SUM(U6:U7)</f>
        <v>2474600.42809415</v>
      </c>
      <c r="V9" s="21" t="n">
        <f aca="false">SUM(V6:V7)</f>
        <v>2520999.18612091</v>
      </c>
      <c r="W9" s="21" t="n">
        <f aca="false">SUM(W6:W7)</f>
        <v>2568267.92086068</v>
      </c>
      <c r="X9" s="21" t="n">
        <f aca="false">SUM(D9:W9)</f>
        <v>43302861.1559301</v>
      </c>
    </row>
    <row r="10" customFormat="false" ht="15" hidden="false" customHeight="true" outlineLevel="0" collapsed="false">
      <c r="B10" s="13" t="s">
        <v>788</v>
      </c>
      <c r="D10" s="37" t="n">
        <f aca="false">-LOM_VacHAP*D9</f>
        <v>-136419.768906356</v>
      </c>
      <c r="E10" s="37" t="n">
        <f aca="false">-LOM_VacHAP*E9</f>
        <v>-138977.63957335</v>
      </c>
      <c r="F10" s="37" t="n">
        <f aca="false">-LOM_VacHAP*F9</f>
        <v>-141583.470315351</v>
      </c>
      <c r="G10" s="37" t="n">
        <f aca="false">-LOM_VacHAP*G9</f>
        <v>-144238.160383764</v>
      </c>
      <c r="H10" s="37" t="n">
        <f aca="false">-LOM_VacHAP*H9</f>
        <v>-146942.625890959</v>
      </c>
      <c r="I10" s="37" t="n">
        <f aca="false">-LOM_VacHAP*I9</f>
        <v>-149697.800126415</v>
      </c>
      <c r="J10" s="37" t="n">
        <f aca="false">-LOM_VacHAP*J9</f>
        <v>-152504.633878785</v>
      </c>
      <c r="K10" s="37" t="n">
        <f aca="false">-LOM_VacHAP*K9</f>
        <v>-155364.095764012</v>
      </c>
      <c r="L10" s="37" t="n">
        <f aca="false">-LOM_VacHAP*L9</f>
        <v>-158277.172559587</v>
      </c>
      <c r="M10" s="37" t="n">
        <f aca="false">-LOM_VacHAP*M9</f>
        <v>-161244.86954508</v>
      </c>
      <c r="N10" s="37" t="n">
        <f aca="false">-LOM_VacHAP*N9</f>
        <v>-164268.21084905</v>
      </c>
      <c r="O10" s="37" t="n">
        <f aca="false">-LOM_VacHAP*O9</f>
        <v>-167348.23980247</v>
      </c>
      <c r="P10" s="37" t="n">
        <f aca="false">-LOM_VacHAP*P9</f>
        <v>-170486.019298766</v>
      </c>
      <c r="Q10" s="37" t="n">
        <f aca="false">-LOM_VacHAP*Q9</f>
        <v>-173682.632160618</v>
      </c>
      <c r="R10" s="37" t="n">
        <f aca="false">-LOM_VacHAP*R9</f>
        <v>-176939.181513629</v>
      </c>
      <c r="S10" s="37" t="n">
        <f aca="false">-LOM_VacHAP*S9</f>
        <v>-180256.79116701</v>
      </c>
      <c r="T10" s="37" t="n">
        <f aca="false">-LOM_VacHAP*T9</f>
        <v>-183636.606001391</v>
      </c>
      <c r="U10" s="37" t="n">
        <f aca="false">-LOM_VacHAP*U9</f>
        <v>-187079.792363917</v>
      </c>
      <c r="V10" s="37" t="n">
        <f aca="false">-LOM_VacHAP*V9</f>
        <v>-190587.538470741</v>
      </c>
      <c r="W10" s="37" t="n">
        <f aca="false">-LOM_VacHAP*W9</f>
        <v>-194161.054817067</v>
      </c>
    </row>
    <row r="11" customFormat="false" ht="15" hidden="false" customHeight="true" outlineLevel="0" collapsed="false">
      <c r="B11" s="13" t="s">
        <v>789</v>
      </c>
      <c r="D11" s="37" t="n">
        <f aca="false">-D9*LOM_OfflinePct*MAX(0,MIN(LOM_RehabMonths-0,12))/12</f>
        <v>-60655.2705110294</v>
      </c>
      <c r="E11" s="37" t="n">
        <f aca="false">-E9*LOM_OfflinePct*MAX(0,MIN(LOM_RehabMonths-12,12))/12</f>
        <v>-15448.1392082778</v>
      </c>
      <c r="F11" s="37" t="n">
        <f aca="false">-F9*LOM_OfflinePct*MAX(0,MIN(LOM_RehabMonths-24,12))/12</f>
        <v>-0</v>
      </c>
      <c r="G11" s="37" t="n">
        <f aca="false">-G9*LOM_OfflinePct*MAX(0,MIN(LOM_RehabMonths-36,12))/12</f>
        <v>-0</v>
      </c>
      <c r="H11" s="37" t="n">
        <f aca="false">-H9*LOM_OfflinePct*MAX(0,MIN(LOM_RehabMonths-48,12))/12</f>
        <v>-0</v>
      </c>
      <c r="I11" s="37" t="n">
        <f aca="false">-I9*LOM_OfflinePct*MAX(0,MIN(LOM_RehabMonths-60,12))/12</f>
        <v>-0</v>
      </c>
      <c r="J11" s="37" t="n">
        <f aca="false">-J9*LOM_OfflinePct*MAX(0,MIN(LOM_RehabMonths-72,12))/12</f>
        <v>-0</v>
      </c>
      <c r="K11" s="37" t="n">
        <f aca="false">-K9*LOM_OfflinePct*MAX(0,MIN(LOM_RehabMonths-84,12))/12</f>
        <v>-0</v>
      </c>
      <c r="L11" s="37" t="n">
        <f aca="false">-L9*LOM_OfflinePct*MAX(0,MIN(LOM_RehabMonths-96,12))/12</f>
        <v>-0</v>
      </c>
      <c r="M11" s="37" t="n">
        <f aca="false">-M9*LOM_OfflinePct*MAX(0,MIN(LOM_RehabMonths-108,12))/12</f>
        <v>-0</v>
      </c>
      <c r="N11" s="37" t="n">
        <f aca="false">-N9*LOM_OfflinePct*MAX(0,MIN(LOM_RehabMonths-120,12))/12</f>
        <v>-0</v>
      </c>
      <c r="O11" s="37" t="n">
        <f aca="false">-O9*LOM_OfflinePct*MAX(0,MIN(LOM_RehabMonths-132,12))/12</f>
        <v>-0</v>
      </c>
      <c r="P11" s="37" t="n">
        <f aca="false">-P9*LOM_OfflinePct*MAX(0,MIN(LOM_RehabMonths-144,12))/12</f>
        <v>-0</v>
      </c>
      <c r="Q11" s="37" t="n">
        <f aca="false">-Q9*LOM_OfflinePct*MAX(0,MIN(LOM_RehabMonths-156,12))/12</f>
        <v>-0</v>
      </c>
      <c r="R11" s="37" t="n">
        <f aca="false">-R9*LOM_OfflinePct*MAX(0,MIN(LOM_RehabMonths-168,12))/12</f>
        <v>-0</v>
      </c>
      <c r="S11" s="37" t="n">
        <f aca="false">-S9*LOM_OfflinePct*MAX(0,MIN(LOM_RehabMonths-180,12))/12</f>
        <v>-0</v>
      </c>
      <c r="T11" s="37" t="n">
        <f aca="false">-T9*LOM_OfflinePct*MAX(0,MIN(LOM_RehabMonths-192,12))/12</f>
        <v>-0</v>
      </c>
      <c r="U11" s="37" t="n">
        <f aca="false">-U9*LOM_OfflinePct*MAX(0,MIN(LOM_RehabMonths-204,12))/12</f>
        <v>-0</v>
      </c>
      <c r="V11" s="37" t="n">
        <f aca="false">-V9*LOM_OfflinePct*MAX(0,MIN(LOM_RehabMonths-216,12))/12</f>
        <v>-0</v>
      </c>
      <c r="W11" s="37" t="n">
        <f aca="false">-W9*LOM_OfflinePct*MAX(0,MIN(LOM_RehabMonths-228,12))/12</f>
        <v>-0</v>
      </c>
    </row>
    <row r="13" customFormat="false" ht="15" hidden="false" customHeight="true" outlineLevel="0" collapsed="false">
      <c r="B13" s="19" t="s">
        <v>790</v>
      </c>
      <c r="D13" s="21" t="n">
        <f aca="false">D9+D10+D11</f>
        <v>1607419.25828574</v>
      </c>
      <c r="E13" s="21" t="n">
        <f aca="false">E9+E10+E11</f>
        <v>1683902.78700343</v>
      </c>
      <c r="F13" s="21" t="n">
        <f aca="false">F9+F10+F11</f>
        <v>1731213.75607818</v>
      </c>
      <c r="G13" s="21" t="n">
        <f aca="false">G9+G10+G11</f>
        <v>1763674.01400464</v>
      </c>
      <c r="H13" s="21" t="n">
        <f aca="false">H9+H10+H11</f>
        <v>1796742.90176723</v>
      </c>
      <c r="I13" s="21" t="n">
        <f aca="false">I9+I10+I11</f>
        <v>1830431.83117537</v>
      </c>
      <c r="J13" s="21" t="n">
        <f aca="false">J9+J10+J11</f>
        <v>1864752.4280099</v>
      </c>
      <c r="K13" s="21" t="n">
        <f aca="false">K9+K10+K11</f>
        <v>1899716.53603509</v>
      </c>
      <c r="L13" s="21" t="n">
        <f aca="false">L9+L10+L11</f>
        <v>1935336.22108575</v>
      </c>
      <c r="M13" s="21" t="n">
        <f aca="false">M9+M10+M11</f>
        <v>1971623.77523111</v>
      </c>
      <c r="N13" s="21" t="n">
        <f aca="false">N9+N10+N11</f>
        <v>2008591.72101669</v>
      </c>
      <c r="O13" s="21" t="n">
        <f aca="false">O9+O10+O11</f>
        <v>2046252.81578575</v>
      </c>
      <c r="P13" s="21" t="n">
        <f aca="false">P9+P10+P11</f>
        <v>2084620.05608174</v>
      </c>
      <c r="Q13" s="21" t="n">
        <f aca="false">Q9+Q10+Q11</f>
        <v>2123706.68213327</v>
      </c>
      <c r="R13" s="21" t="n">
        <f aca="false">R9+R10+R11</f>
        <v>2163526.18242327</v>
      </c>
      <c r="S13" s="21" t="n">
        <f aca="false">S9+S10+S11</f>
        <v>2204092.2983437</v>
      </c>
      <c r="T13" s="21" t="n">
        <f aca="false">T9+T10+T11</f>
        <v>2245419.02893765</v>
      </c>
      <c r="U13" s="21" t="n">
        <f aca="false">U9+U10+U11</f>
        <v>2287520.63573023</v>
      </c>
      <c r="V13" s="21" t="n">
        <f aca="false">V9+V10+V11</f>
        <v>2330411.64765017</v>
      </c>
      <c r="W13" s="21" t="n">
        <f aca="false">W9+W10+W11</f>
        <v>2374106.86604361</v>
      </c>
      <c r="X13" s="21" t="n">
        <f aca="false">SUM(D13:W13)</f>
        <v>39953061.4428225</v>
      </c>
    </row>
    <row r="15" customFormat="false" ht="15" hidden="false" customHeight="true" outlineLevel="0" collapsed="false">
      <c r="B15" s="63" t="s">
        <v>791</v>
      </c>
    </row>
    <row r="16" customFormat="false" ht="15" hidden="false" customHeight="true" outlineLevel="0" collapsed="false">
      <c r="B16" s="13" t="s">
        <v>483</v>
      </c>
      <c r="D16" s="37" t="n">
        <f aca="false">MgmtFeePct*D13</f>
        <v>64296.7703314296</v>
      </c>
      <c r="E16" s="37" t="n">
        <f aca="false">MgmtFeePct*E13</f>
        <v>67356.1114801372</v>
      </c>
      <c r="F16" s="37" t="n">
        <f aca="false">MgmtFeePct*F13</f>
        <v>69248.5502431271</v>
      </c>
      <c r="G16" s="37" t="n">
        <f aca="false">MgmtFeePct*G13</f>
        <v>70546.9605601858</v>
      </c>
      <c r="H16" s="37" t="n">
        <f aca="false">MgmtFeePct*H13</f>
        <v>71869.7160706892</v>
      </c>
      <c r="I16" s="37" t="n">
        <f aca="false">MgmtFeePct*I13</f>
        <v>73217.2732470147</v>
      </c>
      <c r="J16" s="37" t="n">
        <f aca="false">MgmtFeePct*J13</f>
        <v>74590.0971203962</v>
      </c>
      <c r="K16" s="37" t="n">
        <f aca="false">MgmtFeePct*K13</f>
        <v>75988.6614414036</v>
      </c>
      <c r="L16" s="37" t="n">
        <f aca="false">MgmtFeePct*L13</f>
        <v>77413.4488434299</v>
      </c>
      <c r="M16" s="37" t="n">
        <f aca="false">MgmtFeePct*M13</f>
        <v>78864.9510092443</v>
      </c>
      <c r="N16" s="37" t="n">
        <f aca="false">MgmtFeePct*N13</f>
        <v>80343.6688406676</v>
      </c>
      <c r="O16" s="37" t="n">
        <f aca="false">MgmtFeePct*O13</f>
        <v>81850.1126314301</v>
      </c>
      <c r="P16" s="37" t="n">
        <f aca="false">MgmtFeePct*P13</f>
        <v>83384.8022432694</v>
      </c>
      <c r="Q16" s="37" t="n">
        <f aca="false">MgmtFeePct*Q13</f>
        <v>84948.2672853307</v>
      </c>
      <c r="R16" s="37" t="n">
        <f aca="false">MgmtFeePct*R13</f>
        <v>86541.0472969307</v>
      </c>
      <c r="S16" s="37" t="n">
        <f aca="false">MgmtFeePct*S13</f>
        <v>88163.6919337481</v>
      </c>
      <c r="T16" s="37" t="n">
        <f aca="false">MgmtFeePct*T13</f>
        <v>89816.7611575059</v>
      </c>
      <c r="U16" s="37" t="n">
        <f aca="false">MgmtFeePct*U13</f>
        <v>91500.8254292091</v>
      </c>
      <c r="V16" s="37" t="n">
        <f aca="false">MgmtFeePct*V13</f>
        <v>93216.4659060068</v>
      </c>
      <c r="W16" s="37" t="n">
        <f aca="false">MgmtFeePct*W13</f>
        <v>94964.2746417444</v>
      </c>
    </row>
    <row r="17" customFormat="false" ht="15" hidden="false" customHeight="true" outlineLevel="0" collapsed="false">
      <c r="B17" s="13" t="s">
        <v>792</v>
      </c>
      <c r="D17" s="66" t="n">
        <f aca="false">'Rev+Expenses'!E19</f>
        <v>175065.79267</v>
      </c>
      <c r="E17" s="37" t="n">
        <f aca="false">D17*(1+$D$51)</f>
        <v>180317.7664501</v>
      </c>
      <c r="F17" s="37" t="n">
        <f aca="false">E17*(1+$D$51)</f>
        <v>185727.299443603</v>
      </c>
      <c r="G17" s="37" t="n">
        <f aca="false">F17*(1+$D$51)</f>
        <v>191299.118426911</v>
      </c>
      <c r="H17" s="37" t="n">
        <f aca="false">G17*(1+$D$51)</f>
        <v>197038.091979718</v>
      </c>
      <c r="I17" s="37" t="n">
        <f aca="false">H17*(1+$D$51)</f>
        <v>202949.23473911</v>
      </c>
      <c r="J17" s="37" t="n">
        <f aca="false">I17*(1+$D$51)</f>
        <v>209037.711781283</v>
      </c>
      <c r="K17" s="37" t="n">
        <f aca="false">J17*(1+$D$51)</f>
        <v>215308.843134722</v>
      </c>
      <c r="L17" s="37" t="n">
        <f aca="false">K17*(1+$D$51)</f>
        <v>221768.108428764</v>
      </c>
      <c r="M17" s="37" t="n">
        <f aca="false">L17*(1+$D$51)</f>
        <v>228421.151681626</v>
      </c>
      <c r="N17" s="37" t="n">
        <f aca="false">M17*(1+$D$51)</f>
        <v>235273.786232075</v>
      </c>
      <c r="O17" s="37" t="n">
        <f aca="false">N17*(1+$D$51)</f>
        <v>242331.999819037</v>
      </c>
      <c r="P17" s="37" t="n">
        <f aca="false">O17*(1+$D$51)</f>
        <v>249601.959813609</v>
      </c>
      <c r="Q17" s="37" t="n">
        <f aca="false">P17*(1+$D$51)</f>
        <v>257090.018608017</v>
      </c>
      <c r="R17" s="37" t="n">
        <f aca="false">Q17*(1+$D$51)</f>
        <v>264802.719166257</v>
      </c>
      <c r="S17" s="37" t="n">
        <f aca="false">R17*(1+$D$51)</f>
        <v>272746.800741245</v>
      </c>
      <c r="T17" s="37" t="n">
        <f aca="false">S17*(1+$D$51)</f>
        <v>280929.204763482</v>
      </c>
      <c r="U17" s="37" t="n">
        <f aca="false">T17*(1+$D$51)</f>
        <v>289357.080906387</v>
      </c>
      <c r="V17" s="37" t="n">
        <f aca="false">U17*(1+$D$51)</f>
        <v>298037.793333579</v>
      </c>
      <c r="W17" s="37" t="n">
        <f aca="false">V17*(1+$D$51)</f>
        <v>306978.927133586</v>
      </c>
    </row>
    <row r="18" customFormat="false" ht="15" hidden="false" customHeight="true" outlineLevel="0" collapsed="false">
      <c r="B18" s="13" t="s">
        <v>224</v>
      </c>
      <c r="D18" s="66" t="n">
        <f aca="false">'Rev+Expenses'!E20</f>
        <v>134399.957365</v>
      </c>
      <c r="E18" s="37" t="n">
        <f aca="false">D18*(1+$D$51)</f>
        <v>138431.95608595</v>
      </c>
      <c r="F18" s="37" t="n">
        <f aca="false">E18*(1+$D$51)</f>
        <v>142584.914768529</v>
      </c>
      <c r="G18" s="37" t="n">
        <f aca="false">F18*(1+$D$51)</f>
        <v>146862.462211584</v>
      </c>
      <c r="H18" s="37" t="n">
        <f aca="false">G18*(1+$D$51)</f>
        <v>151268.336077932</v>
      </c>
      <c r="I18" s="37" t="n">
        <f aca="false">H18*(1+$D$51)</f>
        <v>155806.38616027</v>
      </c>
      <c r="J18" s="37" t="n">
        <f aca="false">I18*(1+$D$51)</f>
        <v>160480.577745078</v>
      </c>
      <c r="K18" s="37" t="n">
        <f aca="false">J18*(1+$D$51)</f>
        <v>165294.99507743</v>
      </c>
      <c r="L18" s="37" t="n">
        <f aca="false">K18*(1+$D$51)</f>
        <v>170253.844929753</v>
      </c>
      <c r="M18" s="37" t="n">
        <f aca="false">L18*(1+$D$51)</f>
        <v>175361.460277646</v>
      </c>
      <c r="N18" s="37" t="n">
        <f aca="false">M18*(1+$D$51)</f>
        <v>180622.304085975</v>
      </c>
      <c r="O18" s="37" t="n">
        <f aca="false">N18*(1+$D$51)</f>
        <v>186040.973208555</v>
      </c>
      <c r="P18" s="37" t="n">
        <f aca="false">O18*(1+$D$51)</f>
        <v>191622.202404811</v>
      </c>
      <c r="Q18" s="37" t="n">
        <f aca="false">P18*(1+$D$51)</f>
        <v>197370.868476955</v>
      </c>
      <c r="R18" s="37" t="n">
        <f aca="false">Q18*(1+$D$51)</f>
        <v>203291.994531264</v>
      </c>
      <c r="S18" s="37" t="n">
        <f aca="false">R18*(1+$D$51)</f>
        <v>209390.754367202</v>
      </c>
      <c r="T18" s="37" t="n">
        <f aca="false">S18*(1+$D$51)</f>
        <v>215672.476998218</v>
      </c>
      <c r="U18" s="37" t="n">
        <f aca="false">T18*(1+$D$51)</f>
        <v>222142.651308165</v>
      </c>
      <c r="V18" s="37" t="n">
        <f aca="false">U18*(1+$D$51)</f>
        <v>228806.93084741</v>
      </c>
      <c r="W18" s="37" t="n">
        <f aca="false">V18*(1+$D$51)</f>
        <v>235671.138772832</v>
      </c>
    </row>
    <row r="19" customFormat="false" ht="15" hidden="false" customHeight="true" outlineLevel="0" collapsed="false">
      <c r="B19" s="13" t="s">
        <v>485</v>
      </c>
      <c r="D19" s="66" t="n">
        <f aca="false">'Rev+Expenses'!E21</f>
        <v>409497.257796</v>
      </c>
      <c r="E19" s="37" t="n">
        <f aca="false">D19*(1+$D$51)</f>
        <v>421782.17552988</v>
      </c>
      <c r="F19" s="37" t="n">
        <f aca="false">E19*(1+$D$51)</f>
        <v>434435.640795776</v>
      </c>
      <c r="G19" s="37" t="n">
        <f aca="false">F19*(1+$D$51)</f>
        <v>447468.71001965</v>
      </c>
      <c r="H19" s="37" t="n">
        <f aca="false">G19*(1+$D$51)</f>
        <v>460892.771320239</v>
      </c>
      <c r="I19" s="37" t="n">
        <f aca="false">H19*(1+$D$51)</f>
        <v>474719.554459846</v>
      </c>
      <c r="J19" s="37" t="n">
        <f aca="false">I19*(1+$D$51)</f>
        <v>488961.141093642</v>
      </c>
      <c r="K19" s="37" t="n">
        <f aca="false">J19*(1+$D$51)</f>
        <v>503629.975326451</v>
      </c>
      <c r="L19" s="37" t="n">
        <f aca="false">K19*(1+$D$51)</f>
        <v>518738.874586245</v>
      </c>
      <c r="M19" s="37" t="n">
        <f aca="false">L19*(1+$D$51)</f>
        <v>534301.040823832</v>
      </c>
      <c r="N19" s="37" t="n">
        <f aca="false">M19*(1+$D$51)</f>
        <v>550330.072048547</v>
      </c>
      <c r="O19" s="37" t="n">
        <f aca="false">N19*(1+$D$51)</f>
        <v>566839.974210003</v>
      </c>
      <c r="P19" s="37" t="n">
        <f aca="false">O19*(1+$D$51)</f>
        <v>583845.173436304</v>
      </c>
      <c r="Q19" s="37" t="n">
        <f aca="false">P19*(1+$D$51)</f>
        <v>601360.528639393</v>
      </c>
      <c r="R19" s="37" t="n">
        <f aca="false">Q19*(1+$D$51)</f>
        <v>619401.344498574</v>
      </c>
      <c r="S19" s="37" t="n">
        <f aca="false">R19*(1+$D$51)</f>
        <v>637983.384833532</v>
      </c>
      <c r="T19" s="37" t="n">
        <f aca="false">S19*(1+$D$51)</f>
        <v>657122.886378538</v>
      </c>
      <c r="U19" s="37" t="n">
        <f aca="false">T19*(1+$D$51)</f>
        <v>676836.572969894</v>
      </c>
      <c r="V19" s="37" t="n">
        <f aca="false">U19*(1+$D$51)</f>
        <v>697141.670158991</v>
      </c>
      <c r="W19" s="37" t="n">
        <f aca="false">V19*(1+$D$51)</f>
        <v>718055.92026376</v>
      </c>
    </row>
    <row r="20" customFormat="false" ht="15" hidden="false" customHeight="true" outlineLevel="0" collapsed="false">
      <c r="B20" s="13" t="s">
        <v>793</v>
      </c>
      <c r="D20" s="66" t="n">
        <f aca="false">'Rev+Expenses'!E22</f>
        <v>64905.798346</v>
      </c>
      <c r="E20" s="37" t="n">
        <f aca="false">D20*(1+$D$51)</f>
        <v>66852.97229638</v>
      </c>
      <c r="F20" s="37" t="n">
        <f aca="false">E20*(1+$D$51)</f>
        <v>68858.5614652714</v>
      </c>
      <c r="G20" s="37" t="n">
        <f aca="false">F20*(1+$D$51)</f>
        <v>70924.3183092295</v>
      </c>
      <c r="H20" s="37" t="n">
        <f aca="false">G20*(1+$D$51)</f>
        <v>73052.0478585064</v>
      </c>
      <c r="I20" s="37" t="n">
        <f aca="false">H20*(1+$D$51)</f>
        <v>75243.6092942616</v>
      </c>
      <c r="J20" s="37" t="n">
        <f aca="false">I20*(1+$D$51)</f>
        <v>77500.9175730895</v>
      </c>
      <c r="K20" s="37" t="n">
        <f aca="false">J20*(1+$D$51)</f>
        <v>79825.9451002822</v>
      </c>
      <c r="L20" s="37" t="n">
        <f aca="false">K20*(1+$D$51)</f>
        <v>82220.7234532906</v>
      </c>
      <c r="M20" s="37" t="n">
        <f aca="false">L20*(1+$D$51)</f>
        <v>84687.3451568894</v>
      </c>
      <c r="N20" s="37" t="n">
        <f aca="false">M20*(1+$D$51)</f>
        <v>87227.965511596</v>
      </c>
      <c r="O20" s="37" t="n">
        <f aca="false">N20*(1+$D$51)</f>
        <v>89844.8044769439</v>
      </c>
      <c r="P20" s="37" t="n">
        <f aca="false">O20*(1+$D$51)</f>
        <v>92540.1486112522</v>
      </c>
      <c r="Q20" s="37" t="n">
        <f aca="false">P20*(1+$D$51)</f>
        <v>95316.3530695898</v>
      </c>
      <c r="R20" s="37" t="n">
        <f aca="false">Q20*(1+$D$51)</f>
        <v>98175.8436616775</v>
      </c>
      <c r="S20" s="37" t="n">
        <f aca="false">R20*(1+$D$51)</f>
        <v>101121.118971528</v>
      </c>
      <c r="T20" s="37" t="n">
        <f aca="false">S20*(1+$D$51)</f>
        <v>104154.752540674</v>
      </c>
      <c r="U20" s="37" t="n">
        <f aca="false">T20*(1+$D$51)</f>
        <v>107279.395116894</v>
      </c>
      <c r="V20" s="37" t="n">
        <f aca="false">U20*(1+$D$51)</f>
        <v>110497.776970401</v>
      </c>
      <c r="W20" s="37" t="n">
        <f aca="false">V20*(1+$D$51)</f>
        <v>113812.710279513</v>
      </c>
    </row>
    <row r="21" customFormat="false" ht="15" hidden="false" customHeight="true" outlineLevel="0" collapsed="false">
      <c r="B21" s="13" t="s">
        <v>794</v>
      </c>
      <c r="D21" s="66" t="n">
        <f aca="false">'Rev+Expenses'!E23</f>
        <v>205310.911128</v>
      </c>
      <c r="E21" s="37" t="n">
        <f aca="false">D21*(1+InsGrowth)</f>
        <v>217629.56579568</v>
      </c>
      <c r="F21" s="37" t="n">
        <f aca="false">E21*(1+InsGrowth)</f>
        <v>230687.339743421</v>
      </c>
      <c r="G21" s="37" t="n">
        <f aca="false">F21*(1+InsGrowth)</f>
        <v>244528.580128026</v>
      </c>
      <c r="H21" s="37" t="n">
        <f aca="false">G21*(1+InsGrowth)</f>
        <v>259200.294935708</v>
      </c>
      <c r="I21" s="37" t="n">
        <f aca="false">H21*(1+InsGrowth)</f>
        <v>274752.31263185</v>
      </c>
      <c r="J21" s="37" t="n">
        <f aca="false">I21*(1+InsGrowth)</f>
        <v>291237.451389761</v>
      </c>
      <c r="K21" s="37" t="n">
        <f aca="false">J21*(1+InsGrowth)</f>
        <v>308711.698473147</v>
      </c>
      <c r="L21" s="37" t="n">
        <f aca="false">K21*(1+InsGrowth)</f>
        <v>327234.400381536</v>
      </c>
      <c r="M21" s="37" t="n">
        <f aca="false">L21*(1+InsGrowth)</f>
        <v>346868.464404428</v>
      </c>
      <c r="N21" s="37" t="n">
        <f aca="false">M21*(1+InsGrowth)</f>
        <v>367680.572268694</v>
      </c>
      <c r="O21" s="37" t="n">
        <f aca="false">N21*(1+InsGrowth)</f>
        <v>389741.406604815</v>
      </c>
      <c r="P21" s="37" t="n">
        <f aca="false">O21*(1+InsGrowth)</f>
        <v>413125.891001104</v>
      </c>
      <c r="Q21" s="37" t="n">
        <f aca="false">P21*(1+InsGrowth)</f>
        <v>437913.44446117</v>
      </c>
      <c r="R21" s="37" t="n">
        <f aca="false">Q21*(1+InsGrowth)</f>
        <v>464188.251128841</v>
      </c>
      <c r="S21" s="37" t="n">
        <f aca="false">R21*(1+InsGrowth)</f>
        <v>492039.546196571</v>
      </c>
      <c r="T21" s="37" t="n">
        <f aca="false">S21*(1+InsGrowth)</f>
        <v>521561.918968365</v>
      </c>
      <c r="U21" s="37" t="n">
        <f aca="false">T21*(1+InsGrowth)</f>
        <v>552855.634106467</v>
      </c>
      <c r="V21" s="37" t="n">
        <f aca="false">U21*(1+InsGrowth)</f>
        <v>586026.972152856</v>
      </c>
      <c r="W21" s="37" t="n">
        <f aca="false">V21*(1+InsGrowth)</f>
        <v>621188.590482027</v>
      </c>
    </row>
    <row r="23" customFormat="false" ht="15" hidden="false" customHeight="true" outlineLevel="0" collapsed="false">
      <c r="B23" s="19" t="s">
        <v>488</v>
      </c>
      <c r="D23" s="21" t="n">
        <f aca="false">SUM(D16:D21)</f>
        <v>1053476.48763643</v>
      </c>
      <c r="E23" s="21" t="n">
        <f aca="false">SUM(E16:E21)</f>
        <v>1092370.54763813</v>
      </c>
      <c r="F23" s="21" t="n">
        <f aca="false">SUM(F16:F21)</f>
        <v>1131542.30645973</v>
      </c>
      <c r="G23" s="21" t="n">
        <f aca="false">SUM(G16:G21)</f>
        <v>1171630.14965559</v>
      </c>
      <c r="H23" s="21" t="n">
        <f aca="false">SUM(H16:H21)</f>
        <v>1213321.25824279</v>
      </c>
      <c r="I23" s="21" t="n">
        <f aca="false">SUM(I16:I21)</f>
        <v>1256688.37053235</v>
      </c>
      <c r="J23" s="21" t="n">
        <f aca="false">SUM(J16:J21)</f>
        <v>1301807.89670325</v>
      </c>
      <c r="K23" s="21" t="n">
        <f aca="false">SUM(K16:K21)</f>
        <v>1348760.11855344</v>
      </c>
      <c r="L23" s="21" t="n">
        <f aca="false">SUM(L16:L21)</f>
        <v>1397629.40062302</v>
      </c>
      <c r="M23" s="21" t="n">
        <f aca="false">SUM(M16:M21)</f>
        <v>1448504.41335367</v>
      </c>
      <c r="N23" s="21" t="n">
        <f aca="false">SUM(N16:N21)</f>
        <v>1501478.36898755</v>
      </c>
      <c r="O23" s="21" t="n">
        <f aca="false">SUM(O16:O21)</f>
        <v>1556649.27095078</v>
      </c>
      <c r="P23" s="21" t="n">
        <f aca="false">SUM(P16:P21)</f>
        <v>1614120.17751035</v>
      </c>
      <c r="Q23" s="21" t="n">
        <f aca="false">SUM(Q16:Q21)</f>
        <v>1673999.48054046</v>
      </c>
      <c r="R23" s="21" t="n">
        <f aca="false">SUM(R16:R21)</f>
        <v>1736401.20028354</v>
      </c>
      <c r="S23" s="21" t="n">
        <f aca="false">SUM(S16:S21)</f>
        <v>1801445.29704383</v>
      </c>
      <c r="T23" s="21" t="n">
        <f aca="false">SUM(T16:T21)</f>
        <v>1869258.00080678</v>
      </c>
      <c r="U23" s="21" t="n">
        <f aca="false">SUM(U16:U21)</f>
        <v>1939972.15983702</v>
      </c>
      <c r="V23" s="21" t="n">
        <f aca="false">SUM(V16:V21)</f>
        <v>2013727.60936924</v>
      </c>
      <c r="W23" s="21" t="n">
        <f aca="false">SUM(W16:W21)</f>
        <v>2090671.56157346</v>
      </c>
      <c r="X23" s="21" t="n">
        <f aca="false">SUM(D23:W23)</f>
        <v>30213454.0763014</v>
      </c>
    </row>
    <row r="25" customFormat="false" ht="15" hidden="false" customHeight="true" outlineLevel="0" collapsed="false">
      <c r="B25" s="19" t="s">
        <v>489</v>
      </c>
      <c r="D25" s="21" t="n">
        <f aca="false">D13-D23</f>
        <v>553942.77064931</v>
      </c>
      <c r="E25" s="21" t="n">
        <f aca="false">E13-E23</f>
        <v>591532.239365303</v>
      </c>
      <c r="F25" s="21" t="n">
        <f aca="false">F13-F23</f>
        <v>599671.449618451</v>
      </c>
      <c r="G25" s="21" t="n">
        <f aca="false">G13-G23</f>
        <v>592043.864349057</v>
      </c>
      <c r="H25" s="21" t="n">
        <f aca="false">H13-H23</f>
        <v>583421.643524438</v>
      </c>
      <c r="I25" s="21" t="n">
        <f aca="false">I13-I23</f>
        <v>573743.460643014</v>
      </c>
      <c r="J25" s="21" t="n">
        <f aca="false">J13-J23</f>
        <v>562944.531306655</v>
      </c>
      <c r="K25" s="21" t="n">
        <f aca="false">K13-K23</f>
        <v>550956.417481655</v>
      </c>
      <c r="L25" s="21" t="n">
        <f aca="false">L13-L23</f>
        <v>537706.820462731</v>
      </c>
      <c r="M25" s="21" t="n">
        <f aca="false">M13-M23</f>
        <v>523119.361877441</v>
      </c>
      <c r="N25" s="21" t="n">
        <f aca="false">N13-N23</f>
        <v>507113.352029135</v>
      </c>
      <c r="O25" s="21" t="n">
        <f aca="false">O13-O23</f>
        <v>489603.544834968</v>
      </c>
      <c r="P25" s="21" t="n">
        <f aca="false">P13-P23</f>
        <v>470499.878571386</v>
      </c>
      <c r="Q25" s="21" t="n">
        <f aca="false">Q13-Q23</f>
        <v>449707.201592812</v>
      </c>
      <c r="R25" s="21" t="n">
        <f aca="false">R13-R23</f>
        <v>427124.982139722</v>
      </c>
      <c r="S25" s="21" t="n">
        <f aca="false">S13-S23</f>
        <v>402647.001299877</v>
      </c>
      <c r="T25" s="21" t="n">
        <f aca="false">T13-T23</f>
        <v>376161.028130864</v>
      </c>
      <c r="U25" s="21" t="n">
        <f aca="false">U13-U23</f>
        <v>347548.475893212</v>
      </c>
      <c r="V25" s="21" t="n">
        <f aca="false">V13-V23</f>
        <v>316684.038280928</v>
      </c>
      <c r="W25" s="21" t="n">
        <f aca="false">W13-W23</f>
        <v>283435.304470149</v>
      </c>
      <c r="X25" s="21" t="n">
        <f aca="false">SUM(D25:W25)</f>
        <v>9739607.36652111</v>
      </c>
    </row>
    <row r="27" customFormat="false" ht="15" hidden="false" customHeight="true" outlineLevel="0" collapsed="false">
      <c r="B27" s="13" t="s">
        <v>795</v>
      </c>
      <c r="D27" s="66" t="n">
        <f aca="false">LOM_ReservesStab</f>
        <v>45512.07955</v>
      </c>
      <c r="E27" s="37" t="n">
        <f aca="false">D27*(1+$D$51)</f>
        <v>46877.4419365</v>
      </c>
      <c r="F27" s="37" t="n">
        <f aca="false">E27*(1+$D$51)</f>
        <v>48283.765194595</v>
      </c>
      <c r="G27" s="37" t="n">
        <f aca="false">F27*(1+$D$51)</f>
        <v>49732.2781504329</v>
      </c>
      <c r="H27" s="37" t="n">
        <f aca="false">G27*(1+$D$51)</f>
        <v>51224.2464949458</v>
      </c>
      <c r="I27" s="37" t="n">
        <f aca="false">H27*(1+$D$51)</f>
        <v>52760.9738897942</v>
      </c>
      <c r="J27" s="37" t="n">
        <f aca="false">I27*(1+$D$51)</f>
        <v>54343.8031064881</v>
      </c>
      <c r="K27" s="37" t="n">
        <f aca="false">J27*(1+$D$51)</f>
        <v>55974.1171996827</v>
      </c>
      <c r="L27" s="37" t="n">
        <f aca="false">K27*(1+$D$51)</f>
        <v>57653.3407156732</v>
      </c>
      <c r="M27" s="37" t="n">
        <f aca="false">L27*(1+$D$51)</f>
        <v>59382.9409371434</v>
      </c>
      <c r="N27" s="37" t="n">
        <f aca="false">M27*(1+$D$51)</f>
        <v>61164.4291652577</v>
      </c>
      <c r="O27" s="37" t="n">
        <f aca="false">N27*(1+$D$51)</f>
        <v>62999.3620402154</v>
      </c>
      <c r="P27" s="37" t="n">
        <f aca="false">O27*(1+$D$51)</f>
        <v>64889.3429014219</v>
      </c>
      <c r="Q27" s="37" t="n">
        <f aca="false">P27*(1+$D$51)</f>
        <v>66836.0231884645</v>
      </c>
      <c r="R27" s="37" t="n">
        <f aca="false">Q27*(1+$D$51)</f>
        <v>68841.1038841185</v>
      </c>
      <c r="S27" s="37" t="n">
        <f aca="false">R27*(1+$D$51)</f>
        <v>70906.337000642</v>
      </c>
      <c r="T27" s="37" t="n">
        <f aca="false">S27*(1+$D$51)</f>
        <v>73033.5271106613</v>
      </c>
      <c r="U27" s="37" t="n">
        <f aca="false">T27*(1+$D$51)</f>
        <v>75224.5329239811</v>
      </c>
      <c r="V27" s="37" t="n">
        <f aca="false">U27*(1+$D$51)</f>
        <v>77481.2689117005</v>
      </c>
      <c r="W27" s="37" t="n">
        <f aca="false">V27*(1+$D$51)</f>
        <v>79805.7069790516</v>
      </c>
    </row>
    <row r="29" customFormat="false" ht="15" hidden="false" customHeight="true" outlineLevel="0" collapsed="false">
      <c r="B29" s="13" t="s">
        <v>796</v>
      </c>
      <c r="D29" s="37" t="n">
        <f aca="false">D59</f>
        <v>467499.530541555</v>
      </c>
      <c r="E29" s="37" t="n">
        <f aca="false">E59</f>
        <v>463561.891871167</v>
      </c>
      <c r="F29" s="37" t="n">
        <f aca="false">F59</f>
        <v>459387.994880555</v>
      </c>
      <c r="G29" s="37" t="n">
        <f aca="false">G59</f>
        <v>454963.664070507</v>
      </c>
      <c r="H29" s="37" t="n">
        <f aca="false">H59</f>
        <v>450273.873411856</v>
      </c>
      <c r="I29" s="37" t="n">
        <f aca="false">I59</f>
        <v>445302.695313685</v>
      </c>
      <c r="J29" s="37" t="n">
        <f aca="false">J59</f>
        <v>440033.246529625</v>
      </c>
      <c r="K29" s="37" t="n">
        <f aca="false">K59</f>
        <v>434447.630818521</v>
      </c>
      <c r="L29" s="37" t="n">
        <f aca="false">L59</f>
        <v>428526.87816475</v>
      </c>
      <c r="M29" s="37" t="n">
        <f aca="false">M59</f>
        <v>422250.880351753</v>
      </c>
      <c r="N29" s="37" t="n">
        <f aca="false">N59</f>
        <v>415598.322669977</v>
      </c>
      <c r="O29" s="37" t="n">
        <f aca="false">O59</f>
        <v>408546.611527294</v>
      </c>
      <c r="P29" s="37" t="n">
        <f aca="false">P59</f>
        <v>401071.79771605</v>
      </c>
      <c r="Q29" s="37" t="n">
        <f aca="false">Q59</f>
        <v>393148.495076131</v>
      </c>
      <c r="R29" s="37" t="n">
        <f aca="false">R59</f>
        <v>384749.794277818</v>
      </c>
      <c r="S29" s="37" t="n">
        <f aca="false">S59</f>
        <v>375847.171431605</v>
      </c>
      <c r="T29" s="37" t="n">
        <f aca="false">T59</f>
        <v>366410.39121462</v>
      </c>
      <c r="U29" s="37" t="n">
        <f aca="false">U59</f>
        <v>356407.404184615</v>
      </c>
      <c r="V29" s="37" t="n">
        <f aca="false">V59</f>
        <v>345804.23793281</v>
      </c>
      <c r="W29" s="37" t="n">
        <f aca="false">W59</f>
        <v>334564.881705897</v>
      </c>
    </row>
    <row r="30" customFormat="false" ht="15" hidden="false" customHeight="true" outlineLevel="0" collapsed="false">
      <c r="B30" s="13" t="s">
        <v>797</v>
      </c>
      <c r="D30" s="37" t="n">
        <f aca="false">D60</f>
        <v>65627.311173139</v>
      </c>
      <c r="E30" s="37" t="n">
        <f aca="false">E60</f>
        <v>69564.9498435273</v>
      </c>
      <c r="F30" s="37" t="n">
        <f aca="false">F60</f>
        <v>73738.846834139</v>
      </c>
      <c r="G30" s="37" t="n">
        <f aca="false">G60</f>
        <v>78163.1776441874</v>
      </c>
      <c r="H30" s="37" t="n">
        <f aca="false">H60</f>
        <v>82852.9683028386</v>
      </c>
      <c r="I30" s="37" t="n">
        <f aca="false">I60</f>
        <v>87824.1464010089</v>
      </c>
      <c r="J30" s="37" t="n">
        <f aca="false">J60</f>
        <v>93093.5951850694</v>
      </c>
      <c r="K30" s="37" t="n">
        <f aca="false">K60</f>
        <v>98679.2108961736</v>
      </c>
      <c r="L30" s="37" t="n">
        <f aca="false">L60</f>
        <v>104599.963549944</v>
      </c>
      <c r="M30" s="37" t="n">
        <f aca="false">M60</f>
        <v>110875.961362941</v>
      </c>
      <c r="N30" s="37" t="n">
        <f aca="false">N60</f>
        <v>117528.519044717</v>
      </c>
      <c r="O30" s="37" t="n">
        <f aca="false">O60</f>
        <v>124580.2301874</v>
      </c>
      <c r="P30" s="37" t="n">
        <f aca="false">P60</f>
        <v>132055.043998644</v>
      </c>
      <c r="Q30" s="37" t="n">
        <f aca="false">Q60</f>
        <v>139978.346638563</v>
      </c>
      <c r="R30" s="37" t="n">
        <f aca="false">R60</f>
        <v>148377.047436876</v>
      </c>
      <c r="S30" s="37" t="n">
        <f aca="false">S60</f>
        <v>157279.670283089</v>
      </c>
      <c r="T30" s="37" t="n">
        <f aca="false">T60</f>
        <v>166716.450500074</v>
      </c>
      <c r="U30" s="37" t="n">
        <f aca="false">U60</f>
        <v>176719.437530079</v>
      </c>
      <c r="V30" s="37" t="n">
        <f aca="false">V60</f>
        <v>187322.603781884</v>
      </c>
      <c r="W30" s="37" t="n">
        <f aca="false">W60</f>
        <v>198561.960008797</v>
      </c>
    </row>
    <row r="32" customFormat="false" ht="15" hidden="false" customHeight="true" outlineLevel="0" collapsed="false">
      <c r="B32" s="19" t="s">
        <v>798</v>
      </c>
      <c r="D32" s="21" t="n">
        <f aca="false">D25-D27-D29-D30</f>
        <v>-24696.1506153846</v>
      </c>
      <c r="E32" s="21" t="n">
        <f aca="false">E25-E27-E29-E30</f>
        <v>11527.9557141094</v>
      </c>
      <c r="F32" s="21" t="n">
        <f aca="false">F25-F27-F29-F30</f>
        <v>18260.8427091616</v>
      </c>
      <c r="G32" s="21" t="n">
        <f aca="false">G25-G27-G29-G30</f>
        <v>9184.74448393029</v>
      </c>
      <c r="H32" s="21" t="n">
        <f aca="false">H25-H27-H29-H30</f>
        <v>-929.444685201976</v>
      </c>
      <c r="I32" s="21" t="n">
        <f aca="false">I25-I27-I29-I30</f>
        <v>-12144.3549614745</v>
      </c>
      <c r="J32" s="21" t="n">
        <f aca="false">J25-J27-J29-J30</f>
        <v>-24526.1135145274</v>
      </c>
      <c r="K32" s="21" t="n">
        <f aca="false">K25-K27-K29-K30</f>
        <v>-38144.541432722</v>
      </c>
      <c r="L32" s="21" t="n">
        <f aca="false">L25-L27-L29-L30</f>
        <v>-53073.3619676363</v>
      </c>
      <c r="M32" s="21" t="n">
        <f aca="false">M25-M27-M29-M30</f>
        <v>-69390.4207743969</v>
      </c>
      <c r="N32" s="21" t="n">
        <f aca="false">N25-N27-N29-N30</f>
        <v>-87177.9188508172</v>
      </c>
      <c r="O32" s="21" t="n">
        <f aca="false">O25-O27-O29-O30</f>
        <v>-106522.658919942</v>
      </c>
      <c r="P32" s="21" t="n">
        <f aca="false">P25-P27-P29-P30</f>
        <v>-127516.30604473</v>
      </c>
      <c r="Q32" s="21" t="n">
        <f aca="false">Q25-Q27-Q29-Q30</f>
        <v>-150255.663310347</v>
      </c>
      <c r="R32" s="21" t="n">
        <f aca="false">R25-R27-R29-R30</f>
        <v>-174842.963459091</v>
      </c>
      <c r="S32" s="21" t="n">
        <f aca="false">S25-S27-S29-S30</f>
        <v>-201386.177415459</v>
      </c>
      <c r="T32" s="21" t="n">
        <f aca="false">T25-T27-T29-T30</f>
        <v>-229999.340694492</v>
      </c>
      <c r="U32" s="21" t="n">
        <f aca="false">U25-U27-U29-U30</f>
        <v>-260802.898745463</v>
      </c>
      <c r="V32" s="21" t="n">
        <f aca="false">V25-V27-V29-V30</f>
        <v>-293924.072345466</v>
      </c>
      <c r="W32" s="21" t="n">
        <f aca="false">W25-W27-W29-W30</f>
        <v>-329497.244223597</v>
      </c>
    </row>
    <row r="34" customFormat="false" ht="15" hidden="false" customHeight="true" outlineLevel="0" collapsed="false">
      <c r="B34" s="13" t="s">
        <v>799</v>
      </c>
      <c r="D34" s="37" t="n">
        <f aca="false">IF((CashFlowCeilPct*D32)&lt;=0,0,CashFlowCeilPct*D32)</f>
        <v>0</v>
      </c>
      <c r="E34" s="37" t="n">
        <f aca="false">IF((CashFlowCeilPct*E32)&lt;=0,0,CashFlowCeilPct*E32)</f>
        <v>1152.79557141094</v>
      </c>
      <c r="F34" s="37" t="n">
        <f aca="false">IF((CashFlowCeilPct*F32)&lt;=0,0,CashFlowCeilPct*F32)</f>
        <v>1826.08427091616</v>
      </c>
      <c r="G34" s="37" t="n">
        <f aca="false">IF((CashFlowCeilPct*G32)&lt;=0,0,CashFlowCeilPct*G32)</f>
        <v>918.474448393029</v>
      </c>
      <c r="H34" s="37" t="n">
        <f aca="false">IF((CashFlowCeilPct*H32)&lt;=0,0,CashFlowCeilPct*H32)</f>
        <v>0</v>
      </c>
      <c r="I34" s="37" t="n">
        <f aca="false">IF((CashFlowCeilPct*I32)&lt;=0,0,CashFlowCeilPct*I32)</f>
        <v>0</v>
      </c>
      <c r="J34" s="37" t="n">
        <f aca="false">IF((CashFlowCeilPct*J32)&lt;=0,0,CashFlowCeilPct*J32)</f>
        <v>0</v>
      </c>
      <c r="K34" s="37" t="n">
        <f aca="false">IF((CashFlowCeilPct*K32)&lt;=0,0,CashFlowCeilPct*K32)</f>
        <v>0</v>
      </c>
      <c r="L34" s="37" t="n">
        <f aca="false">IF((CashFlowCeilPct*L32)&lt;=0,0,CashFlowCeilPct*L32)</f>
        <v>0</v>
      </c>
      <c r="M34" s="37" t="n">
        <f aca="false">IF((CashFlowCeilPct*M32)&lt;=0,0,CashFlowCeilPct*M32)</f>
        <v>0</v>
      </c>
      <c r="N34" s="37" t="n">
        <f aca="false">IF((CashFlowCeilPct*N32)&lt;=0,0,CashFlowCeilPct*N32)</f>
        <v>0</v>
      </c>
      <c r="O34" s="37" t="n">
        <f aca="false">IF((CashFlowCeilPct*O32)&lt;=0,0,CashFlowCeilPct*O32)</f>
        <v>0</v>
      </c>
      <c r="P34" s="37" t="n">
        <f aca="false">IF((CashFlowCeilPct*P32)&lt;=0,0,CashFlowCeilPct*P32)</f>
        <v>0</v>
      </c>
      <c r="Q34" s="37" t="n">
        <f aca="false">IF((CashFlowCeilPct*Q32)&lt;=0,0,CashFlowCeilPct*Q32)</f>
        <v>0</v>
      </c>
      <c r="R34" s="37" t="n">
        <f aca="false">IF((CashFlowCeilPct*R32)&lt;=0,0,CashFlowCeilPct*R32)</f>
        <v>0</v>
      </c>
      <c r="S34" s="37" t="n">
        <f aca="false">IF((CashFlowCeilPct*S32)&lt;=0,0,CashFlowCeilPct*S32)</f>
        <v>0</v>
      </c>
      <c r="T34" s="37" t="n">
        <f aca="false">IF((CashFlowCeilPct*T32)&lt;=0,0,CashFlowCeilPct*T32)</f>
        <v>0</v>
      </c>
      <c r="U34" s="37" t="n">
        <f aca="false">IF((CashFlowCeilPct*U32)&lt;=0,0,CashFlowCeilPct*U32)</f>
        <v>0</v>
      </c>
      <c r="V34" s="37" t="n">
        <f aca="false">IF((CashFlowCeilPct*V32)&lt;=0,0,CashFlowCeilPct*V32)</f>
        <v>0</v>
      </c>
      <c r="W34" s="37" t="n">
        <f aca="false">IF((CashFlowCeilPct*W32)&lt;=0,0,CashFlowCeilPct*W32)</f>
        <v>0</v>
      </c>
    </row>
    <row r="36" customFormat="false" ht="15" hidden="false" customHeight="true" outlineLevel="0" collapsed="false">
      <c r="B36" s="19" t="s">
        <v>800</v>
      </c>
      <c r="D36" s="21" t="n">
        <f aca="false">D32-D34</f>
        <v>-24696.1506153846</v>
      </c>
      <c r="E36" s="21" t="n">
        <f aca="false">E32-E34</f>
        <v>10375.1601426984</v>
      </c>
      <c r="F36" s="21" t="n">
        <f aca="false">F32-F34</f>
        <v>16434.7584382454</v>
      </c>
      <c r="G36" s="21" t="n">
        <f aca="false">G32-G34</f>
        <v>8266.27003553726</v>
      </c>
      <c r="H36" s="21" t="n">
        <f aca="false">H32-H34</f>
        <v>-929.444685201976</v>
      </c>
      <c r="I36" s="21" t="n">
        <f aca="false">I32-I34</f>
        <v>-12144.3549614745</v>
      </c>
      <c r="J36" s="21" t="n">
        <f aca="false">J32-J34</f>
        <v>-24526.1135145274</v>
      </c>
      <c r="K36" s="21" t="n">
        <f aca="false">K32-K34</f>
        <v>-38144.541432722</v>
      </c>
      <c r="L36" s="21" t="n">
        <f aca="false">L32-L34</f>
        <v>-53073.3619676363</v>
      </c>
      <c r="M36" s="21" t="n">
        <f aca="false">M32-M34</f>
        <v>-69390.4207743969</v>
      </c>
      <c r="N36" s="21" t="n">
        <f aca="false">N32-N34</f>
        <v>-87177.9188508172</v>
      </c>
      <c r="O36" s="21" t="n">
        <f aca="false">O32-O34</f>
        <v>-106522.658919942</v>
      </c>
      <c r="P36" s="21" t="n">
        <f aca="false">P32-P34</f>
        <v>-127516.30604473</v>
      </c>
      <c r="Q36" s="21" t="n">
        <f aca="false">Q32-Q34</f>
        <v>-150255.663310347</v>
      </c>
      <c r="R36" s="21" t="n">
        <f aca="false">R32-R34</f>
        <v>-174842.963459091</v>
      </c>
      <c r="S36" s="21" t="n">
        <f aca="false">S32-S34</f>
        <v>-201386.177415459</v>
      </c>
      <c r="T36" s="21" t="n">
        <f aca="false">T32-T34</f>
        <v>-229999.340694492</v>
      </c>
      <c r="U36" s="21" t="n">
        <f aca="false">U32-U34</f>
        <v>-260802.898745463</v>
      </c>
      <c r="V36" s="21" t="n">
        <f aca="false">V32-V34</f>
        <v>-293924.072345466</v>
      </c>
      <c r="W36" s="21" t="n">
        <f aca="false">W32-W34</f>
        <v>-329497.244223597</v>
      </c>
      <c r="X36" s="21" t="n">
        <f aca="false">SUM(D36:W36)</f>
        <v>-2149753.44334427</v>
      </c>
    </row>
    <row r="37" customFormat="false" ht="15" hidden="false" customHeight="true" outlineLevel="0" collapsed="false">
      <c r="B37" s="36" t="s">
        <v>801</v>
      </c>
    </row>
    <row r="39" customFormat="false" ht="15" hidden="false" customHeight="true" outlineLevel="0" collapsed="false">
      <c r="B39" s="69" t="s">
        <v>8</v>
      </c>
      <c r="D39" s="102" t="n">
        <f aca="false">IF((D29+D30)=0,0,D25/(D29+D30))</f>
        <v>1.0390449838685</v>
      </c>
      <c r="E39" s="102" t="n">
        <f aca="false">IF((E29+E30)=0,0,E25/(E29+E30))</f>
        <v>1.1095525362459</v>
      </c>
      <c r="F39" s="102" t="n">
        <f aca="false">IF((F29+F30)=0,0,F25/(F29+F30))</f>
        <v>1.12481946639514</v>
      </c>
      <c r="G39" s="102" t="n">
        <f aca="false">IF((G29+G30)=0,0,G25/(G29+G30))</f>
        <v>1.11051220464696</v>
      </c>
      <c r="H39" s="102" t="n">
        <f aca="false">IF((H29+H30)=0,0,H25/(H29+H30))</f>
        <v>1.09433927890027</v>
      </c>
      <c r="I39" s="102" t="n">
        <f aca="false">IF((I29+I30)=0,0,I25/(I29+I30))</f>
        <v>1.07618565742757</v>
      </c>
      <c r="J39" s="102" t="n">
        <f aca="false">IF((J29+J30)=0,0,J25/(J29+J30))</f>
        <v>1.05592982243411</v>
      </c>
      <c r="K39" s="102" t="n">
        <f aca="false">IF((K29+K30)=0,0,K25/(K29+K30))</f>
        <v>1.03344340290505</v>
      </c>
      <c r="L39" s="102" t="n">
        <f aca="false">IF((L29+L30)=0,0,L25/(L29+L30))</f>
        <v>1.00859078626262</v>
      </c>
      <c r="M39" s="102" t="n">
        <f aca="false">IF((M29+M30)=0,0,M25/(M29+M30))</f>
        <v>0.981228707590362</v>
      </c>
      <c r="N39" s="102" t="n">
        <f aca="false">IF((N29+N30)=0,0,N25/(N29+N30))</f>
        <v>0.951205815107916</v>
      </c>
      <c r="O39" s="102" t="n">
        <f aca="false">IF((O29+O30)=0,0,O25/(O29+O30))</f>
        <v>0.918362210501834</v>
      </c>
      <c r="P39" s="102" t="n">
        <f aca="false">IF((P29+P30)=0,0,P25/(P29+P30))</f>
        <v>0.882528962635081</v>
      </c>
      <c r="Q39" s="102" t="n">
        <f aca="false">IF((Q29+Q30)=0,0,Q25/(Q29+Q30))</f>
        <v>0.843527593070385</v>
      </c>
      <c r="R39" s="102" t="n">
        <f aca="false">IF((R29+R30)=0,0,R25/(R29+R30))</f>
        <v>0.801169531749632</v>
      </c>
      <c r="S39" s="102" t="n">
        <f aca="false">IF((S29+S30)=0,0,S25/(S29+S30))</f>
        <v>0.755255541073199</v>
      </c>
      <c r="T39" s="102" t="n">
        <f aca="false">IF((T29+T30)=0,0,T25/(T29+T30))</f>
        <v>0.705575106518776</v>
      </c>
      <c r="U39" s="102" t="n">
        <f aca="false">IF((U29+U30)=0,0,U25/(U29+U30))</f>
        <v>0.651905791828813</v>
      </c>
      <c r="V39" s="102" t="n">
        <f aca="false">IF((V29+V30)=0,0,V25/(V29+V30))</f>
        <v>0.594012556678592</v>
      </c>
      <c r="W39" s="102" t="n">
        <f aca="false">IF((W29+W30)=0,0,W25/(W29+W30))</f>
        <v>0.531647034612883</v>
      </c>
    </row>
    <row r="41" customFormat="false" ht="15" hidden="false" customHeight="true" outlineLevel="0" collapsed="false">
      <c r="B41" s="13" t="s">
        <v>802</v>
      </c>
      <c r="D41" s="66" t="n">
        <f aca="false">SUMPRODUCT((ROUNDUP(LOM_PayinMonths/12,0)=1)*LOM_PayinAmts)</f>
        <v>822171.794325996</v>
      </c>
      <c r="E41" s="66" t="n">
        <f aca="false">SUMPRODUCT((ROUNDUP(LOM_PayinMonths/12,0)=2)*LOM_PayinAmts)</f>
        <v>3288687.17730398</v>
      </c>
      <c r="F41" s="66" t="n">
        <f aca="false">SUMPRODUCT((ROUNDUP(LOM_PayinMonths/12,0)=3)*LOM_PayinAmts)</f>
        <v>0</v>
      </c>
      <c r="G41" s="66" t="n">
        <f aca="false">SUMPRODUCT((ROUNDUP(LOM_PayinMonths/12,0)=4)*LOM_PayinAmts)</f>
        <v>0</v>
      </c>
      <c r="H41" s="66" t="n">
        <f aca="false">SUMPRODUCT((ROUNDUP(LOM_PayinMonths/12,0)=5)*LOM_PayinAmts)</f>
        <v>0</v>
      </c>
      <c r="I41" s="66" t="n">
        <f aca="false">SUMPRODUCT((ROUNDUP(LOM_PayinMonths/12,0)=6)*LOM_PayinAmts)</f>
        <v>0</v>
      </c>
      <c r="J41" s="66" t="n">
        <f aca="false">SUMPRODUCT((ROUNDUP(LOM_PayinMonths/12,0)=7)*LOM_PayinAmts)</f>
        <v>0</v>
      </c>
      <c r="K41" s="66" t="n">
        <f aca="false">SUMPRODUCT((ROUNDUP(LOM_PayinMonths/12,0)=8)*LOM_PayinAmts)</f>
        <v>0</v>
      </c>
      <c r="L41" s="66" t="n">
        <f aca="false">SUMPRODUCT((ROUNDUP(LOM_PayinMonths/12,0)=9)*LOM_PayinAmts)</f>
        <v>0</v>
      </c>
      <c r="M41" s="66" t="n">
        <f aca="false">SUMPRODUCT((ROUNDUP(LOM_PayinMonths/12,0)=10)*LOM_PayinAmts)</f>
        <v>0</v>
      </c>
      <c r="N41" s="66" t="n">
        <f aca="false">SUMPRODUCT((ROUNDUP(LOM_PayinMonths/12,0)=11)*LOM_PayinAmts)</f>
        <v>0</v>
      </c>
      <c r="O41" s="66" t="n">
        <f aca="false">SUMPRODUCT((ROUNDUP(LOM_PayinMonths/12,0)=12)*LOM_PayinAmts)</f>
        <v>0</v>
      </c>
      <c r="P41" s="66" t="n">
        <f aca="false">SUMPRODUCT((ROUNDUP(LOM_PayinMonths/12,0)=13)*LOM_PayinAmts)</f>
        <v>0</v>
      </c>
      <c r="Q41" s="66" t="n">
        <f aca="false">SUMPRODUCT((ROUNDUP(LOM_PayinMonths/12,0)=14)*LOM_PayinAmts)</f>
        <v>0</v>
      </c>
      <c r="R41" s="66" t="n">
        <f aca="false">SUMPRODUCT((ROUNDUP(LOM_PayinMonths/12,0)=15)*LOM_PayinAmts)</f>
        <v>0</v>
      </c>
      <c r="S41" s="66" t="n">
        <f aca="false">SUMPRODUCT((ROUNDUP(LOM_PayinMonths/12,0)=16)*LOM_PayinAmts)</f>
        <v>0</v>
      </c>
      <c r="T41" s="66" t="n">
        <f aca="false">SUMPRODUCT((ROUNDUP(LOM_PayinMonths/12,0)=17)*LOM_PayinAmts)</f>
        <v>0</v>
      </c>
      <c r="U41" s="66" t="n">
        <f aca="false">SUMPRODUCT((ROUNDUP(LOM_PayinMonths/12,0)=18)*LOM_PayinAmts)</f>
        <v>0</v>
      </c>
      <c r="V41" s="66" t="n">
        <f aca="false">SUMPRODUCT((ROUNDUP(LOM_PayinMonths/12,0)=19)*LOM_PayinAmts)</f>
        <v>0</v>
      </c>
      <c r="W41" s="66" t="n">
        <f aca="false">SUMPRODUCT((ROUNDUP(LOM_PayinMonths/12,0)=20)*LOM_PayinAmts)</f>
        <v>0</v>
      </c>
      <c r="X41" s="66" t="n">
        <f aca="false">SUM(D41:W41)</f>
        <v>4110858.97162998</v>
      </c>
    </row>
    <row r="49" customFormat="false" ht="15" hidden="false" customHeight="true" outlineLevel="0" collapsed="false">
      <c r="B49" s="63" t="s">
        <v>803</v>
      </c>
    </row>
    <row r="50" customFormat="false" ht="15" hidden="false" customHeight="true" outlineLevel="0" collapsed="false">
      <c r="B50" s="13" t="s">
        <v>804</v>
      </c>
      <c r="D50" s="51" t="n">
        <f aca="false">OCAF*OCAFHaircut</f>
        <v>0.01875</v>
      </c>
    </row>
    <row r="51" customFormat="false" ht="15" hidden="false" customHeight="true" outlineLevel="0" collapsed="false">
      <c r="B51" s="13" t="s">
        <v>805</v>
      </c>
      <c r="D51" s="51" t="n">
        <f aca="false">ExpGrowth</f>
        <v>0.03</v>
      </c>
    </row>
    <row r="56" customFormat="false" ht="15" hidden="false" customHeight="true" outlineLevel="0" collapsed="false">
      <c r="B56" s="63" t="s">
        <v>806</v>
      </c>
    </row>
    <row r="57" customFormat="false" ht="15" hidden="false" customHeight="true" outlineLevel="0" collapsed="false">
      <c r="B57" s="13" t="s">
        <v>807</v>
      </c>
      <c r="C57" s="43" t="n">
        <f aca="false">IF(DebtStrategy="Refinance",PermRate,LOM_NoteRate)</f>
        <v>0.06</v>
      </c>
    </row>
    <row r="58" customFormat="false" ht="15" hidden="false" customHeight="true" outlineLevel="0" collapsed="false">
      <c r="B58" s="13" t="s">
        <v>808</v>
      </c>
      <c r="D58" s="37" t="n">
        <f aca="false">LOM_SelProceeds</f>
        <v>7791658.84235925</v>
      </c>
      <c r="E58" s="37" t="n">
        <f aca="false">D61</f>
        <v>7726031.53118611</v>
      </c>
      <c r="F58" s="37" t="n">
        <f aca="false">E61</f>
        <v>7656466.58134258</v>
      </c>
      <c r="G58" s="37" t="n">
        <f aca="false">F61</f>
        <v>7582727.73450845</v>
      </c>
      <c r="H58" s="37" t="n">
        <f aca="false">G61</f>
        <v>7504564.55686426</v>
      </c>
      <c r="I58" s="37" t="n">
        <f aca="false">H61</f>
        <v>7421711.58856142</v>
      </c>
      <c r="J58" s="37" t="n">
        <f aca="false">I61</f>
        <v>7333887.44216041</v>
      </c>
      <c r="K58" s="37" t="n">
        <f aca="false">J61</f>
        <v>7240793.84697534</v>
      </c>
      <c r="L58" s="37" t="n">
        <f aca="false">K61</f>
        <v>7142114.63607917</v>
      </c>
      <c r="M58" s="37" t="n">
        <f aca="false">L61</f>
        <v>7037514.67252922</v>
      </c>
      <c r="N58" s="37" t="n">
        <f aca="false">M61</f>
        <v>6926638.71116628</v>
      </c>
      <c r="O58" s="37" t="n">
        <f aca="false">N61</f>
        <v>6809110.19212157</v>
      </c>
      <c r="P58" s="37" t="n">
        <f aca="false">O61</f>
        <v>6684529.96193417</v>
      </c>
      <c r="Q58" s="37" t="n">
        <f aca="false">P61</f>
        <v>6552474.91793552</v>
      </c>
      <c r="R58" s="37" t="n">
        <f aca="false">Q61</f>
        <v>6412496.57129696</v>
      </c>
      <c r="S58" s="37" t="n">
        <f aca="false">R61</f>
        <v>6264119.52386008</v>
      </c>
      <c r="T58" s="37" t="n">
        <f aca="false">S61</f>
        <v>6106839.85357699</v>
      </c>
      <c r="U58" s="37" t="n">
        <f aca="false">T61</f>
        <v>5940123.40307692</v>
      </c>
      <c r="V58" s="37" t="n">
        <f aca="false">U61</f>
        <v>5763403.96554684</v>
      </c>
      <c r="W58" s="37" t="n">
        <f aca="false">V61</f>
        <v>5576081.36176496</v>
      </c>
    </row>
    <row r="59" customFormat="false" ht="15" hidden="false" customHeight="true" outlineLevel="0" collapsed="false">
      <c r="B59" s="13" t="s">
        <v>809</v>
      </c>
      <c r="D59" s="37" t="n">
        <f aca="false">D58*$C$57</f>
        <v>467499.530541555</v>
      </c>
      <c r="E59" s="37" t="n">
        <f aca="false">E58*$C$57</f>
        <v>463561.891871167</v>
      </c>
      <c r="F59" s="37" t="n">
        <f aca="false">F58*$C$57</f>
        <v>459387.994880555</v>
      </c>
      <c r="G59" s="37" t="n">
        <f aca="false">G58*$C$57</f>
        <v>454963.664070507</v>
      </c>
      <c r="H59" s="37" t="n">
        <f aca="false">H58*$C$57</f>
        <v>450273.873411856</v>
      </c>
      <c r="I59" s="37" t="n">
        <f aca="false">I58*$C$57</f>
        <v>445302.695313685</v>
      </c>
      <c r="J59" s="37" t="n">
        <f aca="false">J58*$C$57</f>
        <v>440033.246529625</v>
      </c>
      <c r="K59" s="37" t="n">
        <f aca="false">K58*$C$57</f>
        <v>434447.630818521</v>
      </c>
      <c r="L59" s="37" t="n">
        <f aca="false">L58*$C$57</f>
        <v>428526.87816475</v>
      </c>
      <c r="M59" s="37" t="n">
        <f aca="false">M58*$C$57</f>
        <v>422250.880351753</v>
      </c>
      <c r="N59" s="37" t="n">
        <f aca="false">N58*$C$57</f>
        <v>415598.322669977</v>
      </c>
      <c r="O59" s="37" t="n">
        <f aca="false">O58*$C$57</f>
        <v>408546.611527294</v>
      </c>
      <c r="P59" s="37" t="n">
        <f aca="false">P58*$C$57</f>
        <v>401071.79771605</v>
      </c>
      <c r="Q59" s="37" t="n">
        <f aca="false">Q58*$C$57</f>
        <v>393148.495076131</v>
      </c>
      <c r="R59" s="37" t="n">
        <f aca="false">R58*$C$57</f>
        <v>384749.794277818</v>
      </c>
      <c r="S59" s="37" t="n">
        <f aca="false">S58*$C$57</f>
        <v>375847.171431605</v>
      </c>
      <c r="T59" s="37" t="n">
        <f aca="false">T58*$C$57</f>
        <v>366410.39121462</v>
      </c>
      <c r="U59" s="37" t="n">
        <f aca="false">U58*$C$57</f>
        <v>356407.404184615</v>
      </c>
      <c r="V59" s="37" t="n">
        <f aca="false">V58*$C$57</f>
        <v>345804.23793281</v>
      </c>
      <c r="W59" s="37" t="n">
        <f aca="false">W58*$C$57</f>
        <v>334564.881705897</v>
      </c>
    </row>
    <row r="60" customFormat="false" ht="15" hidden="false" customHeight="true" outlineLevel="0" collapsed="false">
      <c r="B60" s="13" t="s">
        <v>810</v>
      </c>
      <c r="D60" s="37" t="n">
        <f aca="false">MAX(0,MIN(D58,$C$62-D59))</f>
        <v>65627.311173139</v>
      </c>
      <c r="E60" s="37" t="n">
        <f aca="false">MAX(0,MIN(E58,$C$62-E59))</f>
        <v>69564.9498435273</v>
      </c>
      <c r="F60" s="37" t="n">
        <f aca="false">MAX(0,MIN(F58,$C$62-F59))</f>
        <v>73738.846834139</v>
      </c>
      <c r="G60" s="37" t="n">
        <f aca="false">MAX(0,MIN(G58,$C$62-G59))</f>
        <v>78163.1776441874</v>
      </c>
      <c r="H60" s="37" t="n">
        <f aca="false">MAX(0,MIN(H58,$C$62-H59))</f>
        <v>82852.9683028386</v>
      </c>
      <c r="I60" s="37" t="n">
        <f aca="false">MAX(0,MIN(I58,$C$62-I59))</f>
        <v>87824.1464010089</v>
      </c>
      <c r="J60" s="37" t="n">
        <f aca="false">MAX(0,MIN(J58,$C$62-J59))</f>
        <v>93093.5951850694</v>
      </c>
      <c r="K60" s="37" t="n">
        <f aca="false">MAX(0,MIN(K58,$C$62-K59))</f>
        <v>98679.2108961736</v>
      </c>
      <c r="L60" s="37" t="n">
        <f aca="false">MAX(0,MIN(L58,$C$62-L59))</f>
        <v>104599.963549944</v>
      </c>
      <c r="M60" s="37" t="n">
        <f aca="false">MAX(0,MIN(M58,$C$62-M59))</f>
        <v>110875.961362941</v>
      </c>
      <c r="N60" s="37" t="n">
        <f aca="false">MAX(0,MIN(N58,$C$62-N59))</f>
        <v>117528.519044717</v>
      </c>
      <c r="O60" s="37" t="n">
        <f aca="false">MAX(0,MIN(O58,$C$62-O59))</f>
        <v>124580.2301874</v>
      </c>
      <c r="P60" s="37" t="n">
        <f aca="false">MAX(0,MIN(P58,$C$62-P59))</f>
        <v>132055.043998644</v>
      </c>
      <c r="Q60" s="37" t="n">
        <f aca="false">MAX(0,MIN(Q58,$C$62-Q59))</f>
        <v>139978.346638563</v>
      </c>
      <c r="R60" s="37" t="n">
        <f aca="false">MAX(0,MIN(R58,$C$62-R59))</f>
        <v>148377.047436876</v>
      </c>
      <c r="S60" s="37" t="n">
        <f aca="false">MAX(0,MIN(S58,$C$62-S59))</f>
        <v>157279.670283089</v>
      </c>
      <c r="T60" s="37" t="n">
        <f aca="false">MAX(0,MIN(T58,$C$62-T59))</f>
        <v>166716.450500074</v>
      </c>
      <c r="U60" s="37" t="n">
        <f aca="false">MAX(0,MIN(U58,$C$62-U59))</f>
        <v>176719.437530079</v>
      </c>
      <c r="V60" s="37" t="n">
        <f aca="false">MAX(0,MIN(V58,$C$62-V59))</f>
        <v>187322.603781884</v>
      </c>
      <c r="W60" s="37" t="n">
        <f aca="false">MAX(0,MIN(W58,$C$62-W59))</f>
        <v>198561.960008797</v>
      </c>
    </row>
    <row r="61" customFormat="false" ht="15" hidden="false" customHeight="true" outlineLevel="0" collapsed="false">
      <c r="B61" s="13" t="s">
        <v>811</v>
      </c>
      <c r="D61" s="37" t="n">
        <f aca="false">D58-D60</f>
        <v>7726031.53118611</v>
      </c>
      <c r="E61" s="37" t="n">
        <f aca="false">E58-E60</f>
        <v>7656466.58134258</v>
      </c>
      <c r="F61" s="37" t="n">
        <f aca="false">F58-F60</f>
        <v>7582727.73450845</v>
      </c>
      <c r="G61" s="37" t="n">
        <f aca="false">G58-G60</f>
        <v>7504564.55686426</v>
      </c>
      <c r="H61" s="37" t="n">
        <f aca="false">H58-H60</f>
        <v>7421711.58856142</v>
      </c>
      <c r="I61" s="37" t="n">
        <f aca="false">I58-I60</f>
        <v>7333887.44216041</v>
      </c>
      <c r="J61" s="37" t="n">
        <f aca="false">J58-J60</f>
        <v>7240793.84697534</v>
      </c>
      <c r="K61" s="37" t="n">
        <f aca="false">K58-K60</f>
        <v>7142114.63607917</v>
      </c>
      <c r="L61" s="37" t="n">
        <f aca="false">L58-L60</f>
        <v>7037514.67252922</v>
      </c>
      <c r="M61" s="37" t="n">
        <f aca="false">M58-M60</f>
        <v>6926638.71116628</v>
      </c>
      <c r="N61" s="37" t="n">
        <f aca="false">N58-N60</f>
        <v>6809110.19212157</v>
      </c>
      <c r="O61" s="37" t="n">
        <f aca="false">O58-O60</f>
        <v>6684529.96193417</v>
      </c>
      <c r="P61" s="37" t="n">
        <f aca="false">P58-P60</f>
        <v>6552474.91793552</v>
      </c>
      <c r="Q61" s="37" t="n">
        <f aca="false">Q58-Q60</f>
        <v>6412496.57129696</v>
      </c>
      <c r="R61" s="37" t="n">
        <f aca="false">R58-R60</f>
        <v>6264119.52386008</v>
      </c>
      <c r="S61" s="37" t="n">
        <f aca="false">S58-S60</f>
        <v>6106839.85357699</v>
      </c>
      <c r="T61" s="37" t="n">
        <f aca="false">T58-T60</f>
        <v>5940123.40307692</v>
      </c>
      <c r="U61" s="37" t="n">
        <f aca="false">U58-U60</f>
        <v>5763403.96554684</v>
      </c>
      <c r="V61" s="37" t="n">
        <f aca="false">V58-V60</f>
        <v>5576081.36176496</v>
      </c>
      <c r="W61" s="37" t="n">
        <f aca="false">W58-W60</f>
        <v>5377519.40175616</v>
      </c>
    </row>
    <row r="62" customFormat="false" ht="15" hidden="false" customHeight="true" outlineLevel="0" collapsed="false">
      <c r="B62" s="13" t="s">
        <v>812</v>
      </c>
      <c r="C62" s="37" t="n">
        <f aca="false">IF(DebtStrategy="Refinance",LOM_PermLoan*(-PMT(PermRate/12,PermAmort*12,1)*12),12*LOM_NotePI)</f>
        <v>533126.841714694</v>
      </c>
    </row>
  </sheetData>
  <conditionalFormatting sqref="D39:W39">
    <cfRule type="expression" priority="2" aboveAverage="0" equalAverage="0" bottom="0" percent="0" rank="0" text="" dxfId="1">
      <formula>AND(D39&lt;&gt;0,OR(D39&lt;DSCRFloor,D39&gt;DSCRCeil))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3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.43"/>
    <col collapsed="false" customWidth="true" hidden="false" outlineLevel="0" max="2" min="2" style="1" width="44"/>
    <col collapsed="false" customWidth="true" hidden="false" outlineLevel="0" max="22" min="3" style="1" width="13.29"/>
  </cols>
  <sheetData>
    <row r="1" customFormat="false" ht="17.25" hidden="false" customHeight="true" outlineLevel="0" collapsed="false">
      <c r="A1" s="11" t="s">
        <v>832</v>
      </c>
    </row>
    <row r="3" customFormat="false" ht="15" hidden="false" customHeight="true" outlineLevel="0" collapsed="false">
      <c r="B3" s="19" t="s">
        <v>764</v>
      </c>
      <c r="C3" s="58" t="str">
        <f aca="false">"Yr "&amp;1</f>
        <v>Yr 1</v>
      </c>
      <c r="D3" s="58" t="str">
        <f aca="false">"Yr "&amp;2</f>
        <v>Yr 2</v>
      </c>
      <c r="E3" s="58" t="str">
        <f aca="false">"Yr "&amp;3</f>
        <v>Yr 3</v>
      </c>
      <c r="F3" s="58" t="str">
        <f aca="false">"Yr "&amp;4</f>
        <v>Yr 4</v>
      </c>
      <c r="G3" s="58" t="str">
        <f aca="false">"Yr "&amp;5</f>
        <v>Yr 5</v>
      </c>
      <c r="H3" s="58" t="str">
        <f aca="false">"Yr "&amp;6</f>
        <v>Yr 6</v>
      </c>
      <c r="I3" s="58" t="str">
        <f aca="false">"Yr "&amp;7</f>
        <v>Yr 7</v>
      </c>
      <c r="J3" s="58" t="str">
        <f aca="false">"Yr "&amp;8</f>
        <v>Yr 8</v>
      </c>
      <c r="K3" s="58" t="str">
        <f aca="false">"Yr "&amp;9</f>
        <v>Yr 9</v>
      </c>
      <c r="L3" s="58" t="str">
        <f aca="false">"Yr "&amp;10</f>
        <v>Yr 10</v>
      </c>
      <c r="M3" s="58" t="str">
        <f aca="false">"Yr "&amp;11</f>
        <v>Yr 11</v>
      </c>
      <c r="N3" s="58" t="str">
        <f aca="false">"Yr "&amp;12</f>
        <v>Yr 12</v>
      </c>
      <c r="O3" s="58" t="str">
        <f aca="false">"Yr "&amp;13</f>
        <v>Yr 13</v>
      </c>
      <c r="P3" s="58" t="str">
        <f aca="false">"Yr "&amp;14</f>
        <v>Yr 14</v>
      </c>
      <c r="Q3" s="58" t="str">
        <f aca="false">"Yr "&amp;15</f>
        <v>Yr 15</v>
      </c>
      <c r="R3" s="58" t="str">
        <f aca="false">"Yr "&amp;16</f>
        <v>Yr 16</v>
      </c>
      <c r="S3" s="58" t="str">
        <f aca="false">"Yr "&amp;17</f>
        <v>Yr 17</v>
      </c>
      <c r="T3" s="58" t="str">
        <f aca="false">"Yr "&amp;18</f>
        <v>Yr 18</v>
      </c>
      <c r="U3" s="58" t="str">
        <f aca="false">"Yr "&amp;19</f>
        <v>Yr 19</v>
      </c>
      <c r="V3" s="58" t="str">
        <f aca="false">"Yr "&amp;20</f>
        <v>Yr 20</v>
      </c>
    </row>
    <row r="5" customFormat="false" ht="15" hidden="false" customHeight="true" outlineLevel="0" collapsed="false">
      <c r="B5" s="19" t="s">
        <v>814</v>
      </c>
      <c r="C5" s="109" t="n">
        <f aca="false">'LOM - Pro Forma'!D36</f>
        <v>-24696.1506153846</v>
      </c>
      <c r="D5" s="109" t="n">
        <f aca="false">'LOM - Pro Forma'!E36</f>
        <v>10375.1601426984</v>
      </c>
      <c r="E5" s="109" t="n">
        <f aca="false">'LOM - Pro Forma'!F36</f>
        <v>16434.7584382454</v>
      </c>
      <c r="F5" s="109" t="n">
        <f aca="false">'LOM - Pro Forma'!G36</f>
        <v>8266.27003553726</v>
      </c>
      <c r="G5" s="109" t="n">
        <f aca="false">'LOM - Pro Forma'!H36</f>
        <v>-929.444685201976</v>
      </c>
      <c r="H5" s="109" t="n">
        <f aca="false">'LOM - Pro Forma'!I36</f>
        <v>-12144.3549614745</v>
      </c>
      <c r="I5" s="109" t="n">
        <f aca="false">'LOM - Pro Forma'!J36</f>
        <v>-24526.1135145274</v>
      </c>
      <c r="J5" s="109" t="n">
        <f aca="false">'LOM - Pro Forma'!K36</f>
        <v>-38144.541432722</v>
      </c>
      <c r="K5" s="109" t="n">
        <f aca="false">'LOM - Pro Forma'!L36</f>
        <v>-53073.3619676363</v>
      </c>
      <c r="L5" s="109" t="n">
        <f aca="false">'LOM - Pro Forma'!M36</f>
        <v>-69390.4207743969</v>
      </c>
      <c r="M5" s="109" t="n">
        <f aca="false">'LOM - Pro Forma'!N36</f>
        <v>-87177.9188508172</v>
      </c>
      <c r="N5" s="109" t="n">
        <f aca="false">'LOM - Pro Forma'!O36</f>
        <v>-106522.658919942</v>
      </c>
      <c r="O5" s="109" t="n">
        <f aca="false">'LOM - Pro Forma'!P36</f>
        <v>-127516.30604473</v>
      </c>
      <c r="P5" s="109" t="n">
        <f aca="false">'LOM - Pro Forma'!Q36</f>
        <v>-150255.663310347</v>
      </c>
      <c r="Q5" s="109" t="n">
        <f aca="false">'LOM - Pro Forma'!R36</f>
        <v>-174842.963459091</v>
      </c>
      <c r="R5" s="109" t="n">
        <f aca="false">'LOM - Pro Forma'!S36</f>
        <v>-201386.177415459</v>
      </c>
      <c r="S5" s="109" t="n">
        <f aca="false">'LOM - Pro Forma'!T36</f>
        <v>-229999.340694492</v>
      </c>
      <c r="T5" s="109" t="n">
        <f aca="false">'LOM - Pro Forma'!U36</f>
        <v>-260802.898745463</v>
      </c>
      <c r="U5" s="109" t="n">
        <f aca="false">'LOM - Pro Forma'!V36</f>
        <v>-293924.072345466</v>
      </c>
      <c r="V5" s="109" t="n">
        <f aca="false">'LOM - Pro Forma'!W36</f>
        <v>-329497.244223597</v>
      </c>
    </row>
    <row r="7" customFormat="false" ht="15" hidden="false" customHeight="true" outlineLevel="0" collapsed="false">
      <c r="B7" s="13" t="s">
        <v>815</v>
      </c>
      <c r="C7" s="18" t="n">
        <f aca="false">MIN(C17,MAX(0,C5))</f>
        <v>0</v>
      </c>
      <c r="D7" s="18" t="n">
        <f aca="false">MIN(D17,MAX(0,D5))</f>
        <v>10375.1601426984</v>
      </c>
      <c r="E7" s="18" t="n">
        <f aca="false">MIN(E17,MAX(0,E5))</f>
        <v>16434.7584382454</v>
      </c>
      <c r="F7" s="18" t="n">
        <f aca="false">MIN(F17,MAX(0,F5))</f>
        <v>8266.27003553726</v>
      </c>
      <c r="G7" s="18" t="n">
        <f aca="false">MIN(G17,MAX(0,G5))</f>
        <v>0</v>
      </c>
      <c r="H7" s="18" t="n">
        <f aca="false">MIN(H17,MAX(0,H5))</f>
        <v>0</v>
      </c>
      <c r="I7" s="18" t="n">
        <f aca="false">MIN(I17,MAX(0,I5))</f>
        <v>0</v>
      </c>
      <c r="J7" s="18" t="n">
        <f aca="false">MIN(J17,MAX(0,J5))</f>
        <v>0</v>
      </c>
      <c r="K7" s="18" t="n">
        <f aca="false">MIN(K17,MAX(0,K5))</f>
        <v>0</v>
      </c>
      <c r="L7" s="18" t="n">
        <f aca="false">MIN(L17,MAX(0,L5))</f>
        <v>0</v>
      </c>
      <c r="M7" s="18" t="n">
        <f aca="false">MIN(M17,MAX(0,M5))</f>
        <v>0</v>
      </c>
      <c r="N7" s="18" t="n">
        <f aca="false">MIN(N17,MAX(0,N5))</f>
        <v>0</v>
      </c>
      <c r="O7" s="18" t="n">
        <f aca="false">MIN(O17,MAX(0,O5))</f>
        <v>0</v>
      </c>
      <c r="P7" s="18" t="n">
        <f aca="false">MIN(P17,MAX(0,P5))</f>
        <v>0</v>
      </c>
      <c r="Q7" s="18" t="n">
        <f aca="false">MIN(Q17,MAX(0,Q5))</f>
        <v>0</v>
      </c>
      <c r="R7" s="18" t="n">
        <f aca="false">MIN(R17,MAX(0,R5))</f>
        <v>0</v>
      </c>
      <c r="S7" s="18" t="n">
        <f aca="false">MIN(S17,MAX(0,S5))</f>
        <v>0</v>
      </c>
      <c r="T7" s="18" t="n">
        <f aca="false">MIN(T17,MAX(0,T5))</f>
        <v>0</v>
      </c>
      <c r="U7" s="18" t="n">
        <f aca="false">MIN(U17,MAX(0,U5))</f>
        <v>0</v>
      </c>
      <c r="V7" s="18" t="n">
        <f aca="false">MIN(V17,MAX(0,V5))</f>
        <v>0</v>
      </c>
    </row>
    <row r="8" customFormat="false" ht="15" hidden="false" customHeight="true" outlineLevel="0" collapsed="false">
      <c r="B8" s="13" t="s">
        <v>816</v>
      </c>
      <c r="C8" s="18" t="n">
        <f aca="false">MIN(C23,MAX(0,C5)-C7)</f>
        <v>0</v>
      </c>
      <c r="D8" s="18" t="n">
        <f aca="false">MIN(D23,MAX(0,D5)-D7)</f>
        <v>0</v>
      </c>
      <c r="E8" s="18" t="n">
        <f aca="false">MIN(E23,MAX(0,E5)-E7)</f>
        <v>0</v>
      </c>
      <c r="F8" s="18" t="n">
        <f aca="false">MIN(F23,MAX(0,F5)-F7)</f>
        <v>0</v>
      </c>
      <c r="G8" s="18" t="n">
        <f aca="false">MIN(G23,MAX(0,G5)-G7)</f>
        <v>0</v>
      </c>
      <c r="H8" s="18" t="n">
        <f aca="false">MIN(H23,MAX(0,H5)-H7)</f>
        <v>0</v>
      </c>
      <c r="I8" s="18" t="n">
        <f aca="false">MIN(I23,MAX(0,I5)-I7)</f>
        <v>0</v>
      </c>
      <c r="J8" s="18" t="n">
        <f aca="false">MIN(J23,MAX(0,J5)-J7)</f>
        <v>0</v>
      </c>
      <c r="K8" s="18" t="n">
        <f aca="false">MIN(K23,MAX(0,K5)-K7)</f>
        <v>0</v>
      </c>
      <c r="L8" s="18" t="n">
        <f aca="false">MIN(L23,MAX(0,L5)-L7)</f>
        <v>0</v>
      </c>
      <c r="M8" s="18" t="n">
        <f aca="false">MIN(M23,MAX(0,M5)-M7)</f>
        <v>0</v>
      </c>
      <c r="N8" s="18" t="n">
        <f aca="false">MIN(N23,MAX(0,N5)-N7)</f>
        <v>0</v>
      </c>
      <c r="O8" s="18" t="n">
        <f aca="false">MIN(O23,MAX(0,O5)-O7)</f>
        <v>0</v>
      </c>
      <c r="P8" s="18" t="n">
        <f aca="false">MIN(P23,MAX(0,P5)-P7)</f>
        <v>0</v>
      </c>
      <c r="Q8" s="18" t="n">
        <f aca="false">MIN(Q23,MAX(0,Q5)-Q7)</f>
        <v>0</v>
      </c>
      <c r="R8" s="18" t="n">
        <f aca="false">MIN(R23,MAX(0,R5)-R7)</f>
        <v>0</v>
      </c>
      <c r="S8" s="18" t="n">
        <f aca="false">MIN(S23,MAX(0,S5)-S7)</f>
        <v>0</v>
      </c>
      <c r="T8" s="18" t="n">
        <f aca="false">MIN(T23,MAX(0,T5)-T7)</f>
        <v>0</v>
      </c>
      <c r="U8" s="18" t="n">
        <f aca="false">MIN(U23,MAX(0,U5)-U7)</f>
        <v>0</v>
      </c>
      <c r="V8" s="18" t="n">
        <f aca="false">MIN(V23,MAX(0,V5)-V7)</f>
        <v>0</v>
      </c>
    </row>
    <row r="9" customFormat="false" ht="15" hidden="false" customHeight="true" outlineLevel="0" collapsed="false">
      <c r="B9" s="13" t="s">
        <v>817</v>
      </c>
      <c r="C9" s="18" t="n">
        <f aca="false">MIN(MAX(0,C33-C29),MAX(0,C5)-C7-C8)</f>
        <v>0</v>
      </c>
      <c r="D9" s="18" t="n">
        <f aca="false">MIN(MAX(0,D33-D29),MAX(0,D5)-D7-D8)</f>
        <v>0</v>
      </c>
      <c r="E9" s="18" t="n">
        <f aca="false">MIN(MAX(0,E33-E29),MAX(0,E5)-E7-E8)</f>
        <v>0</v>
      </c>
      <c r="F9" s="18" t="n">
        <f aca="false">MIN(MAX(0,F33-F29),MAX(0,F5)-F7-F8)</f>
        <v>0</v>
      </c>
      <c r="G9" s="18" t="n">
        <f aca="false">MIN(MAX(0,G33-G29),MAX(0,G5)-G7-G8)</f>
        <v>0</v>
      </c>
      <c r="H9" s="18" t="n">
        <f aca="false">MIN(MAX(0,H33-H29),MAX(0,H5)-H7-H8)</f>
        <v>0</v>
      </c>
      <c r="I9" s="18" t="n">
        <f aca="false">MIN(MAX(0,I33-I29),MAX(0,I5)-I7-I8)</f>
        <v>0</v>
      </c>
      <c r="J9" s="18" t="n">
        <f aca="false">MIN(MAX(0,J33-J29),MAX(0,J5)-J7-J8)</f>
        <v>0</v>
      </c>
      <c r="K9" s="18" t="n">
        <f aca="false">MIN(MAX(0,K33-K29),MAX(0,K5)-K7-K8)</f>
        <v>0</v>
      </c>
      <c r="L9" s="18" t="n">
        <f aca="false">MIN(MAX(0,L33-L29),MAX(0,L5)-L7-L8)</f>
        <v>0</v>
      </c>
      <c r="M9" s="18" t="n">
        <f aca="false">MIN(MAX(0,M33-M29),MAX(0,M5)-M7-M8)</f>
        <v>0</v>
      </c>
      <c r="N9" s="18" t="n">
        <f aca="false">MIN(MAX(0,N33-N29),MAX(0,N5)-N7-N8)</f>
        <v>0</v>
      </c>
      <c r="O9" s="18" t="n">
        <f aca="false">MIN(MAX(0,O33-O29),MAX(0,O5)-O7-O8)</f>
        <v>0</v>
      </c>
      <c r="P9" s="18" t="n">
        <f aca="false">MIN(MAX(0,P33-P29),MAX(0,P5)-P7-P8)</f>
        <v>0</v>
      </c>
      <c r="Q9" s="18" t="n">
        <f aca="false">MIN(MAX(0,Q33-Q29),MAX(0,Q5)-Q7-Q8)</f>
        <v>0</v>
      </c>
      <c r="R9" s="18" t="n">
        <f aca="false">MIN(MAX(0,R33-R29),MAX(0,R5)-R7-R8)</f>
        <v>0</v>
      </c>
      <c r="S9" s="18" t="n">
        <f aca="false">MIN(MAX(0,S33-S29),MAX(0,S5)-S7-S8)</f>
        <v>0</v>
      </c>
      <c r="T9" s="18" t="n">
        <f aca="false">MIN(MAX(0,T33-T29),MAX(0,T5)-T7-T8)</f>
        <v>0</v>
      </c>
      <c r="U9" s="18" t="n">
        <f aca="false">MIN(MAX(0,U33-U29),MAX(0,U5)-U7-U8)</f>
        <v>0</v>
      </c>
      <c r="V9" s="18" t="n">
        <f aca="false">MIN(MAX(0,V33-V29),MAX(0,V5)-V7-V8)</f>
        <v>0</v>
      </c>
    </row>
    <row r="11" customFormat="false" ht="15" hidden="false" customHeight="true" outlineLevel="0" collapsed="false">
      <c r="B11" s="19" t="s">
        <v>818</v>
      </c>
      <c r="C11" s="42" t="n">
        <f aca="false">C7+C8+C9</f>
        <v>0</v>
      </c>
      <c r="D11" s="42" t="n">
        <f aca="false">D7+D8+D9</f>
        <v>10375.1601426984</v>
      </c>
      <c r="E11" s="42" t="n">
        <f aca="false">E7+E8+E9</f>
        <v>16434.7584382454</v>
      </c>
      <c r="F11" s="42" t="n">
        <f aca="false">F7+F8+F9</f>
        <v>8266.27003553726</v>
      </c>
      <c r="G11" s="42" t="n">
        <f aca="false">G7+G8+G9</f>
        <v>0</v>
      </c>
      <c r="H11" s="42" t="n">
        <f aca="false">H7+H8+H9</f>
        <v>0</v>
      </c>
      <c r="I11" s="42" t="n">
        <f aca="false">I7+I8+I9</f>
        <v>0</v>
      </c>
      <c r="J11" s="42" t="n">
        <f aca="false">J7+J8+J9</f>
        <v>0</v>
      </c>
      <c r="K11" s="42" t="n">
        <f aca="false">K7+K8+K9</f>
        <v>0</v>
      </c>
      <c r="L11" s="42" t="n">
        <f aca="false">L7+L8+L9</f>
        <v>0</v>
      </c>
      <c r="M11" s="42" t="n">
        <f aca="false">M7+M8+M9</f>
        <v>0</v>
      </c>
      <c r="N11" s="42" t="n">
        <f aca="false">N7+N8+N9</f>
        <v>0</v>
      </c>
      <c r="O11" s="42" t="n">
        <f aca="false">O7+O8+O9</f>
        <v>0</v>
      </c>
      <c r="P11" s="42" t="n">
        <f aca="false">P7+P8+P9</f>
        <v>0</v>
      </c>
      <c r="Q11" s="42" t="n">
        <f aca="false">Q7+Q8+Q9</f>
        <v>0</v>
      </c>
      <c r="R11" s="42" t="n">
        <f aca="false">R7+R8+R9</f>
        <v>0</v>
      </c>
      <c r="S11" s="42" t="n">
        <f aca="false">S7+S8+S9</f>
        <v>0</v>
      </c>
      <c r="T11" s="42" t="n">
        <f aca="false">T7+T8+T9</f>
        <v>0</v>
      </c>
      <c r="U11" s="42" t="n">
        <f aca="false">U7+U8+U9</f>
        <v>0</v>
      </c>
      <c r="V11" s="42" t="n">
        <f aca="false">V7+V8+V9</f>
        <v>0</v>
      </c>
    </row>
    <row r="13" customFormat="false" ht="15" hidden="false" customHeight="true" outlineLevel="0" collapsed="false">
      <c r="B13" s="19" t="s">
        <v>819</v>
      </c>
      <c r="C13" s="42" t="n">
        <f aca="false">C5-C11</f>
        <v>-24696.1506153846</v>
      </c>
      <c r="D13" s="42" t="n">
        <f aca="false">D5-D11</f>
        <v>0</v>
      </c>
      <c r="E13" s="42" t="n">
        <f aca="false">E5-E11</f>
        <v>0</v>
      </c>
      <c r="F13" s="42" t="n">
        <f aca="false">F5-F11</f>
        <v>0</v>
      </c>
      <c r="G13" s="42" t="n">
        <f aca="false">G5-G11</f>
        <v>-929.444685201976</v>
      </c>
      <c r="H13" s="42" t="n">
        <f aca="false">H5-H11</f>
        <v>-12144.3549614745</v>
      </c>
      <c r="I13" s="42" t="n">
        <f aca="false">I5-I11</f>
        <v>-24526.1135145274</v>
      </c>
      <c r="J13" s="42" t="n">
        <f aca="false">J5-J11</f>
        <v>-38144.541432722</v>
      </c>
      <c r="K13" s="42" t="n">
        <f aca="false">K5-K11</f>
        <v>-53073.3619676363</v>
      </c>
      <c r="L13" s="42" t="n">
        <f aca="false">L5-L11</f>
        <v>-69390.4207743969</v>
      </c>
      <c r="M13" s="42" t="n">
        <f aca="false">M5-M11</f>
        <v>-87177.9188508172</v>
      </c>
      <c r="N13" s="42" t="n">
        <f aca="false">N5-N11</f>
        <v>-106522.658919942</v>
      </c>
      <c r="O13" s="42" t="n">
        <f aca="false">O5-O11</f>
        <v>-127516.30604473</v>
      </c>
      <c r="P13" s="42" t="n">
        <f aca="false">P5-P11</f>
        <v>-150255.663310347</v>
      </c>
      <c r="Q13" s="42" t="n">
        <f aca="false">Q5-Q11</f>
        <v>-174842.963459091</v>
      </c>
      <c r="R13" s="42" t="n">
        <f aca="false">R5-R11</f>
        <v>-201386.177415459</v>
      </c>
      <c r="S13" s="42" t="n">
        <f aca="false">S5-S11</f>
        <v>-229999.340694492</v>
      </c>
      <c r="T13" s="42" t="n">
        <f aca="false">T5-T11</f>
        <v>-260802.898745463</v>
      </c>
      <c r="U13" s="42" t="n">
        <f aca="false">U5-U11</f>
        <v>-293924.072345466</v>
      </c>
      <c r="V13" s="42" t="n">
        <f aca="false">V5-V11</f>
        <v>-329497.244223597</v>
      </c>
    </row>
    <row r="16" customFormat="false" ht="15" hidden="false" customHeight="true" outlineLevel="0" collapsed="false">
      <c r="B16" s="19" t="s">
        <v>820</v>
      </c>
    </row>
    <row r="17" customFormat="false" ht="15" hidden="false" customHeight="true" outlineLevel="0" collapsed="false">
      <c r="B17" s="13" t="s">
        <v>808</v>
      </c>
      <c r="C17" s="109" t="n">
        <f aca="false">'Sources &amp; Uses'!E10</f>
        <v>1571626.77342039</v>
      </c>
      <c r="D17" s="18" t="n">
        <f aca="false">C19</f>
        <v>1571626.77342039</v>
      </c>
      <c r="E17" s="18" t="n">
        <f aca="false">D19</f>
        <v>1561251.6132777</v>
      </c>
      <c r="F17" s="18" t="n">
        <f aca="false">E19</f>
        <v>1544816.85483945</v>
      </c>
      <c r="G17" s="18" t="n">
        <f aca="false">F19</f>
        <v>1536550.58480391</v>
      </c>
      <c r="H17" s="18" t="n">
        <f aca="false">G19</f>
        <v>1536550.58480391</v>
      </c>
      <c r="I17" s="18" t="n">
        <f aca="false">H19</f>
        <v>1536550.58480391</v>
      </c>
      <c r="J17" s="18" t="n">
        <f aca="false">I19</f>
        <v>1536550.58480391</v>
      </c>
      <c r="K17" s="18" t="n">
        <f aca="false">J19</f>
        <v>1536550.58480391</v>
      </c>
      <c r="L17" s="18" t="n">
        <f aca="false">K19</f>
        <v>1536550.58480391</v>
      </c>
      <c r="M17" s="18" t="n">
        <f aca="false">L19</f>
        <v>1536550.58480391</v>
      </c>
      <c r="N17" s="18" t="n">
        <f aca="false">M19</f>
        <v>1536550.58480391</v>
      </c>
      <c r="O17" s="18" t="n">
        <f aca="false">N19</f>
        <v>1536550.58480391</v>
      </c>
      <c r="P17" s="18" t="n">
        <f aca="false">O19</f>
        <v>1536550.58480391</v>
      </c>
      <c r="Q17" s="18" t="n">
        <f aca="false">P19</f>
        <v>1536550.58480391</v>
      </c>
      <c r="R17" s="18" t="n">
        <f aca="false">Q19</f>
        <v>1536550.58480391</v>
      </c>
      <c r="S17" s="18" t="n">
        <f aca="false">R19</f>
        <v>1536550.58480391</v>
      </c>
      <c r="T17" s="18" t="n">
        <f aca="false">S19</f>
        <v>1536550.58480391</v>
      </c>
      <c r="U17" s="18" t="n">
        <f aca="false">T19</f>
        <v>1536550.58480391</v>
      </c>
      <c r="V17" s="18" t="n">
        <f aca="false">U19</f>
        <v>1536550.58480391</v>
      </c>
    </row>
    <row r="18" customFormat="false" ht="15" hidden="false" customHeight="true" outlineLevel="0" collapsed="false">
      <c r="B18" s="13" t="s">
        <v>821</v>
      </c>
      <c r="C18" s="18" t="n">
        <f aca="false">C7</f>
        <v>0</v>
      </c>
      <c r="D18" s="18" t="n">
        <f aca="false">D7</f>
        <v>10375.1601426984</v>
      </c>
      <c r="E18" s="18" t="n">
        <f aca="false">E7</f>
        <v>16434.7584382454</v>
      </c>
      <c r="F18" s="18" t="n">
        <f aca="false">F7</f>
        <v>8266.27003553726</v>
      </c>
      <c r="G18" s="18" t="n">
        <f aca="false">G7</f>
        <v>0</v>
      </c>
      <c r="H18" s="18" t="n">
        <f aca="false">H7</f>
        <v>0</v>
      </c>
      <c r="I18" s="18" t="n">
        <f aca="false">I7</f>
        <v>0</v>
      </c>
      <c r="J18" s="18" t="n">
        <f aca="false">J7</f>
        <v>0</v>
      </c>
      <c r="K18" s="18" t="n">
        <f aca="false">K7</f>
        <v>0</v>
      </c>
      <c r="L18" s="18" t="n">
        <f aca="false">L7</f>
        <v>0</v>
      </c>
      <c r="M18" s="18" t="n">
        <f aca="false">M7</f>
        <v>0</v>
      </c>
      <c r="N18" s="18" t="n">
        <f aca="false">N7</f>
        <v>0</v>
      </c>
      <c r="O18" s="18" t="n">
        <f aca="false">O7</f>
        <v>0</v>
      </c>
      <c r="P18" s="18" t="n">
        <f aca="false">P7</f>
        <v>0</v>
      </c>
      <c r="Q18" s="18" t="n">
        <f aca="false">Q7</f>
        <v>0</v>
      </c>
      <c r="R18" s="18" t="n">
        <f aca="false">R7</f>
        <v>0</v>
      </c>
      <c r="S18" s="18" t="n">
        <f aca="false">S7</f>
        <v>0</v>
      </c>
      <c r="T18" s="18" t="n">
        <f aca="false">T7</f>
        <v>0</v>
      </c>
      <c r="U18" s="18" t="n">
        <f aca="false">U7</f>
        <v>0</v>
      </c>
      <c r="V18" s="18" t="n">
        <f aca="false">V7</f>
        <v>0</v>
      </c>
    </row>
    <row r="19" customFormat="false" ht="15" hidden="false" customHeight="true" outlineLevel="0" collapsed="false">
      <c r="B19" s="13" t="s">
        <v>811</v>
      </c>
      <c r="C19" s="18" t="n">
        <f aca="false">C17-C18</f>
        <v>1571626.77342039</v>
      </c>
      <c r="D19" s="18" t="n">
        <f aca="false">D17-D18</f>
        <v>1561251.6132777</v>
      </c>
      <c r="E19" s="18" t="n">
        <f aca="false">E17-E18</f>
        <v>1544816.85483945</v>
      </c>
      <c r="F19" s="18" t="n">
        <f aca="false">F17-F18</f>
        <v>1536550.58480391</v>
      </c>
      <c r="G19" s="18" t="n">
        <f aca="false">G17-G18</f>
        <v>1536550.58480391</v>
      </c>
      <c r="H19" s="18" t="n">
        <f aca="false">H17-H18</f>
        <v>1536550.58480391</v>
      </c>
      <c r="I19" s="18" t="n">
        <f aca="false">I17-I18</f>
        <v>1536550.58480391</v>
      </c>
      <c r="J19" s="18" t="n">
        <f aca="false">J17-J18</f>
        <v>1536550.58480391</v>
      </c>
      <c r="K19" s="18" t="n">
        <f aca="false">K17-K18</f>
        <v>1536550.58480391</v>
      </c>
      <c r="L19" s="18" t="n">
        <f aca="false">L17-L18</f>
        <v>1536550.58480391</v>
      </c>
      <c r="M19" s="18" t="n">
        <f aca="false">M17-M18</f>
        <v>1536550.58480391</v>
      </c>
      <c r="N19" s="18" t="n">
        <f aca="false">N17-N18</f>
        <v>1536550.58480391</v>
      </c>
      <c r="O19" s="18" t="n">
        <f aca="false">O17-O18</f>
        <v>1536550.58480391</v>
      </c>
      <c r="P19" s="18" t="n">
        <f aca="false">P17-P18</f>
        <v>1536550.58480391</v>
      </c>
      <c r="Q19" s="18" t="n">
        <f aca="false">Q17-Q18</f>
        <v>1536550.58480391</v>
      </c>
      <c r="R19" s="18" t="n">
        <f aca="false">R17-R18</f>
        <v>1536550.58480391</v>
      </c>
      <c r="S19" s="18" t="n">
        <f aca="false">S17-S18</f>
        <v>1536550.58480391</v>
      </c>
      <c r="T19" s="18" t="n">
        <f aca="false">T17-T18</f>
        <v>1536550.58480391</v>
      </c>
      <c r="U19" s="18" t="n">
        <f aca="false">U17-U18</f>
        <v>1536550.58480391</v>
      </c>
      <c r="V19" s="18" t="n">
        <f aca="false">V17-V18</f>
        <v>1536550.58480391</v>
      </c>
    </row>
    <row r="22" customFormat="false" ht="15" hidden="false" customHeight="true" outlineLevel="0" collapsed="false">
      <c r="B22" s="19" t="s">
        <v>822</v>
      </c>
    </row>
    <row r="23" customFormat="false" ht="15" hidden="false" customHeight="true" outlineLevel="0" collapsed="false">
      <c r="B23" s="13" t="s">
        <v>808</v>
      </c>
      <c r="C23" s="109" t="n">
        <f aca="false">'Sources &amp; Uses'!E12</f>
        <v>0</v>
      </c>
      <c r="D23" s="18" t="n">
        <f aca="false">C25</f>
        <v>0</v>
      </c>
      <c r="E23" s="18" t="n">
        <f aca="false">D25</f>
        <v>0</v>
      </c>
      <c r="F23" s="18" t="n">
        <f aca="false">E25</f>
        <v>0</v>
      </c>
      <c r="G23" s="18" t="n">
        <f aca="false">F25</f>
        <v>0</v>
      </c>
      <c r="H23" s="18" t="n">
        <f aca="false">G25</f>
        <v>0</v>
      </c>
      <c r="I23" s="18" t="n">
        <f aca="false">H25</f>
        <v>0</v>
      </c>
      <c r="J23" s="18" t="n">
        <f aca="false">I25</f>
        <v>0</v>
      </c>
      <c r="K23" s="18" t="n">
        <f aca="false">J25</f>
        <v>0</v>
      </c>
      <c r="L23" s="18" t="n">
        <f aca="false">K25</f>
        <v>0</v>
      </c>
      <c r="M23" s="18" t="n">
        <f aca="false">L25</f>
        <v>0</v>
      </c>
      <c r="N23" s="18" t="n">
        <f aca="false">M25</f>
        <v>0</v>
      </c>
      <c r="O23" s="18" t="n">
        <f aca="false">N25</f>
        <v>0</v>
      </c>
      <c r="P23" s="18" t="n">
        <f aca="false">O25</f>
        <v>0</v>
      </c>
      <c r="Q23" s="18" t="n">
        <f aca="false">P25</f>
        <v>0</v>
      </c>
      <c r="R23" s="18" t="n">
        <f aca="false">Q25</f>
        <v>0</v>
      </c>
      <c r="S23" s="18" t="n">
        <f aca="false">R25</f>
        <v>0</v>
      </c>
      <c r="T23" s="18" t="n">
        <f aca="false">S25</f>
        <v>0</v>
      </c>
      <c r="U23" s="18" t="n">
        <f aca="false">T25</f>
        <v>0</v>
      </c>
      <c r="V23" s="18" t="n">
        <f aca="false">U25</f>
        <v>0</v>
      </c>
    </row>
    <row r="24" customFormat="false" ht="15" hidden="false" customHeight="true" outlineLevel="0" collapsed="false">
      <c r="B24" s="13" t="s">
        <v>821</v>
      </c>
      <c r="C24" s="18" t="n">
        <f aca="false">C8</f>
        <v>0</v>
      </c>
      <c r="D24" s="18" t="n">
        <f aca="false">D8</f>
        <v>0</v>
      </c>
      <c r="E24" s="18" t="n">
        <f aca="false">E8</f>
        <v>0</v>
      </c>
      <c r="F24" s="18" t="n">
        <f aca="false">F8</f>
        <v>0</v>
      </c>
      <c r="G24" s="18" t="n">
        <f aca="false">G8</f>
        <v>0</v>
      </c>
      <c r="H24" s="18" t="n">
        <f aca="false">H8</f>
        <v>0</v>
      </c>
      <c r="I24" s="18" t="n">
        <f aca="false">I8</f>
        <v>0</v>
      </c>
      <c r="J24" s="18" t="n">
        <f aca="false">J8</f>
        <v>0</v>
      </c>
      <c r="K24" s="18" t="n">
        <f aca="false">K8</f>
        <v>0</v>
      </c>
      <c r="L24" s="18" t="n">
        <f aca="false">L8</f>
        <v>0</v>
      </c>
      <c r="M24" s="18" t="n">
        <f aca="false">M8</f>
        <v>0</v>
      </c>
      <c r="N24" s="18" t="n">
        <f aca="false">N8</f>
        <v>0</v>
      </c>
      <c r="O24" s="18" t="n">
        <f aca="false">O8</f>
        <v>0</v>
      </c>
      <c r="P24" s="18" t="n">
        <f aca="false">P8</f>
        <v>0</v>
      </c>
      <c r="Q24" s="18" t="n">
        <f aca="false">Q8</f>
        <v>0</v>
      </c>
      <c r="R24" s="18" t="n">
        <f aca="false">R8</f>
        <v>0</v>
      </c>
      <c r="S24" s="18" t="n">
        <f aca="false">S8</f>
        <v>0</v>
      </c>
      <c r="T24" s="18" t="n">
        <f aca="false">T8</f>
        <v>0</v>
      </c>
      <c r="U24" s="18" t="n">
        <f aca="false">U8</f>
        <v>0</v>
      </c>
      <c r="V24" s="18" t="n">
        <f aca="false">V8</f>
        <v>0</v>
      </c>
    </row>
    <row r="25" customFormat="false" ht="15" hidden="false" customHeight="true" outlineLevel="0" collapsed="false">
      <c r="B25" s="13" t="s">
        <v>811</v>
      </c>
      <c r="C25" s="18" t="n">
        <f aca="false">C23-C24</f>
        <v>0</v>
      </c>
      <c r="D25" s="18" t="n">
        <f aca="false">D23-D24</f>
        <v>0</v>
      </c>
      <c r="E25" s="18" t="n">
        <f aca="false">E23-E24</f>
        <v>0</v>
      </c>
      <c r="F25" s="18" t="n">
        <f aca="false">F23-F24</f>
        <v>0</v>
      </c>
      <c r="G25" s="18" t="n">
        <f aca="false">G23-G24</f>
        <v>0</v>
      </c>
      <c r="H25" s="18" t="n">
        <f aca="false">H23-H24</f>
        <v>0</v>
      </c>
      <c r="I25" s="18" t="n">
        <f aca="false">I23-I24</f>
        <v>0</v>
      </c>
      <c r="J25" s="18" t="n">
        <f aca="false">J23-J24</f>
        <v>0</v>
      </c>
      <c r="K25" s="18" t="n">
        <f aca="false">K23-K24</f>
        <v>0</v>
      </c>
      <c r="L25" s="18" t="n">
        <f aca="false">L23-L24</f>
        <v>0</v>
      </c>
      <c r="M25" s="18" t="n">
        <f aca="false">M23-M24</f>
        <v>0</v>
      </c>
      <c r="N25" s="18" t="n">
        <f aca="false">N23-N24</f>
        <v>0</v>
      </c>
      <c r="O25" s="18" t="n">
        <f aca="false">O23-O24</f>
        <v>0</v>
      </c>
      <c r="P25" s="18" t="n">
        <f aca="false">P23-P24</f>
        <v>0</v>
      </c>
      <c r="Q25" s="18" t="n">
        <f aca="false">Q23-Q24</f>
        <v>0</v>
      </c>
      <c r="R25" s="18" t="n">
        <f aca="false">R23-R24</f>
        <v>0</v>
      </c>
      <c r="S25" s="18" t="n">
        <f aca="false">S23-S24</f>
        <v>0</v>
      </c>
      <c r="T25" s="18" t="n">
        <f aca="false">T23-T24</f>
        <v>0</v>
      </c>
      <c r="U25" s="18" t="n">
        <f aca="false">U23-U24</f>
        <v>0</v>
      </c>
      <c r="V25" s="18" t="n">
        <f aca="false">V23-V24</f>
        <v>0</v>
      </c>
    </row>
    <row r="28" customFormat="false" ht="15" hidden="false" customHeight="true" outlineLevel="0" collapsed="false">
      <c r="B28" s="19" t="s">
        <v>823</v>
      </c>
    </row>
    <row r="29" customFormat="false" ht="15" hidden="false" customHeight="true" outlineLevel="0" collapsed="false">
      <c r="B29" s="13" t="s">
        <v>808</v>
      </c>
      <c r="C29" s="109" t="n">
        <f aca="false">'Sources &amp; Uses'!E23</f>
        <v>527970.600012435</v>
      </c>
      <c r="D29" s="18" t="n">
        <f aca="false">C32</f>
        <v>503274.449397051</v>
      </c>
      <c r="E29" s="18" t="n">
        <f aca="false">D32</f>
        <v>503274.449397051</v>
      </c>
      <c r="F29" s="18" t="n">
        <f aca="false">E32</f>
        <v>503274.449397051</v>
      </c>
      <c r="G29" s="18" t="n">
        <f aca="false">F32</f>
        <v>503274.449397051</v>
      </c>
      <c r="H29" s="18" t="n">
        <f aca="false">G32</f>
        <v>502345.004711849</v>
      </c>
      <c r="I29" s="18" t="n">
        <f aca="false">H32</f>
        <v>490200.649750374</v>
      </c>
      <c r="J29" s="18" t="n">
        <f aca="false">I32</f>
        <v>465674.536235847</v>
      </c>
      <c r="K29" s="18" t="n">
        <f aca="false">J32</f>
        <v>427529.994803125</v>
      </c>
      <c r="L29" s="18" t="n">
        <f aca="false">K32</f>
        <v>374456.632835489</v>
      </c>
      <c r="M29" s="18" t="n">
        <f aca="false">L32</f>
        <v>305066.212061092</v>
      </c>
      <c r="N29" s="18" t="n">
        <f aca="false">M32</f>
        <v>217888.293210274</v>
      </c>
      <c r="O29" s="18" t="n">
        <f aca="false">N32</f>
        <v>111365.634290333</v>
      </c>
      <c r="P29" s="18" t="n">
        <f aca="false">O32</f>
        <v>0</v>
      </c>
      <c r="Q29" s="18" t="n">
        <f aca="false">P32</f>
        <v>0</v>
      </c>
      <c r="R29" s="18" t="n">
        <f aca="false">Q32</f>
        <v>0</v>
      </c>
      <c r="S29" s="18" t="n">
        <f aca="false">R32</f>
        <v>0</v>
      </c>
      <c r="T29" s="18" t="n">
        <f aca="false">S32</f>
        <v>0</v>
      </c>
      <c r="U29" s="18" t="n">
        <f aca="false">T32</f>
        <v>0</v>
      </c>
      <c r="V29" s="18" t="n">
        <f aca="false">U32</f>
        <v>0</v>
      </c>
    </row>
    <row r="30" customFormat="false" ht="15" hidden="false" customHeight="true" outlineLevel="0" collapsed="false">
      <c r="B30" s="13" t="s">
        <v>824</v>
      </c>
      <c r="C30" s="18" t="n">
        <f aca="false">C9</f>
        <v>0</v>
      </c>
      <c r="D30" s="18" t="n">
        <f aca="false">D9</f>
        <v>0</v>
      </c>
      <c r="E30" s="18" t="n">
        <f aca="false">E9</f>
        <v>0</v>
      </c>
      <c r="F30" s="18" t="n">
        <f aca="false">F9</f>
        <v>0</v>
      </c>
      <c r="G30" s="18" t="n">
        <f aca="false">G9</f>
        <v>0</v>
      </c>
      <c r="H30" s="18" t="n">
        <f aca="false">H9</f>
        <v>0</v>
      </c>
      <c r="I30" s="18" t="n">
        <f aca="false">I9</f>
        <v>0</v>
      </c>
      <c r="J30" s="18" t="n">
        <f aca="false">J9</f>
        <v>0</v>
      </c>
      <c r="K30" s="18" t="n">
        <f aca="false">K9</f>
        <v>0</v>
      </c>
      <c r="L30" s="18" t="n">
        <f aca="false">L9</f>
        <v>0</v>
      </c>
      <c r="M30" s="18" t="n">
        <f aca="false">M9</f>
        <v>0</v>
      </c>
      <c r="N30" s="18" t="n">
        <f aca="false">N9</f>
        <v>0</v>
      </c>
      <c r="O30" s="18" t="n">
        <f aca="false">O9</f>
        <v>0</v>
      </c>
      <c r="P30" s="18" t="n">
        <f aca="false">P9</f>
        <v>0</v>
      </c>
      <c r="Q30" s="18" t="n">
        <f aca="false">Q9</f>
        <v>0</v>
      </c>
      <c r="R30" s="18" t="n">
        <f aca="false">R9</f>
        <v>0</v>
      </c>
      <c r="S30" s="18" t="n">
        <f aca="false">S9</f>
        <v>0</v>
      </c>
      <c r="T30" s="18" t="n">
        <f aca="false">T9</f>
        <v>0</v>
      </c>
      <c r="U30" s="18" t="n">
        <f aca="false">U9</f>
        <v>0</v>
      </c>
      <c r="V30" s="18" t="n">
        <f aca="false">V9</f>
        <v>0</v>
      </c>
    </row>
    <row r="31" customFormat="false" ht="15" hidden="false" customHeight="true" outlineLevel="0" collapsed="false">
      <c r="B31" s="13" t="s">
        <v>825</v>
      </c>
      <c r="C31" s="18" t="n">
        <f aca="false">MIN(C29,MAX(0,-C5))</f>
        <v>24696.1506153846</v>
      </c>
      <c r="D31" s="18" t="n">
        <f aca="false">MIN(D29,MAX(0,-D5))</f>
        <v>0</v>
      </c>
      <c r="E31" s="18" t="n">
        <f aca="false">MIN(E29,MAX(0,-E5))</f>
        <v>0</v>
      </c>
      <c r="F31" s="18" t="n">
        <f aca="false">MIN(F29,MAX(0,-F5))</f>
        <v>0</v>
      </c>
      <c r="G31" s="18" t="n">
        <f aca="false">MIN(G29,MAX(0,-G5))</f>
        <v>929.444685201976</v>
      </c>
      <c r="H31" s="18" t="n">
        <f aca="false">MIN(H29,MAX(0,-H5))</f>
        <v>12144.3549614745</v>
      </c>
      <c r="I31" s="18" t="n">
        <f aca="false">MIN(I29,MAX(0,-I5))</f>
        <v>24526.1135145274</v>
      </c>
      <c r="J31" s="18" t="n">
        <f aca="false">MIN(J29,MAX(0,-J5))</f>
        <v>38144.541432722</v>
      </c>
      <c r="K31" s="18" t="n">
        <f aca="false">MIN(K29,MAX(0,-K5))</f>
        <v>53073.3619676363</v>
      </c>
      <c r="L31" s="18" t="n">
        <f aca="false">MIN(L29,MAX(0,-L5))</f>
        <v>69390.4207743969</v>
      </c>
      <c r="M31" s="18" t="n">
        <f aca="false">MIN(M29,MAX(0,-M5))</f>
        <v>87177.9188508172</v>
      </c>
      <c r="N31" s="18" t="n">
        <f aca="false">MIN(N29,MAX(0,-N5))</f>
        <v>106522.658919942</v>
      </c>
      <c r="O31" s="18" t="n">
        <f aca="false">MIN(O29,MAX(0,-O5))</f>
        <v>111365.634290333</v>
      </c>
      <c r="P31" s="18" t="n">
        <f aca="false">MIN(P29,MAX(0,-P5))</f>
        <v>0</v>
      </c>
      <c r="Q31" s="18" t="n">
        <f aca="false">MIN(Q29,MAX(0,-Q5))</f>
        <v>0</v>
      </c>
      <c r="R31" s="18" t="n">
        <f aca="false">MIN(R29,MAX(0,-R5))</f>
        <v>0</v>
      </c>
      <c r="S31" s="18" t="n">
        <f aca="false">MIN(S29,MAX(0,-S5))</f>
        <v>0</v>
      </c>
      <c r="T31" s="18" t="n">
        <f aca="false">MIN(T29,MAX(0,-T5))</f>
        <v>0</v>
      </c>
      <c r="U31" s="18" t="n">
        <f aca="false">MIN(U29,MAX(0,-U5))</f>
        <v>0</v>
      </c>
      <c r="V31" s="18" t="n">
        <f aca="false">MIN(V29,MAX(0,-V5))</f>
        <v>0</v>
      </c>
    </row>
    <row r="32" customFormat="false" ht="15" hidden="false" customHeight="true" outlineLevel="0" collapsed="false">
      <c r="B32" s="13" t="s">
        <v>811</v>
      </c>
      <c r="C32" s="18" t="n">
        <f aca="false">C29+C30-C31</f>
        <v>503274.449397051</v>
      </c>
      <c r="D32" s="18" t="n">
        <f aca="false">D29+D30-D31</f>
        <v>503274.449397051</v>
      </c>
      <c r="E32" s="18" t="n">
        <f aca="false">E29+E30-E31</f>
        <v>503274.449397051</v>
      </c>
      <c r="F32" s="18" t="n">
        <f aca="false">F29+F30-F31</f>
        <v>503274.449397051</v>
      </c>
      <c r="G32" s="18" t="n">
        <f aca="false">G29+G30-G31</f>
        <v>502345.004711849</v>
      </c>
      <c r="H32" s="18" t="n">
        <f aca="false">H29+H30-H31</f>
        <v>490200.649750374</v>
      </c>
      <c r="I32" s="18" t="n">
        <f aca="false">I29+I30-I31</f>
        <v>465674.536235847</v>
      </c>
      <c r="J32" s="18" t="n">
        <f aca="false">J29+J30-J31</f>
        <v>427529.994803125</v>
      </c>
      <c r="K32" s="18" t="n">
        <f aca="false">K29+K30-K31</f>
        <v>374456.632835489</v>
      </c>
      <c r="L32" s="18" t="n">
        <f aca="false">L29+L30-L31</f>
        <v>305066.212061092</v>
      </c>
      <c r="M32" s="18" t="n">
        <f aca="false">M29+M30-M31</f>
        <v>217888.293210274</v>
      </c>
      <c r="N32" s="18" t="n">
        <f aca="false">N29+N30-N31</f>
        <v>111365.634290333</v>
      </c>
      <c r="O32" s="18" t="n">
        <f aca="false">O29+O30-O31</f>
        <v>0</v>
      </c>
      <c r="P32" s="18" t="n">
        <f aca="false">P29+P30-P31</f>
        <v>0</v>
      </c>
      <c r="Q32" s="18" t="n">
        <f aca="false">Q29+Q30-Q31</f>
        <v>0</v>
      </c>
      <c r="R32" s="18" t="n">
        <f aca="false">R29+R30-R31</f>
        <v>0</v>
      </c>
      <c r="S32" s="18" t="n">
        <f aca="false">S29+S30-S31</f>
        <v>0</v>
      </c>
      <c r="T32" s="18" t="n">
        <f aca="false">T29+T30-T31</f>
        <v>0</v>
      </c>
      <c r="U32" s="18" t="n">
        <f aca="false">U29+U30-U31</f>
        <v>0</v>
      </c>
      <c r="V32" s="18" t="n">
        <f aca="false">V29+V30-V31</f>
        <v>0</v>
      </c>
    </row>
    <row r="33" customFormat="false" ht="15" hidden="false" customHeight="true" outlineLevel="0" collapsed="false">
      <c r="B33" s="13" t="s">
        <v>826</v>
      </c>
      <c r="C33" s="18" t="n">
        <f aca="false">'Sources &amp; Uses'!E23</f>
        <v>527970.600012435</v>
      </c>
      <c r="D33" s="18" t="n">
        <f aca="false">'Sources &amp; Uses'!E23</f>
        <v>527970.600012435</v>
      </c>
      <c r="E33" s="18" t="n">
        <f aca="false">'Sources &amp; Uses'!E23</f>
        <v>527970.600012435</v>
      </c>
      <c r="F33" s="18" t="n">
        <f aca="false">'Sources &amp; Uses'!E23</f>
        <v>527970.600012435</v>
      </c>
      <c r="G33" s="18" t="n">
        <f aca="false">'Sources &amp; Uses'!E23</f>
        <v>527970.600012435</v>
      </c>
      <c r="H33" s="18" t="n">
        <f aca="false">'Sources &amp; Uses'!E23</f>
        <v>527970.600012435</v>
      </c>
      <c r="I33" s="18" t="n">
        <f aca="false">'Sources &amp; Uses'!E23</f>
        <v>527970.600012435</v>
      </c>
      <c r="J33" s="18" t="n">
        <f aca="false">'Sources &amp; Uses'!E23</f>
        <v>527970.600012435</v>
      </c>
      <c r="K33" s="18" t="n">
        <f aca="false">'Sources &amp; Uses'!E23</f>
        <v>527970.600012435</v>
      </c>
      <c r="L33" s="18" t="n">
        <f aca="false">'Sources &amp; Uses'!E23</f>
        <v>527970.600012435</v>
      </c>
      <c r="M33" s="18" t="n">
        <f aca="false">'Sources &amp; Uses'!E23</f>
        <v>527970.600012435</v>
      </c>
      <c r="N33" s="18" t="n">
        <f aca="false">'Sources &amp; Uses'!E23</f>
        <v>527970.600012435</v>
      </c>
      <c r="O33" s="18" t="n">
        <f aca="false">'Sources &amp; Uses'!E23</f>
        <v>527970.600012435</v>
      </c>
      <c r="P33" s="18" t="n">
        <f aca="false">'Sources &amp; Uses'!E23</f>
        <v>527970.600012435</v>
      </c>
      <c r="Q33" s="18" t="n">
        <f aca="false">'Sources &amp; Uses'!E23</f>
        <v>527970.600012435</v>
      </c>
      <c r="R33" s="18" t="n">
        <f aca="false">'Sources &amp; Uses'!E23</f>
        <v>527970.600012435</v>
      </c>
      <c r="S33" s="18" t="n">
        <f aca="false">'Sources &amp; Uses'!E23</f>
        <v>527970.600012435</v>
      </c>
      <c r="T33" s="18" t="n">
        <f aca="false">'Sources &amp; Uses'!E23</f>
        <v>527970.600012435</v>
      </c>
      <c r="U33" s="18" t="n">
        <f aca="false">'Sources &amp; Uses'!E23</f>
        <v>527970.600012435</v>
      </c>
      <c r="V33" s="18" t="n">
        <f aca="false">'Sources &amp; Uses'!E23</f>
        <v>527970.600012435</v>
      </c>
    </row>
    <row r="35" customFormat="false" ht="15" hidden="false" customHeight="true" outlineLevel="0" collapsed="false">
      <c r="B35" s="19" t="s">
        <v>827</v>
      </c>
      <c r="C35" s="101" t="str">
        <f aca="false">IFERROR(MATCH(0,C19:V19,0),"NOT REPAID")</f>
        <v>NOT REPAID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62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.43"/>
    <col collapsed="false" customWidth="true" hidden="false" outlineLevel="0" max="2" min="2" style="1" width="26"/>
    <col collapsed="false" customWidth="true" hidden="false" outlineLevel="0" max="3" min="3" style="1" width="10"/>
    <col collapsed="false" customWidth="true" hidden="false" outlineLevel="0" max="24" min="4" style="1" width="12.86"/>
  </cols>
  <sheetData>
    <row r="1" customFormat="false" ht="17.25" hidden="false" customHeight="true" outlineLevel="0" collapsed="false">
      <c r="A1" s="11" t="s">
        <v>833</v>
      </c>
    </row>
    <row r="2" customFormat="false" ht="15" hidden="false" customHeight="true" outlineLevel="0" collapsed="false">
      <c r="B2" s="36" t="s">
        <v>763</v>
      </c>
    </row>
    <row r="3" customFormat="false" ht="15" hidden="false" customHeight="true" outlineLevel="0" collapsed="false">
      <c r="B3" s="19" t="s">
        <v>764</v>
      </c>
      <c r="D3" s="58" t="s">
        <v>765</v>
      </c>
      <c r="E3" s="58" t="s">
        <v>766</v>
      </c>
      <c r="F3" s="58" t="s">
        <v>767</v>
      </c>
      <c r="G3" s="58" t="s">
        <v>768</v>
      </c>
      <c r="H3" s="58" t="s">
        <v>769</v>
      </c>
      <c r="I3" s="58" t="s">
        <v>770</v>
      </c>
      <c r="J3" s="58" t="s">
        <v>771</v>
      </c>
      <c r="K3" s="58" t="s">
        <v>772</v>
      </c>
      <c r="L3" s="58" t="s">
        <v>773</v>
      </c>
      <c r="M3" s="58" t="s">
        <v>774</v>
      </c>
      <c r="N3" s="58" t="s">
        <v>775</v>
      </c>
      <c r="O3" s="58" t="s">
        <v>776</v>
      </c>
      <c r="P3" s="58" t="s">
        <v>777</v>
      </c>
      <c r="Q3" s="58" t="s">
        <v>778</v>
      </c>
      <c r="R3" s="58" t="s">
        <v>779</v>
      </c>
      <c r="S3" s="58" t="s">
        <v>780</v>
      </c>
      <c r="T3" s="58" t="s">
        <v>781</v>
      </c>
      <c r="U3" s="58" t="s">
        <v>782</v>
      </c>
      <c r="V3" s="58" t="s">
        <v>783</v>
      </c>
      <c r="W3" s="58" t="s">
        <v>784</v>
      </c>
      <c r="X3" s="58" t="s">
        <v>613</v>
      </c>
    </row>
    <row r="4" customFormat="false" ht="15" hidden="false" customHeight="true" outlineLevel="0" collapsed="false">
      <c r="B4" s="13" t="s">
        <v>785</v>
      </c>
      <c r="D4" s="108" t="n">
        <f aca="false">YEAR(SA_ResynDate)+0</f>
        <v>2026</v>
      </c>
      <c r="E4" s="108" t="n">
        <f aca="false">YEAR(SA_ResynDate)+1</f>
        <v>2027</v>
      </c>
      <c r="F4" s="108" t="n">
        <f aca="false">YEAR(SA_ResynDate)+2</f>
        <v>2028</v>
      </c>
      <c r="G4" s="108" t="n">
        <f aca="false">YEAR(SA_ResynDate)+3</f>
        <v>2029</v>
      </c>
      <c r="H4" s="108" t="n">
        <f aca="false">YEAR(SA_ResynDate)+4</f>
        <v>2030</v>
      </c>
      <c r="I4" s="108" t="n">
        <f aca="false">YEAR(SA_ResynDate)+5</f>
        <v>2031</v>
      </c>
      <c r="J4" s="108" t="n">
        <f aca="false">YEAR(SA_ResynDate)+6</f>
        <v>2032</v>
      </c>
      <c r="K4" s="108" t="n">
        <f aca="false">YEAR(SA_ResynDate)+7</f>
        <v>2033</v>
      </c>
      <c r="L4" s="108" t="n">
        <f aca="false">YEAR(SA_ResynDate)+8</f>
        <v>2034</v>
      </c>
      <c r="M4" s="108" t="n">
        <f aca="false">YEAR(SA_ResynDate)+9</f>
        <v>2035</v>
      </c>
      <c r="N4" s="108" t="n">
        <f aca="false">YEAR(SA_ResynDate)+10</f>
        <v>2036</v>
      </c>
      <c r="O4" s="108" t="n">
        <f aca="false">YEAR(SA_ResynDate)+11</f>
        <v>2037</v>
      </c>
      <c r="P4" s="108" t="n">
        <f aca="false">YEAR(SA_ResynDate)+12</f>
        <v>2038</v>
      </c>
      <c r="Q4" s="108" t="n">
        <f aca="false">YEAR(SA_ResynDate)+13</f>
        <v>2039</v>
      </c>
      <c r="R4" s="108" t="n">
        <f aca="false">YEAR(SA_ResynDate)+14</f>
        <v>2040</v>
      </c>
      <c r="S4" s="108" t="n">
        <f aca="false">YEAR(SA_ResynDate)+15</f>
        <v>2041</v>
      </c>
      <c r="T4" s="108" t="n">
        <f aca="false">YEAR(SA_ResynDate)+16</f>
        <v>2042</v>
      </c>
      <c r="U4" s="108" t="n">
        <f aca="false">YEAR(SA_ResynDate)+17</f>
        <v>2043</v>
      </c>
      <c r="V4" s="108" t="n">
        <f aca="false">YEAR(SA_ResynDate)+18</f>
        <v>2044</v>
      </c>
      <c r="W4" s="108" t="n">
        <f aca="false">YEAR(SA_ResynDate)+19</f>
        <v>2045</v>
      </c>
    </row>
    <row r="6" customFormat="false" ht="15" hidden="false" customHeight="true" outlineLevel="0" collapsed="false">
      <c r="B6" s="13" t="s">
        <v>786</v>
      </c>
      <c r="D6" s="66" t="n">
        <f aca="false">SA_GPR</f>
        <v>2382980.688</v>
      </c>
      <c r="E6" s="37" t="n">
        <f aca="false">D6*(1+$D$50)</f>
        <v>2427661.5759</v>
      </c>
      <c r="F6" s="37" t="n">
        <f aca="false">E6*(1+$D$50)</f>
        <v>2473180.23044813</v>
      </c>
      <c r="G6" s="37" t="n">
        <f aca="false">F6*(1+$D$50)</f>
        <v>2519552.35976903</v>
      </c>
      <c r="H6" s="37" t="n">
        <f aca="false">G6*(1+$D$50)</f>
        <v>2566793.9665147</v>
      </c>
      <c r="I6" s="37" t="n">
        <f aca="false">H6*(1+$D$50)</f>
        <v>2614921.35338685</v>
      </c>
      <c r="J6" s="37" t="n">
        <f aca="false">I6*(1+$D$50)</f>
        <v>2663951.12876285</v>
      </c>
      <c r="K6" s="37" t="n">
        <f aca="false">J6*(1+$D$50)</f>
        <v>2713900.21242715</v>
      </c>
      <c r="L6" s="37" t="n">
        <f aca="false">K6*(1+$D$50)</f>
        <v>2764785.84141016</v>
      </c>
      <c r="M6" s="37" t="n">
        <f aca="false">L6*(1+$D$50)</f>
        <v>2816625.5759366</v>
      </c>
      <c r="N6" s="37" t="n">
        <f aca="false">M6*(1+$D$50)</f>
        <v>2869437.30548542</v>
      </c>
      <c r="O6" s="37" t="n">
        <f aca="false">N6*(1+$D$50)</f>
        <v>2923239.25496327</v>
      </c>
      <c r="P6" s="37" t="n">
        <f aca="false">O6*(1+$D$50)</f>
        <v>2978049.99099383</v>
      </c>
      <c r="Q6" s="37" t="n">
        <f aca="false">P6*(1+$D$50)</f>
        <v>3033888.42832496</v>
      </c>
      <c r="R6" s="37" t="n">
        <f aca="false">Q6*(1+$D$50)</f>
        <v>3090773.83635606</v>
      </c>
      <c r="S6" s="37" t="n">
        <f aca="false">R6*(1+$D$50)</f>
        <v>3148725.84578773</v>
      </c>
      <c r="T6" s="37" t="n">
        <f aca="false">S6*(1+$D$50)</f>
        <v>3207764.45539625</v>
      </c>
      <c r="U6" s="37" t="n">
        <f aca="false">T6*(1+$D$50)</f>
        <v>3267910.03893493</v>
      </c>
      <c r="V6" s="37" t="n">
        <f aca="false">U6*(1+$D$50)</f>
        <v>3329183.35216496</v>
      </c>
      <c r="W6" s="37" t="n">
        <f aca="false">V6*(1+$D$50)</f>
        <v>3391605.54001806</v>
      </c>
    </row>
    <row r="7" customFormat="false" ht="15" hidden="false" customHeight="true" outlineLevel="0" collapsed="false">
      <c r="B7" s="13" t="s">
        <v>477</v>
      </c>
      <c r="D7" s="66" t="n">
        <f aca="false">SA_OtherInc</f>
        <v>34962</v>
      </c>
      <c r="E7" s="37" t="n">
        <f aca="false">D7*(1+$D$50)</f>
        <v>35617.5375</v>
      </c>
      <c r="F7" s="37" t="n">
        <f aca="false">E7*(1+$D$50)</f>
        <v>36285.366328125</v>
      </c>
      <c r="G7" s="37" t="n">
        <f aca="false">F7*(1+$D$50)</f>
        <v>36965.7169467773</v>
      </c>
      <c r="H7" s="37" t="n">
        <f aca="false">G7*(1+$D$50)</f>
        <v>37658.8241395294</v>
      </c>
      <c r="I7" s="37" t="n">
        <f aca="false">H7*(1+$D$50)</f>
        <v>38364.9270921456</v>
      </c>
      <c r="J7" s="37" t="n">
        <f aca="false">I7*(1+$D$50)</f>
        <v>39084.2694751233</v>
      </c>
      <c r="K7" s="37" t="n">
        <f aca="false">J7*(1+$D$50)</f>
        <v>39817.0995277819</v>
      </c>
      <c r="L7" s="37" t="n">
        <f aca="false">K7*(1+$D$50)</f>
        <v>40563.6701439278</v>
      </c>
      <c r="M7" s="37" t="n">
        <f aca="false">L7*(1+$D$50)</f>
        <v>41324.2389591265</v>
      </c>
      <c r="N7" s="37" t="n">
        <f aca="false">M7*(1+$D$50)</f>
        <v>42099.0684396101</v>
      </c>
      <c r="O7" s="37" t="n">
        <f aca="false">N7*(1+$D$50)</f>
        <v>42888.4259728528</v>
      </c>
      <c r="P7" s="37" t="n">
        <f aca="false">O7*(1+$D$50)</f>
        <v>43692.5839598438</v>
      </c>
      <c r="Q7" s="37" t="n">
        <f aca="false">P7*(1+$D$50)</f>
        <v>44511.8199090908</v>
      </c>
      <c r="R7" s="37" t="n">
        <f aca="false">Q7*(1+$D$50)</f>
        <v>45346.4165323863</v>
      </c>
      <c r="S7" s="37" t="n">
        <f aca="false">R7*(1+$D$50)</f>
        <v>46196.6618423685</v>
      </c>
      <c r="T7" s="37" t="n">
        <f aca="false">S7*(1+$D$50)</f>
        <v>47062.8492519129</v>
      </c>
      <c r="U7" s="37" t="n">
        <f aca="false">T7*(1+$D$50)</f>
        <v>47945.2776753863</v>
      </c>
      <c r="V7" s="37" t="n">
        <f aca="false">U7*(1+$D$50)</f>
        <v>48844.2516317998</v>
      </c>
      <c r="W7" s="37" t="n">
        <f aca="false">V7*(1+$D$50)</f>
        <v>49760.0813498961</v>
      </c>
    </row>
    <row r="9" customFormat="false" ht="15" hidden="false" customHeight="true" outlineLevel="0" collapsed="false">
      <c r="B9" s="19" t="s">
        <v>787</v>
      </c>
      <c r="D9" s="21" t="n">
        <f aca="false">SUM(D6:D7)</f>
        <v>2417942.688</v>
      </c>
      <c r="E9" s="21" t="n">
        <f aca="false">SUM(E6:E7)</f>
        <v>2463279.1134</v>
      </c>
      <c r="F9" s="21" t="n">
        <f aca="false">SUM(F6:F7)</f>
        <v>2509465.59677625</v>
      </c>
      <c r="G9" s="21" t="n">
        <f aca="false">SUM(G6:G7)</f>
        <v>2556518.07671581</v>
      </c>
      <c r="H9" s="21" t="n">
        <f aca="false">SUM(H6:H7)</f>
        <v>2604452.79065423</v>
      </c>
      <c r="I9" s="21" t="n">
        <f aca="false">SUM(I6:I7)</f>
        <v>2653286.28047899</v>
      </c>
      <c r="J9" s="21" t="n">
        <f aca="false">SUM(J6:J7)</f>
        <v>2703035.39823797</v>
      </c>
      <c r="K9" s="21" t="n">
        <f aca="false">SUM(K6:K7)</f>
        <v>2753717.31195494</v>
      </c>
      <c r="L9" s="21" t="n">
        <f aca="false">SUM(L6:L7)</f>
        <v>2805349.51155409</v>
      </c>
      <c r="M9" s="21" t="n">
        <f aca="false">SUM(M6:M7)</f>
        <v>2857949.81489573</v>
      </c>
      <c r="N9" s="21" t="n">
        <f aca="false">SUM(N6:N7)</f>
        <v>2911536.37392503</v>
      </c>
      <c r="O9" s="21" t="n">
        <f aca="false">SUM(O6:O7)</f>
        <v>2966127.68093612</v>
      </c>
      <c r="P9" s="21" t="n">
        <f aca="false">SUM(P6:P7)</f>
        <v>3021742.57495367</v>
      </c>
      <c r="Q9" s="21" t="n">
        <f aca="false">SUM(Q6:Q7)</f>
        <v>3078400.24823405</v>
      </c>
      <c r="R9" s="21" t="n">
        <f aca="false">SUM(R6:R7)</f>
        <v>3136120.25288844</v>
      </c>
      <c r="S9" s="21" t="n">
        <f aca="false">SUM(S6:S7)</f>
        <v>3194922.5076301</v>
      </c>
      <c r="T9" s="21" t="n">
        <f aca="false">SUM(T6:T7)</f>
        <v>3254827.30464817</v>
      </c>
      <c r="U9" s="21" t="n">
        <f aca="false">SUM(U6:U7)</f>
        <v>3315855.31661032</v>
      </c>
      <c r="V9" s="21" t="n">
        <f aca="false">SUM(V6:V7)</f>
        <v>3378027.60379676</v>
      </c>
      <c r="W9" s="21" t="n">
        <f aca="false">SUM(W6:W7)</f>
        <v>3441365.62136795</v>
      </c>
      <c r="X9" s="21" t="n">
        <f aca="false">SUM(D9:W9)</f>
        <v>58023922.0676586</v>
      </c>
    </row>
    <row r="10" customFormat="false" ht="15" hidden="false" customHeight="true" outlineLevel="0" collapsed="false">
      <c r="B10" s="13" t="s">
        <v>788</v>
      </c>
      <c r="D10" s="37" t="n">
        <f aca="false">-SA_VacHAP*D9</f>
        <v>-225110.4642528</v>
      </c>
      <c r="E10" s="37" t="n">
        <f aca="false">-SA_VacHAP*E9</f>
        <v>-229331.28545754</v>
      </c>
      <c r="F10" s="37" t="n">
        <f aca="false">-SA_VacHAP*F9</f>
        <v>-233631.247059869</v>
      </c>
      <c r="G10" s="37" t="n">
        <f aca="false">-SA_VacHAP*G9</f>
        <v>-238011.832942241</v>
      </c>
      <c r="H10" s="37" t="n">
        <f aca="false">-SA_VacHAP*H9</f>
        <v>-242474.554809908</v>
      </c>
      <c r="I10" s="37" t="n">
        <f aca="false">-SA_VacHAP*I9</f>
        <v>-247020.952712594</v>
      </c>
      <c r="J10" s="37" t="n">
        <f aca="false">-SA_VacHAP*J9</f>
        <v>-251652.595575955</v>
      </c>
      <c r="K10" s="37" t="n">
        <f aca="false">-SA_VacHAP*K9</f>
        <v>-256371.081743005</v>
      </c>
      <c r="L10" s="37" t="n">
        <f aca="false">-SA_VacHAP*L9</f>
        <v>-261178.039525686</v>
      </c>
      <c r="M10" s="37" t="n">
        <f aca="false">-SA_VacHAP*M9</f>
        <v>-266075.127766793</v>
      </c>
      <c r="N10" s="37" t="n">
        <f aca="false">-SA_VacHAP*N9</f>
        <v>-271064.03641242</v>
      </c>
      <c r="O10" s="37" t="n">
        <f aca="false">-SA_VacHAP*O9</f>
        <v>-276146.487095153</v>
      </c>
      <c r="P10" s="37" t="n">
        <f aca="false">-SA_VacHAP*P9</f>
        <v>-281324.233728187</v>
      </c>
      <c r="Q10" s="37" t="n">
        <f aca="false">-SA_VacHAP*Q9</f>
        <v>-286599.06311059</v>
      </c>
      <c r="R10" s="37" t="n">
        <f aca="false">-SA_VacHAP*R9</f>
        <v>-291972.795543914</v>
      </c>
      <c r="S10" s="37" t="n">
        <f aca="false">-SA_VacHAP*S9</f>
        <v>-297447.285460362</v>
      </c>
      <c r="T10" s="37" t="n">
        <f aca="false">-SA_VacHAP*T9</f>
        <v>-303024.422062744</v>
      </c>
      <c r="U10" s="37" t="n">
        <f aca="false">-SA_VacHAP*U9</f>
        <v>-308706.129976421</v>
      </c>
      <c r="V10" s="37" t="n">
        <f aca="false">-SA_VacHAP*V9</f>
        <v>-314494.369913479</v>
      </c>
      <c r="W10" s="37" t="n">
        <f aca="false">-SA_VacHAP*W9</f>
        <v>-320391.139349356</v>
      </c>
    </row>
    <row r="11" customFormat="false" ht="15" hidden="false" customHeight="true" outlineLevel="0" collapsed="false">
      <c r="B11" s="13" t="s">
        <v>789</v>
      </c>
      <c r="D11" s="37" t="n">
        <f aca="false">-D9*SA_OfflinePct*MAX(0,MIN(SA_RehabMonths-0,12))/12</f>
        <v>-71115.9614117647</v>
      </c>
      <c r="E11" s="37" t="n">
        <f aca="false">-E9*SA_OfflinePct*MAX(0,MIN(SA_RehabMonths-12,12))/12</f>
        <v>-36224.6928441177</v>
      </c>
      <c r="F11" s="37" t="n">
        <f aca="false">-F9*SA_OfflinePct*MAX(0,MIN(SA_RehabMonths-24,12))/12</f>
        <v>-0</v>
      </c>
      <c r="G11" s="37" t="n">
        <f aca="false">-G9*SA_OfflinePct*MAX(0,MIN(SA_RehabMonths-36,12))/12</f>
        <v>-0</v>
      </c>
      <c r="H11" s="37" t="n">
        <f aca="false">-H9*SA_OfflinePct*MAX(0,MIN(SA_RehabMonths-48,12))/12</f>
        <v>-0</v>
      </c>
      <c r="I11" s="37" t="n">
        <f aca="false">-I9*SA_OfflinePct*MAX(0,MIN(SA_RehabMonths-60,12))/12</f>
        <v>-0</v>
      </c>
      <c r="J11" s="37" t="n">
        <f aca="false">-J9*SA_OfflinePct*MAX(0,MIN(SA_RehabMonths-72,12))/12</f>
        <v>-0</v>
      </c>
      <c r="K11" s="37" t="n">
        <f aca="false">-K9*SA_OfflinePct*MAX(0,MIN(SA_RehabMonths-84,12))/12</f>
        <v>-0</v>
      </c>
      <c r="L11" s="37" t="n">
        <f aca="false">-L9*SA_OfflinePct*MAX(0,MIN(SA_RehabMonths-96,12))/12</f>
        <v>-0</v>
      </c>
      <c r="M11" s="37" t="n">
        <f aca="false">-M9*SA_OfflinePct*MAX(0,MIN(SA_RehabMonths-108,12))/12</f>
        <v>-0</v>
      </c>
      <c r="N11" s="37" t="n">
        <f aca="false">-N9*SA_OfflinePct*MAX(0,MIN(SA_RehabMonths-120,12))/12</f>
        <v>-0</v>
      </c>
      <c r="O11" s="37" t="n">
        <f aca="false">-O9*SA_OfflinePct*MAX(0,MIN(SA_RehabMonths-132,12))/12</f>
        <v>-0</v>
      </c>
      <c r="P11" s="37" t="n">
        <f aca="false">-P9*SA_OfflinePct*MAX(0,MIN(SA_RehabMonths-144,12))/12</f>
        <v>-0</v>
      </c>
      <c r="Q11" s="37" t="n">
        <f aca="false">-Q9*SA_OfflinePct*MAX(0,MIN(SA_RehabMonths-156,12))/12</f>
        <v>-0</v>
      </c>
      <c r="R11" s="37" t="n">
        <f aca="false">-R9*SA_OfflinePct*MAX(0,MIN(SA_RehabMonths-168,12))/12</f>
        <v>-0</v>
      </c>
      <c r="S11" s="37" t="n">
        <f aca="false">-S9*SA_OfflinePct*MAX(0,MIN(SA_RehabMonths-180,12))/12</f>
        <v>-0</v>
      </c>
      <c r="T11" s="37" t="n">
        <f aca="false">-T9*SA_OfflinePct*MAX(0,MIN(SA_RehabMonths-192,12))/12</f>
        <v>-0</v>
      </c>
      <c r="U11" s="37" t="n">
        <f aca="false">-U9*SA_OfflinePct*MAX(0,MIN(SA_RehabMonths-204,12))/12</f>
        <v>-0</v>
      </c>
      <c r="V11" s="37" t="n">
        <f aca="false">-V9*SA_OfflinePct*MAX(0,MIN(SA_RehabMonths-216,12))/12</f>
        <v>-0</v>
      </c>
      <c r="W11" s="37" t="n">
        <f aca="false">-W9*SA_OfflinePct*MAX(0,MIN(SA_RehabMonths-228,12))/12</f>
        <v>-0</v>
      </c>
    </row>
    <row r="13" customFormat="false" ht="15" hidden="false" customHeight="true" outlineLevel="0" collapsed="false">
      <c r="B13" s="19" t="s">
        <v>790</v>
      </c>
      <c r="D13" s="21" t="n">
        <f aca="false">D9+D10+D11</f>
        <v>2121716.26233544</v>
      </c>
      <c r="E13" s="21" t="n">
        <f aca="false">E9+E10+E11</f>
        <v>2197723.13509834</v>
      </c>
      <c r="F13" s="21" t="n">
        <f aca="false">F9+F10+F11</f>
        <v>2275834.34971638</v>
      </c>
      <c r="G13" s="21" t="n">
        <f aca="false">G9+G10+G11</f>
        <v>2318506.24377356</v>
      </c>
      <c r="H13" s="21" t="n">
        <f aca="false">H9+H10+H11</f>
        <v>2361978.23584432</v>
      </c>
      <c r="I13" s="21" t="n">
        <f aca="false">I9+I10+I11</f>
        <v>2406265.3277664</v>
      </c>
      <c r="J13" s="21" t="n">
        <f aca="false">J9+J10+J11</f>
        <v>2451382.80266202</v>
      </c>
      <c r="K13" s="21" t="n">
        <f aca="false">K9+K10+K11</f>
        <v>2497346.23021193</v>
      </c>
      <c r="L13" s="21" t="n">
        <f aca="false">L9+L10+L11</f>
        <v>2544171.47202841</v>
      </c>
      <c r="M13" s="21" t="n">
        <f aca="false">M9+M10+M11</f>
        <v>2591874.68712894</v>
      </c>
      <c r="N13" s="21" t="n">
        <f aca="false">N9+N10+N11</f>
        <v>2640472.33751261</v>
      </c>
      <c r="O13" s="21" t="n">
        <f aca="false">O9+O10+O11</f>
        <v>2689981.19384097</v>
      </c>
      <c r="P13" s="21" t="n">
        <f aca="false">P9+P10+P11</f>
        <v>2740418.34122549</v>
      </c>
      <c r="Q13" s="21" t="n">
        <f aca="false">Q9+Q10+Q11</f>
        <v>2791801.18512346</v>
      </c>
      <c r="R13" s="21" t="n">
        <f aca="false">R9+R10+R11</f>
        <v>2844147.45734453</v>
      </c>
      <c r="S13" s="21" t="n">
        <f aca="false">S9+S10+S11</f>
        <v>2897475.22216974</v>
      </c>
      <c r="T13" s="21" t="n">
        <f aca="false">T9+T10+T11</f>
        <v>2951802.88258542</v>
      </c>
      <c r="U13" s="21" t="n">
        <f aca="false">U9+U10+U11</f>
        <v>3007149.1866339</v>
      </c>
      <c r="V13" s="21" t="n">
        <f aca="false">V9+V10+V11</f>
        <v>3063533.23388328</v>
      </c>
      <c r="W13" s="21" t="n">
        <f aca="false">W9+W10+W11</f>
        <v>3120974.4820186</v>
      </c>
      <c r="X13" s="21" t="n">
        <f aca="false">SUM(D13:W13)</f>
        <v>52514554.2689037</v>
      </c>
    </row>
    <row r="15" customFormat="false" ht="15" hidden="false" customHeight="true" outlineLevel="0" collapsed="false">
      <c r="B15" s="63" t="s">
        <v>791</v>
      </c>
    </row>
    <row r="16" customFormat="false" ht="15" hidden="false" customHeight="true" outlineLevel="0" collapsed="false">
      <c r="B16" s="13" t="s">
        <v>483</v>
      </c>
      <c r="D16" s="37" t="n">
        <f aca="false">MgmtFeePct*D13</f>
        <v>84868.6504934174</v>
      </c>
      <c r="E16" s="37" t="n">
        <f aca="false">MgmtFeePct*E13</f>
        <v>87908.9254039337</v>
      </c>
      <c r="F16" s="37" t="n">
        <f aca="false">MgmtFeePct*F13</f>
        <v>91033.3739886553</v>
      </c>
      <c r="G16" s="37" t="n">
        <f aca="false">MgmtFeePct*G13</f>
        <v>92740.2497509426</v>
      </c>
      <c r="H16" s="37" t="n">
        <f aca="false">MgmtFeePct*H13</f>
        <v>94479.1294337727</v>
      </c>
      <c r="I16" s="37" t="n">
        <f aca="false">MgmtFeePct*I13</f>
        <v>96250.613110656</v>
      </c>
      <c r="J16" s="37" t="n">
        <f aca="false">MgmtFeePct*J13</f>
        <v>98055.3121064808</v>
      </c>
      <c r="K16" s="37" t="n">
        <f aca="false">MgmtFeePct*K13</f>
        <v>99893.8492084773</v>
      </c>
      <c r="L16" s="37" t="n">
        <f aca="false">MgmtFeePct*L13</f>
        <v>101766.858881136</v>
      </c>
      <c r="M16" s="37" t="n">
        <f aca="false">MgmtFeePct*M13</f>
        <v>103674.987485158</v>
      </c>
      <c r="N16" s="37" t="n">
        <f aca="false">MgmtFeePct*N13</f>
        <v>105618.893500504</v>
      </c>
      <c r="O16" s="37" t="n">
        <f aca="false">MgmtFeePct*O13</f>
        <v>107599.247753639</v>
      </c>
      <c r="P16" s="37" t="n">
        <f aca="false">MgmtFeePct*P13</f>
        <v>109616.733649019</v>
      </c>
      <c r="Q16" s="37" t="n">
        <f aca="false">MgmtFeePct*Q13</f>
        <v>111672.047404939</v>
      </c>
      <c r="R16" s="37" t="n">
        <f aca="false">MgmtFeePct*R13</f>
        <v>113765.898293781</v>
      </c>
      <c r="S16" s="37" t="n">
        <f aca="false">MgmtFeePct*S13</f>
        <v>115899.00888679</v>
      </c>
      <c r="T16" s="37" t="n">
        <f aca="false">MgmtFeePct*T13</f>
        <v>118072.115303417</v>
      </c>
      <c r="U16" s="37" t="n">
        <f aca="false">MgmtFeePct*U13</f>
        <v>120285.967465356</v>
      </c>
      <c r="V16" s="37" t="n">
        <f aca="false">MgmtFeePct*V13</f>
        <v>122541.329355331</v>
      </c>
      <c r="W16" s="37" t="n">
        <f aca="false">MgmtFeePct*W13</f>
        <v>124838.979280744</v>
      </c>
    </row>
    <row r="17" customFormat="false" ht="15" hidden="false" customHeight="true" outlineLevel="0" collapsed="false">
      <c r="B17" s="13" t="s">
        <v>792</v>
      </c>
      <c r="D17" s="66" t="n">
        <f aca="false">'Rev+Expenses'!F19</f>
        <v>247995</v>
      </c>
      <c r="E17" s="37" t="n">
        <f aca="false">D17*(1+$D$51)</f>
        <v>255434.85</v>
      </c>
      <c r="F17" s="37" t="n">
        <f aca="false">E17*(1+$D$51)</f>
        <v>263097.8955</v>
      </c>
      <c r="G17" s="37" t="n">
        <f aca="false">F17*(1+$D$51)</f>
        <v>270990.832365</v>
      </c>
      <c r="H17" s="37" t="n">
        <f aca="false">G17*(1+$D$51)</f>
        <v>279120.55733595</v>
      </c>
      <c r="I17" s="37" t="n">
        <f aca="false">H17*(1+$D$51)</f>
        <v>287494.174056029</v>
      </c>
      <c r="J17" s="37" t="n">
        <f aca="false">I17*(1+$D$51)</f>
        <v>296118.999277709</v>
      </c>
      <c r="K17" s="37" t="n">
        <f aca="false">J17*(1+$D$51)</f>
        <v>305002.569256041</v>
      </c>
      <c r="L17" s="37" t="n">
        <f aca="false">K17*(1+$D$51)</f>
        <v>314152.646333722</v>
      </c>
      <c r="M17" s="37" t="n">
        <f aca="false">L17*(1+$D$51)</f>
        <v>323577.225723734</v>
      </c>
      <c r="N17" s="37" t="n">
        <f aca="false">M17*(1+$D$51)</f>
        <v>333284.542495446</v>
      </c>
      <c r="O17" s="37" t="n">
        <f aca="false">N17*(1+$D$51)</f>
        <v>343283.078770309</v>
      </c>
      <c r="P17" s="37" t="n">
        <f aca="false">O17*(1+$D$51)</f>
        <v>353581.571133418</v>
      </c>
      <c r="Q17" s="37" t="n">
        <f aca="false">P17*(1+$D$51)</f>
        <v>364189.018267421</v>
      </c>
      <c r="R17" s="37" t="n">
        <f aca="false">Q17*(1+$D$51)</f>
        <v>375114.688815444</v>
      </c>
      <c r="S17" s="37" t="n">
        <f aca="false">R17*(1+$D$51)</f>
        <v>386368.129479907</v>
      </c>
      <c r="T17" s="37" t="n">
        <f aca="false">S17*(1+$D$51)</f>
        <v>397959.173364304</v>
      </c>
      <c r="U17" s="37" t="n">
        <f aca="false">T17*(1+$D$51)</f>
        <v>409897.948565233</v>
      </c>
      <c r="V17" s="37" t="n">
        <f aca="false">U17*(1+$D$51)</f>
        <v>422194.88702219</v>
      </c>
      <c r="W17" s="37" t="n">
        <f aca="false">V17*(1+$D$51)</f>
        <v>434860.733632856</v>
      </c>
    </row>
    <row r="18" customFormat="false" ht="15" hidden="false" customHeight="true" outlineLevel="0" collapsed="false">
      <c r="B18" s="13" t="s">
        <v>224</v>
      </c>
      <c r="D18" s="66" t="n">
        <f aca="false">'Rev+Expenses'!F20</f>
        <v>346747</v>
      </c>
      <c r="E18" s="37" t="n">
        <f aca="false">D18*(1+$D$51)</f>
        <v>357149.41</v>
      </c>
      <c r="F18" s="37" t="n">
        <f aca="false">E18*(1+$D$51)</f>
        <v>367863.8923</v>
      </c>
      <c r="G18" s="37" t="n">
        <f aca="false">F18*(1+$D$51)</f>
        <v>378899.809069</v>
      </c>
      <c r="H18" s="37" t="n">
        <f aca="false">G18*(1+$D$51)</f>
        <v>390266.80334107</v>
      </c>
      <c r="I18" s="37" t="n">
        <f aca="false">H18*(1+$D$51)</f>
        <v>401974.807441302</v>
      </c>
      <c r="J18" s="37" t="n">
        <f aca="false">I18*(1+$D$51)</f>
        <v>414034.051664541</v>
      </c>
      <c r="K18" s="37" t="n">
        <f aca="false">J18*(1+$D$51)</f>
        <v>426455.073214478</v>
      </c>
      <c r="L18" s="37" t="n">
        <f aca="false">K18*(1+$D$51)</f>
        <v>439248.725410912</v>
      </c>
      <c r="M18" s="37" t="n">
        <f aca="false">L18*(1+$D$51)</f>
        <v>452426.187173239</v>
      </c>
      <c r="N18" s="37" t="n">
        <f aca="false">M18*(1+$D$51)</f>
        <v>465998.972788436</v>
      </c>
      <c r="O18" s="37" t="n">
        <f aca="false">N18*(1+$D$51)</f>
        <v>479978.94197209</v>
      </c>
      <c r="P18" s="37" t="n">
        <f aca="false">O18*(1+$D$51)</f>
        <v>494378.310231252</v>
      </c>
      <c r="Q18" s="37" t="n">
        <f aca="false">P18*(1+$D$51)</f>
        <v>509209.65953819</v>
      </c>
      <c r="R18" s="37" t="n">
        <f aca="false">Q18*(1+$D$51)</f>
        <v>524485.949324336</v>
      </c>
      <c r="S18" s="37" t="n">
        <f aca="false">R18*(1+$D$51)</f>
        <v>540220.527804066</v>
      </c>
      <c r="T18" s="37" t="n">
        <f aca="false">S18*(1+$D$51)</f>
        <v>556427.143638188</v>
      </c>
      <c r="U18" s="37" t="n">
        <f aca="false">T18*(1+$D$51)</f>
        <v>573119.957947333</v>
      </c>
      <c r="V18" s="37" t="n">
        <f aca="false">U18*(1+$D$51)</f>
        <v>590313.556685753</v>
      </c>
      <c r="W18" s="37" t="n">
        <f aca="false">V18*(1+$D$51)</f>
        <v>608022.963386326</v>
      </c>
    </row>
    <row r="19" customFormat="false" ht="15" hidden="false" customHeight="true" outlineLevel="0" collapsed="false">
      <c r="B19" s="13" t="s">
        <v>485</v>
      </c>
      <c r="D19" s="66" t="n">
        <f aca="false">'Rev+Expenses'!F21</f>
        <v>415840</v>
      </c>
      <c r="E19" s="37" t="n">
        <f aca="false">D19*(1+$D$51)</f>
        <v>428315.2</v>
      </c>
      <c r="F19" s="37" t="n">
        <f aca="false">E19*(1+$D$51)</f>
        <v>441164.656</v>
      </c>
      <c r="G19" s="37" t="n">
        <f aca="false">F19*(1+$D$51)</f>
        <v>454399.59568</v>
      </c>
      <c r="H19" s="37" t="n">
        <f aca="false">G19*(1+$D$51)</f>
        <v>468031.5835504</v>
      </c>
      <c r="I19" s="37" t="n">
        <f aca="false">H19*(1+$D$51)</f>
        <v>482072.531056912</v>
      </c>
      <c r="J19" s="37" t="n">
        <f aca="false">I19*(1+$D$51)</f>
        <v>496534.706988619</v>
      </c>
      <c r="K19" s="37" t="n">
        <f aca="false">J19*(1+$D$51)</f>
        <v>511430.748198278</v>
      </c>
      <c r="L19" s="37" t="n">
        <f aca="false">K19*(1+$D$51)</f>
        <v>526773.670644226</v>
      </c>
      <c r="M19" s="37" t="n">
        <f aca="false">L19*(1+$D$51)</f>
        <v>542576.880763553</v>
      </c>
      <c r="N19" s="37" t="n">
        <f aca="false">M19*(1+$D$51)</f>
        <v>558854.18718646</v>
      </c>
      <c r="O19" s="37" t="n">
        <f aca="false">N19*(1+$D$51)</f>
        <v>575619.812802054</v>
      </c>
      <c r="P19" s="37" t="n">
        <f aca="false">O19*(1+$D$51)</f>
        <v>592888.407186115</v>
      </c>
      <c r="Q19" s="37" t="n">
        <f aca="false">P19*(1+$D$51)</f>
        <v>610675.059401699</v>
      </c>
      <c r="R19" s="37" t="n">
        <f aca="false">Q19*(1+$D$51)</f>
        <v>628995.31118375</v>
      </c>
      <c r="S19" s="37" t="n">
        <f aca="false">R19*(1+$D$51)</f>
        <v>647865.170519262</v>
      </c>
      <c r="T19" s="37" t="n">
        <f aca="false">S19*(1+$D$51)</f>
        <v>667301.12563484</v>
      </c>
      <c r="U19" s="37" t="n">
        <f aca="false">T19*(1+$D$51)</f>
        <v>687320.159403885</v>
      </c>
      <c r="V19" s="37" t="n">
        <f aca="false">U19*(1+$D$51)</f>
        <v>707939.764186002</v>
      </c>
      <c r="W19" s="37" t="n">
        <f aca="false">V19*(1+$D$51)</f>
        <v>729177.957111582</v>
      </c>
    </row>
    <row r="20" customFormat="false" ht="15" hidden="false" customHeight="true" outlineLevel="0" collapsed="false">
      <c r="B20" s="13" t="s">
        <v>793</v>
      </c>
      <c r="D20" s="66" t="n">
        <f aca="false">'Rev+Expenses'!F22</f>
        <v>100168</v>
      </c>
      <c r="E20" s="37" t="n">
        <f aca="false">D20*(1+$D$51)</f>
        <v>103173.04</v>
      </c>
      <c r="F20" s="37" t="n">
        <f aca="false">E20*(1+$D$51)</f>
        <v>106268.2312</v>
      </c>
      <c r="G20" s="37" t="n">
        <f aca="false">F20*(1+$D$51)</f>
        <v>109456.278136</v>
      </c>
      <c r="H20" s="37" t="n">
        <f aca="false">G20*(1+$D$51)</f>
        <v>112739.96648008</v>
      </c>
      <c r="I20" s="37" t="n">
        <f aca="false">H20*(1+$D$51)</f>
        <v>116122.165474482</v>
      </c>
      <c r="J20" s="37" t="n">
        <f aca="false">I20*(1+$D$51)</f>
        <v>119605.830438717</v>
      </c>
      <c r="K20" s="37" t="n">
        <f aca="false">J20*(1+$D$51)</f>
        <v>123194.005351878</v>
      </c>
      <c r="L20" s="37" t="n">
        <f aca="false">K20*(1+$D$51)</f>
        <v>126889.825512435</v>
      </c>
      <c r="M20" s="37" t="n">
        <f aca="false">L20*(1+$D$51)</f>
        <v>130696.520277808</v>
      </c>
      <c r="N20" s="37" t="n">
        <f aca="false">M20*(1+$D$51)</f>
        <v>134617.415886142</v>
      </c>
      <c r="O20" s="37" t="n">
        <f aca="false">N20*(1+$D$51)</f>
        <v>138655.938362726</v>
      </c>
      <c r="P20" s="37" t="n">
        <f aca="false">O20*(1+$D$51)</f>
        <v>142815.616513608</v>
      </c>
      <c r="Q20" s="37" t="n">
        <f aca="false">P20*(1+$D$51)</f>
        <v>147100.085009016</v>
      </c>
      <c r="R20" s="37" t="n">
        <f aca="false">Q20*(1+$D$51)</f>
        <v>151513.087559287</v>
      </c>
      <c r="S20" s="37" t="n">
        <f aca="false">R20*(1+$D$51)</f>
        <v>156058.480186065</v>
      </c>
      <c r="T20" s="37" t="n">
        <f aca="false">S20*(1+$D$51)</f>
        <v>160740.234591647</v>
      </c>
      <c r="U20" s="37" t="n">
        <f aca="false">T20*(1+$D$51)</f>
        <v>165562.441629397</v>
      </c>
      <c r="V20" s="37" t="n">
        <f aca="false">U20*(1+$D$51)</f>
        <v>170529.314878279</v>
      </c>
      <c r="W20" s="37" t="n">
        <f aca="false">V20*(1+$D$51)</f>
        <v>175645.194324627</v>
      </c>
    </row>
    <row r="21" customFormat="false" ht="15" hidden="false" customHeight="true" outlineLevel="0" collapsed="false">
      <c r="B21" s="13" t="s">
        <v>794</v>
      </c>
      <c r="D21" s="66" t="n">
        <f aca="false">'Rev+Expenses'!F23</f>
        <v>272022</v>
      </c>
      <c r="E21" s="37" t="n">
        <f aca="false">D21*(1+InsGrowth)</f>
        <v>288343.32</v>
      </c>
      <c r="F21" s="37" t="n">
        <f aca="false">E21*(1+InsGrowth)</f>
        <v>305643.9192</v>
      </c>
      <c r="G21" s="37" t="n">
        <f aca="false">F21*(1+InsGrowth)</f>
        <v>323982.554352</v>
      </c>
      <c r="H21" s="37" t="n">
        <f aca="false">G21*(1+InsGrowth)</f>
        <v>343421.50761312</v>
      </c>
      <c r="I21" s="37" t="n">
        <f aca="false">H21*(1+InsGrowth)</f>
        <v>364026.798069907</v>
      </c>
      <c r="J21" s="37" t="n">
        <f aca="false">I21*(1+InsGrowth)</f>
        <v>385868.405954102</v>
      </c>
      <c r="K21" s="37" t="n">
        <f aca="false">J21*(1+InsGrowth)</f>
        <v>409020.510311348</v>
      </c>
      <c r="L21" s="37" t="n">
        <f aca="false">K21*(1+InsGrowth)</f>
        <v>433561.740930029</v>
      </c>
      <c r="M21" s="37" t="n">
        <f aca="false">L21*(1+InsGrowth)</f>
        <v>459575.445385831</v>
      </c>
      <c r="N21" s="37" t="n">
        <f aca="false">M21*(1+InsGrowth)</f>
        <v>487149.97210898</v>
      </c>
      <c r="O21" s="37" t="n">
        <f aca="false">N21*(1+InsGrowth)</f>
        <v>516378.970435519</v>
      </c>
      <c r="P21" s="37" t="n">
        <f aca="false">O21*(1+InsGrowth)</f>
        <v>547361.70866165</v>
      </c>
      <c r="Q21" s="37" t="n">
        <f aca="false">P21*(1+InsGrowth)</f>
        <v>580203.411181349</v>
      </c>
      <c r="R21" s="37" t="n">
        <f aca="false">Q21*(1+InsGrowth)</f>
        <v>615015.61585223</v>
      </c>
      <c r="S21" s="37" t="n">
        <f aca="false">R21*(1+InsGrowth)</f>
        <v>651916.552803364</v>
      </c>
      <c r="T21" s="37" t="n">
        <f aca="false">S21*(1+InsGrowth)</f>
        <v>691031.545971566</v>
      </c>
      <c r="U21" s="37" t="n">
        <f aca="false">T21*(1+InsGrowth)</f>
        <v>732493.43872986</v>
      </c>
      <c r="V21" s="37" t="n">
        <f aca="false">U21*(1+InsGrowth)</f>
        <v>776443.045053652</v>
      </c>
      <c r="W21" s="37" t="n">
        <f aca="false">V21*(1+InsGrowth)</f>
        <v>823029.627756871</v>
      </c>
    </row>
    <row r="23" customFormat="false" ht="15" hidden="false" customHeight="true" outlineLevel="0" collapsed="false">
      <c r="B23" s="19" t="s">
        <v>488</v>
      </c>
      <c r="D23" s="21" t="n">
        <f aca="false">SUM(D16:D21)</f>
        <v>1467640.65049342</v>
      </c>
      <c r="E23" s="21" t="n">
        <f aca="false">SUM(E16:E21)</f>
        <v>1520324.74540393</v>
      </c>
      <c r="F23" s="21" t="n">
        <f aca="false">SUM(F16:F21)</f>
        <v>1575071.96818866</v>
      </c>
      <c r="G23" s="21" t="n">
        <f aca="false">SUM(G16:G21)</f>
        <v>1630469.31935294</v>
      </c>
      <c r="H23" s="21" t="n">
        <f aca="false">SUM(H16:H21)</f>
        <v>1688059.54775439</v>
      </c>
      <c r="I23" s="21" t="n">
        <f aca="false">SUM(I16:I21)</f>
        <v>1747941.08920929</v>
      </c>
      <c r="J23" s="21" t="n">
        <f aca="false">SUM(J16:J21)</f>
        <v>1810217.30643017</v>
      </c>
      <c r="K23" s="21" t="n">
        <f aca="false">SUM(K16:K21)</f>
        <v>1874996.7555405</v>
      </c>
      <c r="L23" s="21" t="n">
        <f aca="false">SUM(L16:L21)</f>
        <v>1942393.46771246</v>
      </c>
      <c r="M23" s="21" t="n">
        <f aca="false">SUM(M16:M21)</f>
        <v>2012527.24680932</v>
      </c>
      <c r="N23" s="21" t="n">
        <f aca="false">SUM(N16:N21)</f>
        <v>2085523.98396597</v>
      </c>
      <c r="O23" s="21" t="n">
        <f aca="false">SUM(O16:O21)</f>
        <v>2161515.99009634</v>
      </c>
      <c r="P23" s="21" t="n">
        <f aca="false">SUM(P16:P21)</f>
        <v>2240642.34737506</v>
      </c>
      <c r="Q23" s="21" t="n">
        <f aca="false">SUM(Q16:Q21)</f>
        <v>2323049.28080261</v>
      </c>
      <c r="R23" s="21" t="n">
        <f aca="false">SUM(R16:R21)</f>
        <v>2408890.55102883</v>
      </c>
      <c r="S23" s="21" t="n">
        <f aca="false">SUM(S16:S21)</f>
        <v>2498327.86967945</v>
      </c>
      <c r="T23" s="21" t="n">
        <f aca="false">SUM(T16:T21)</f>
        <v>2591531.33850396</v>
      </c>
      <c r="U23" s="21" t="n">
        <f aca="false">SUM(U16:U21)</f>
        <v>2688679.91374106</v>
      </c>
      <c r="V23" s="21" t="n">
        <f aca="false">SUM(V16:V21)</f>
        <v>2789961.89718121</v>
      </c>
      <c r="W23" s="21" t="n">
        <f aca="false">SUM(W16:W21)</f>
        <v>2895575.45549301</v>
      </c>
      <c r="X23" s="21" t="n">
        <f aca="false">SUM(D23:W23)</f>
        <v>41953340.7247626</v>
      </c>
    </row>
    <row r="25" customFormat="false" ht="15" hidden="false" customHeight="true" outlineLevel="0" collapsed="false">
      <c r="B25" s="19" t="s">
        <v>489</v>
      </c>
      <c r="D25" s="21" t="n">
        <f aca="false">D13-D23</f>
        <v>654075.611842018</v>
      </c>
      <c r="E25" s="21" t="n">
        <f aca="false">E13-E23</f>
        <v>677398.389694409</v>
      </c>
      <c r="F25" s="21" t="n">
        <f aca="false">F13-F23</f>
        <v>700762.381527726</v>
      </c>
      <c r="G25" s="21" t="n">
        <f aca="false">G13-G23</f>
        <v>688036.924420621</v>
      </c>
      <c r="H25" s="21" t="n">
        <f aca="false">H13-H23</f>
        <v>673918.688089925</v>
      </c>
      <c r="I25" s="21" t="n">
        <f aca="false">I13-I23</f>
        <v>658324.238557111</v>
      </c>
      <c r="J25" s="21" t="n">
        <f aca="false">J13-J23</f>
        <v>641165.49623185</v>
      </c>
      <c r="K25" s="21" t="n">
        <f aca="false">K13-K23</f>
        <v>622349.474671432</v>
      </c>
      <c r="L25" s="21" t="n">
        <f aca="false">L13-L23</f>
        <v>601778.004315946</v>
      </c>
      <c r="M25" s="21" t="n">
        <f aca="false">M13-M23</f>
        <v>579347.440319617</v>
      </c>
      <c r="N25" s="21" t="n">
        <f aca="false">N13-N23</f>
        <v>554948.353546638</v>
      </c>
      <c r="O25" s="21" t="n">
        <f aca="false">O13-O23</f>
        <v>528465.203744631</v>
      </c>
      <c r="P25" s="21" t="n">
        <f aca="false">P13-P23</f>
        <v>499775.993850422</v>
      </c>
      <c r="Q25" s="21" t="n">
        <f aca="false">Q13-Q23</f>
        <v>468751.90432085</v>
      </c>
      <c r="R25" s="21" t="n">
        <f aca="false">R13-R23</f>
        <v>435256.906315702</v>
      </c>
      <c r="S25" s="21" t="n">
        <f aca="false">S13-S23</f>
        <v>399147.352490285</v>
      </c>
      <c r="T25" s="21" t="n">
        <f aca="false">T13-T23</f>
        <v>360271.544081459</v>
      </c>
      <c r="U25" s="21" t="n">
        <f aca="false">U13-U23</f>
        <v>318469.272892834</v>
      </c>
      <c r="V25" s="21" t="n">
        <f aca="false">V13-V23</f>
        <v>273571.336702077</v>
      </c>
      <c r="W25" s="21" t="n">
        <f aca="false">W13-W23</f>
        <v>225399.026525591</v>
      </c>
      <c r="X25" s="21" t="n">
        <f aca="false">SUM(D25:W25)</f>
        <v>10561213.5441411</v>
      </c>
    </row>
    <row r="27" customFormat="false" ht="15" hidden="false" customHeight="true" outlineLevel="0" collapsed="false">
      <c r="B27" s="13" t="s">
        <v>795</v>
      </c>
      <c r="D27" s="66" t="n">
        <f aca="false">SA_ReservesStab</f>
        <v>71400</v>
      </c>
      <c r="E27" s="37" t="n">
        <f aca="false">D27*(1+$D$51)</f>
        <v>73542</v>
      </c>
      <c r="F27" s="37" t="n">
        <f aca="false">E27*(1+$D$51)</f>
        <v>75748.26</v>
      </c>
      <c r="G27" s="37" t="n">
        <f aca="false">F27*(1+$D$51)</f>
        <v>78020.7078</v>
      </c>
      <c r="H27" s="37" t="n">
        <f aca="false">G27*(1+$D$51)</f>
        <v>80361.329034</v>
      </c>
      <c r="I27" s="37" t="n">
        <f aca="false">H27*(1+$D$51)</f>
        <v>82772.16890502</v>
      </c>
      <c r="J27" s="37" t="n">
        <f aca="false">I27*(1+$D$51)</f>
        <v>85255.3339721706</v>
      </c>
      <c r="K27" s="37" t="n">
        <f aca="false">J27*(1+$D$51)</f>
        <v>87812.9939913357</v>
      </c>
      <c r="L27" s="37" t="n">
        <f aca="false">K27*(1+$D$51)</f>
        <v>90447.3838110758</v>
      </c>
      <c r="M27" s="37" t="n">
        <f aca="false">L27*(1+$D$51)</f>
        <v>93160.8053254081</v>
      </c>
      <c r="N27" s="37" t="n">
        <f aca="false">M27*(1+$D$51)</f>
        <v>95955.6294851703</v>
      </c>
      <c r="O27" s="37" t="n">
        <f aca="false">N27*(1+$D$51)</f>
        <v>98834.2983697254</v>
      </c>
      <c r="P27" s="37" t="n">
        <f aca="false">O27*(1+$D$51)</f>
        <v>101799.327320817</v>
      </c>
      <c r="Q27" s="37" t="n">
        <f aca="false">P27*(1+$D$51)</f>
        <v>104853.307140442</v>
      </c>
      <c r="R27" s="37" t="n">
        <f aca="false">Q27*(1+$D$51)</f>
        <v>107998.906354655</v>
      </c>
      <c r="S27" s="37" t="n">
        <f aca="false">R27*(1+$D$51)</f>
        <v>111238.873545295</v>
      </c>
      <c r="T27" s="37" t="n">
        <f aca="false">S27*(1+$D$51)</f>
        <v>114576.039751653</v>
      </c>
      <c r="U27" s="37" t="n">
        <f aca="false">T27*(1+$D$51)</f>
        <v>118013.320944203</v>
      </c>
      <c r="V27" s="37" t="n">
        <f aca="false">U27*(1+$D$51)</f>
        <v>121553.720572529</v>
      </c>
      <c r="W27" s="37" t="n">
        <f aca="false">V27*(1+$D$51)</f>
        <v>125200.332189705</v>
      </c>
    </row>
    <row r="29" customFormat="false" ht="15" hidden="false" customHeight="true" outlineLevel="0" collapsed="false">
      <c r="B29" s="13" t="s">
        <v>796</v>
      </c>
      <c r="D29" s="37" t="n">
        <f aca="false">D59</f>
        <v>553188.654812193</v>
      </c>
      <c r="E29" s="37" t="n">
        <f aca="false">E59</f>
        <v>548529.276787395</v>
      </c>
      <c r="F29" s="37" t="n">
        <f aca="false">F59</f>
        <v>543590.33608111</v>
      </c>
      <c r="G29" s="37" t="n">
        <f aca="false">G59</f>
        <v>538355.058932447</v>
      </c>
      <c r="H29" s="37" t="n">
        <f aca="false">H59</f>
        <v>532805.665154864</v>
      </c>
      <c r="I29" s="37" t="n">
        <f aca="false">I59</f>
        <v>526923.307750627</v>
      </c>
      <c r="J29" s="37" t="n">
        <f aca="false">J59</f>
        <v>520688.008902135</v>
      </c>
      <c r="K29" s="37" t="n">
        <f aca="false">K59</f>
        <v>514078.592122734</v>
      </c>
      <c r="L29" s="37" t="n">
        <f aca="false">L59</f>
        <v>507072.610336568</v>
      </c>
      <c r="M29" s="37" t="n">
        <f aca="false">M59</f>
        <v>499646.269643233</v>
      </c>
      <c r="N29" s="37" t="n">
        <f aca="false">N59</f>
        <v>491774.348508298</v>
      </c>
      <c r="O29" s="37" t="n">
        <f aca="false">O59</f>
        <v>483430.112105266</v>
      </c>
      <c r="P29" s="37" t="n">
        <f aca="false">P59</f>
        <v>474585.221518053</v>
      </c>
      <c r="Q29" s="37" t="n">
        <f aca="false">Q59</f>
        <v>465209.637495607</v>
      </c>
      <c r="R29" s="37" t="n">
        <f aca="false">R59</f>
        <v>455271.518431814</v>
      </c>
      <c r="S29" s="37" t="n">
        <f aca="false">S59</f>
        <v>444737.112224193</v>
      </c>
      <c r="T29" s="37" t="n">
        <f aca="false">T59</f>
        <v>433570.641644115</v>
      </c>
      <c r="U29" s="37" t="n">
        <f aca="false">U59</f>
        <v>421734.182829233</v>
      </c>
      <c r="V29" s="37" t="n">
        <f aca="false">V59</f>
        <v>409187.536485458</v>
      </c>
      <c r="W29" s="37" t="n">
        <f aca="false">W59</f>
        <v>395888.091361056</v>
      </c>
    </row>
    <row r="30" customFormat="false" ht="15" hidden="false" customHeight="true" outlineLevel="0" collapsed="false">
      <c r="B30" s="13" t="s">
        <v>797</v>
      </c>
      <c r="D30" s="37" t="n">
        <f aca="false">D60</f>
        <v>77656.3004132962</v>
      </c>
      <c r="E30" s="37" t="n">
        <f aca="false">E60</f>
        <v>82315.678438094</v>
      </c>
      <c r="F30" s="37" t="n">
        <f aca="false">F60</f>
        <v>87254.6191443795</v>
      </c>
      <c r="G30" s="37" t="n">
        <f aca="false">G60</f>
        <v>92489.8962930423</v>
      </c>
      <c r="H30" s="37" t="n">
        <f aca="false">H60</f>
        <v>98039.2900706249</v>
      </c>
      <c r="I30" s="37" t="n">
        <f aca="false">I60</f>
        <v>103921.647474862</v>
      </c>
      <c r="J30" s="37" t="n">
        <f aca="false">J60</f>
        <v>110156.946323354</v>
      </c>
      <c r="K30" s="37" t="n">
        <f aca="false">K60</f>
        <v>116766.363102755</v>
      </c>
      <c r="L30" s="37" t="n">
        <f aca="false">L60</f>
        <v>123772.344888921</v>
      </c>
      <c r="M30" s="37" t="n">
        <f aca="false">M60</f>
        <v>131198.685582256</v>
      </c>
      <c r="N30" s="37" t="n">
        <f aca="false">N60</f>
        <v>139070.606717191</v>
      </c>
      <c r="O30" s="37" t="n">
        <f aca="false">O60</f>
        <v>147414.843120223</v>
      </c>
      <c r="P30" s="37" t="n">
        <f aca="false">P60</f>
        <v>156259.733707436</v>
      </c>
      <c r="Q30" s="37" t="n">
        <f aca="false">Q60</f>
        <v>165635.317729882</v>
      </c>
      <c r="R30" s="37" t="n">
        <f aca="false">R60</f>
        <v>175573.436793675</v>
      </c>
      <c r="S30" s="37" t="n">
        <f aca="false">S60</f>
        <v>186107.843001296</v>
      </c>
      <c r="T30" s="37" t="n">
        <f aca="false">T60</f>
        <v>197274.313581374</v>
      </c>
      <c r="U30" s="37" t="n">
        <f aca="false">U60</f>
        <v>209110.772396256</v>
      </c>
      <c r="V30" s="37" t="n">
        <f aca="false">V60</f>
        <v>221657.418740031</v>
      </c>
      <c r="W30" s="37" t="n">
        <f aca="false">W60</f>
        <v>234956.863864433</v>
      </c>
    </row>
    <row r="32" customFormat="false" ht="15" hidden="false" customHeight="true" outlineLevel="0" collapsed="false">
      <c r="B32" s="19" t="s">
        <v>798</v>
      </c>
      <c r="D32" s="21" t="n">
        <f aca="false">D25-D27-D29-D30</f>
        <v>-48169.3433834714</v>
      </c>
      <c r="E32" s="21" t="n">
        <f aca="false">E25-E27-E29-E30</f>
        <v>-26988.56553108</v>
      </c>
      <c r="F32" s="21" t="n">
        <f aca="false">F25-F27-F29-F30</f>
        <v>-5830.83369776339</v>
      </c>
      <c r="G32" s="21" t="n">
        <f aca="false">G25-G27-G29-G30</f>
        <v>-20828.7386048677</v>
      </c>
      <c r="H32" s="21" t="n">
        <f aca="false">H25-H27-H29-H30</f>
        <v>-37287.5961695642</v>
      </c>
      <c r="I32" s="21" t="n">
        <f aca="false">I25-I27-I29-I30</f>
        <v>-55292.8855733984</v>
      </c>
      <c r="J32" s="21" t="n">
        <f aca="false">J25-J27-J29-J30</f>
        <v>-74934.7929658098</v>
      </c>
      <c r="K32" s="21" t="n">
        <f aca="false">K25-K27-K29-K30</f>
        <v>-96308.4745453927</v>
      </c>
      <c r="L32" s="21" t="n">
        <f aca="false">L25-L27-L29-L30</f>
        <v>-119514.334720619</v>
      </c>
      <c r="M32" s="21" t="n">
        <f aca="false">M25-M27-M29-M30</f>
        <v>-144658.320231281</v>
      </c>
      <c r="N32" s="21" t="n">
        <f aca="false">N25-N27-N29-N30</f>
        <v>-171852.231164022</v>
      </c>
      <c r="O32" s="21" t="n">
        <f aca="false">O25-O27-O29-O30</f>
        <v>-201214.049850583</v>
      </c>
      <c r="P32" s="21" t="n">
        <f aca="false">P25-P27-P29-P30</f>
        <v>-232868.288695884</v>
      </c>
      <c r="Q32" s="21" t="n">
        <f aca="false">Q25-Q27-Q29-Q30</f>
        <v>-266946.358045081</v>
      </c>
      <c r="R32" s="21" t="n">
        <f aca="false">R25-R27-R29-R30</f>
        <v>-303586.955264442</v>
      </c>
      <c r="S32" s="21" t="n">
        <f aca="false">S25-S27-S29-S30</f>
        <v>-342936.476280498</v>
      </c>
      <c r="T32" s="21" t="n">
        <f aca="false">T25-T27-T29-T30</f>
        <v>-385149.450895683</v>
      </c>
      <c r="U32" s="21" t="n">
        <f aca="false">U25-U27-U29-U30</f>
        <v>-430389.003276858</v>
      </c>
      <c r="V32" s="21" t="n">
        <f aca="false">V25-V27-V29-V30</f>
        <v>-478827.339095941</v>
      </c>
      <c r="W32" s="21" t="n">
        <f aca="false">W25-W27-W29-W30</f>
        <v>-530646.260889604</v>
      </c>
    </row>
    <row r="34" customFormat="false" ht="15" hidden="false" customHeight="true" outlineLevel="0" collapsed="false">
      <c r="B34" s="13" t="s">
        <v>799</v>
      </c>
      <c r="D34" s="37" t="n">
        <f aca="false">IF((CashFlowCeilPct*D32)&lt;=0,0,CashFlowCeilPct*D32)</f>
        <v>0</v>
      </c>
      <c r="E34" s="37" t="n">
        <f aca="false">IF((CashFlowCeilPct*E32)&lt;=0,0,CashFlowCeilPct*E32)</f>
        <v>0</v>
      </c>
      <c r="F34" s="37" t="n">
        <f aca="false">IF((CashFlowCeilPct*F32)&lt;=0,0,CashFlowCeilPct*F32)</f>
        <v>0</v>
      </c>
      <c r="G34" s="37" t="n">
        <f aca="false">IF((CashFlowCeilPct*G32)&lt;=0,0,CashFlowCeilPct*G32)</f>
        <v>0</v>
      </c>
      <c r="H34" s="37" t="n">
        <f aca="false">IF((CashFlowCeilPct*H32)&lt;=0,0,CashFlowCeilPct*H32)</f>
        <v>0</v>
      </c>
      <c r="I34" s="37" t="n">
        <f aca="false">IF((CashFlowCeilPct*I32)&lt;=0,0,CashFlowCeilPct*I32)</f>
        <v>0</v>
      </c>
      <c r="J34" s="37" t="n">
        <f aca="false">IF((CashFlowCeilPct*J32)&lt;=0,0,CashFlowCeilPct*J32)</f>
        <v>0</v>
      </c>
      <c r="K34" s="37" t="n">
        <f aca="false">IF((CashFlowCeilPct*K32)&lt;=0,0,CashFlowCeilPct*K32)</f>
        <v>0</v>
      </c>
      <c r="L34" s="37" t="n">
        <f aca="false">IF((CashFlowCeilPct*L32)&lt;=0,0,CashFlowCeilPct*L32)</f>
        <v>0</v>
      </c>
      <c r="M34" s="37" t="n">
        <f aca="false">IF((CashFlowCeilPct*M32)&lt;=0,0,CashFlowCeilPct*M32)</f>
        <v>0</v>
      </c>
      <c r="N34" s="37" t="n">
        <f aca="false">IF((CashFlowCeilPct*N32)&lt;=0,0,CashFlowCeilPct*N32)</f>
        <v>0</v>
      </c>
      <c r="O34" s="37" t="n">
        <f aca="false">IF((CashFlowCeilPct*O32)&lt;=0,0,CashFlowCeilPct*O32)</f>
        <v>0</v>
      </c>
      <c r="P34" s="37" t="n">
        <f aca="false">IF((CashFlowCeilPct*P32)&lt;=0,0,CashFlowCeilPct*P32)</f>
        <v>0</v>
      </c>
      <c r="Q34" s="37" t="n">
        <f aca="false">IF((CashFlowCeilPct*Q32)&lt;=0,0,CashFlowCeilPct*Q32)</f>
        <v>0</v>
      </c>
      <c r="R34" s="37" t="n">
        <f aca="false">IF((CashFlowCeilPct*R32)&lt;=0,0,CashFlowCeilPct*R32)</f>
        <v>0</v>
      </c>
      <c r="S34" s="37" t="n">
        <f aca="false">IF((CashFlowCeilPct*S32)&lt;=0,0,CashFlowCeilPct*S32)</f>
        <v>0</v>
      </c>
      <c r="T34" s="37" t="n">
        <f aca="false">IF((CashFlowCeilPct*T32)&lt;=0,0,CashFlowCeilPct*T32)</f>
        <v>0</v>
      </c>
      <c r="U34" s="37" t="n">
        <f aca="false">IF((CashFlowCeilPct*U32)&lt;=0,0,CashFlowCeilPct*U32)</f>
        <v>0</v>
      </c>
      <c r="V34" s="37" t="n">
        <f aca="false">IF((CashFlowCeilPct*V32)&lt;=0,0,CashFlowCeilPct*V32)</f>
        <v>0</v>
      </c>
      <c r="W34" s="37" t="n">
        <f aca="false">IF((CashFlowCeilPct*W32)&lt;=0,0,CashFlowCeilPct*W32)</f>
        <v>0</v>
      </c>
    </row>
    <row r="36" customFormat="false" ht="15" hidden="false" customHeight="true" outlineLevel="0" collapsed="false">
      <c r="B36" s="19" t="s">
        <v>800</v>
      </c>
      <c r="D36" s="21" t="n">
        <f aca="false">D32-D34</f>
        <v>-48169.3433834714</v>
      </c>
      <c r="E36" s="21" t="n">
        <f aca="false">E32-E34</f>
        <v>-26988.56553108</v>
      </c>
      <c r="F36" s="21" t="n">
        <f aca="false">F32-F34</f>
        <v>-5830.83369776339</v>
      </c>
      <c r="G36" s="21" t="n">
        <f aca="false">G32-G34</f>
        <v>-20828.7386048677</v>
      </c>
      <c r="H36" s="21" t="n">
        <f aca="false">H32-H34</f>
        <v>-37287.5961695642</v>
      </c>
      <c r="I36" s="21" t="n">
        <f aca="false">I32-I34</f>
        <v>-55292.8855733984</v>
      </c>
      <c r="J36" s="21" t="n">
        <f aca="false">J32-J34</f>
        <v>-74934.7929658098</v>
      </c>
      <c r="K36" s="21" t="n">
        <f aca="false">K32-K34</f>
        <v>-96308.4745453927</v>
      </c>
      <c r="L36" s="21" t="n">
        <f aca="false">L32-L34</f>
        <v>-119514.334720619</v>
      </c>
      <c r="M36" s="21" t="n">
        <f aca="false">M32-M34</f>
        <v>-144658.320231281</v>
      </c>
      <c r="N36" s="21" t="n">
        <f aca="false">N32-N34</f>
        <v>-171852.231164022</v>
      </c>
      <c r="O36" s="21" t="n">
        <f aca="false">O32-O34</f>
        <v>-201214.049850583</v>
      </c>
      <c r="P36" s="21" t="n">
        <f aca="false">P32-P34</f>
        <v>-232868.288695884</v>
      </c>
      <c r="Q36" s="21" t="n">
        <f aca="false">Q32-Q34</f>
        <v>-266946.358045081</v>
      </c>
      <c r="R36" s="21" t="n">
        <f aca="false">R32-R34</f>
        <v>-303586.955264442</v>
      </c>
      <c r="S36" s="21" t="n">
        <f aca="false">S32-S34</f>
        <v>-342936.476280498</v>
      </c>
      <c r="T36" s="21" t="n">
        <f aca="false">T32-T34</f>
        <v>-385149.450895683</v>
      </c>
      <c r="U36" s="21" t="n">
        <f aca="false">U32-U34</f>
        <v>-430389.003276858</v>
      </c>
      <c r="V36" s="21" t="n">
        <f aca="false">V32-V34</f>
        <v>-478827.339095941</v>
      </c>
      <c r="W36" s="21" t="n">
        <f aca="false">W32-W34</f>
        <v>-530646.260889604</v>
      </c>
      <c r="X36" s="21" t="n">
        <f aca="false">SUM(D36:W36)</f>
        <v>-3974230.29888184</v>
      </c>
    </row>
    <row r="37" customFormat="false" ht="15" hidden="false" customHeight="true" outlineLevel="0" collapsed="false">
      <c r="B37" s="36" t="s">
        <v>801</v>
      </c>
    </row>
    <row r="39" customFormat="false" ht="15" hidden="false" customHeight="true" outlineLevel="0" collapsed="false">
      <c r="B39" s="69" t="s">
        <v>8</v>
      </c>
      <c r="D39" s="102" t="n">
        <f aca="false">IF((D29+D30)=0,0,D25/(D29+D30))</f>
        <v>1.03682466892079</v>
      </c>
      <c r="E39" s="102" t="n">
        <f aca="false">IF((E29+E30)=0,0,E25/(E29+E30))</f>
        <v>1.07379536617247</v>
      </c>
      <c r="F39" s="102" t="n">
        <f aca="false">IF((F29+F30)=0,0,F25/(F29+F30))</f>
        <v>1.1108313948191</v>
      </c>
      <c r="G39" s="102" t="n">
        <f aca="false">IF((G29+G30)=0,0,G25/(G29+G30))</f>
        <v>1.09065931132744</v>
      </c>
      <c r="H39" s="102" t="n">
        <f aca="false">IF((H29+H30)=0,0,H25/(H29+H30))</f>
        <v>1.06827942826148</v>
      </c>
      <c r="I39" s="102" t="n">
        <f aca="false">IF((I29+I30)=0,0,I25/(I29+I30))</f>
        <v>1.04355948811828</v>
      </c>
      <c r="J39" s="102" t="n">
        <f aca="false">IF((J29+J30)=0,0,J25/(J29+J30))</f>
        <v>1.01635986928464</v>
      </c>
      <c r="K39" s="102" t="n">
        <f aca="false">IF((K29+K30)=0,0,K25/(K29+K30))</f>
        <v>0.986533171924914</v>
      </c>
      <c r="L39" s="102" t="n">
        <f aca="false">IF((L29+L30)=0,0,L25/(L29+L30))</f>
        <v>0.953923780052813</v>
      </c>
      <c r="M39" s="102" t="n">
        <f aca="false">IF((M29+M30)=0,0,M25/(M29+M30))</f>
        <v>0.91836739839274</v>
      </c>
      <c r="N39" s="102" t="n">
        <f aca="false">IF((N29+N30)=0,0,N25/(N29+N30))</f>
        <v>0.87969056255396</v>
      </c>
      <c r="O39" s="102" t="n">
        <f aca="false">IF((O29+O30)=0,0,O25/(O29+O30))</f>
        <v>0.837710120953154</v>
      </c>
      <c r="P39" s="102" t="n">
        <f aca="false">IF((P29+P30)=0,0,P25/(P29+P30))</f>
        <v>0.792232686828386</v>
      </c>
      <c r="Q39" s="102" t="n">
        <f aca="false">IF((Q29+Q30)=0,0,Q25/(Q29+Q30))</f>
        <v>0.743054058589245</v>
      </c>
      <c r="R39" s="102" t="n">
        <f aca="false">IF((R29+R30)=0,0,R25/(R29+R30))</f>
        <v>0.689958606643884</v>
      </c>
      <c r="S39" s="102" t="n">
        <f aca="false">IF((S29+S30)=0,0,S25/(S29+S30))</f>
        <v>0.632718624733417</v>
      </c>
      <c r="T39" s="102" t="n">
        <f aca="false">IF((T29+T30)=0,0,T25/(T29+T30))</f>
        <v>0.571093643687273</v>
      </c>
      <c r="U39" s="102" t="n">
        <f aca="false">IF((U29+U30)=0,0,U25/(U29+U30))</f>
        <v>0.504829705389339</v>
      </c>
      <c r="V39" s="102" t="n">
        <f aca="false">IF((V29+V30)=0,0,V25/(V29+V30))</f>
        <v>0.43365859461346</v>
      </c>
      <c r="W39" s="102" t="n">
        <f aca="false">IF((W29+W30)=0,0,W25/(W29+W30))</f>
        <v>0.357297026247953</v>
      </c>
    </row>
    <row r="41" customFormat="false" ht="15" hidden="false" customHeight="true" outlineLevel="0" collapsed="false">
      <c r="B41" s="13" t="s">
        <v>802</v>
      </c>
      <c r="D41" s="66" t="n">
        <f aca="false">SUMPRODUCT((ROUNDUP(SA_PayinMonths/12,0)=1)*SA_PayinAmts)</f>
        <v>1023553.95510298</v>
      </c>
      <c r="E41" s="66" t="n">
        <f aca="false">SUMPRODUCT((ROUNDUP(SA_PayinMonths/12,0)=2)*SA_PayinAmts)</f>
        <v>4094215.8204119</v>
      </c>
      <c r="F41" s="66" t="n">
        <f aca="false">SUMPRODUCT((ROUNDUP(SA_PayinMonths/12,0)=3)*SA_PayinAmts)</f>
        <v>0</v>
      </c>
      <c r="G41" s="66" t="n">
        <f aca="false">SUMPRODUCT((ROUNDUP(SA_PayinMonths/12,0)=4)*SA_PayinAmts)</f>
        <v>0</v>
      </c>
      <c r="H41" s="66" t="n">
        <f aca="false">SUMPRODUCT((ROUNDUP(SA_PayinMonths/12,0)=5)*SA_PayinAmts)</f>
        <v>0</v>
      </c>
      <c r="I41" s="66" t="n">
        <f aca="false">SUMPRODUCT((ROUNDUP(SA_PayinMonths/12,0)=6)*SA_PayinAmts)</f>
        <v>0</v>
      </c>
      <c r="J41" s="66" t="n">
        <f aca="false">SUMPRODUCT((ROUNDUP(SA_PayinMonths/12,0)=7)*SA_PayinAmts)</f>
        <v>0</v>
      </c>
      <c r="K41" s="66" t="n">
        <f aca="false">SUMPRODUCT((ROUNDUP(SA_PayinMonths/12,0)=8)*SA_PayinAmts)</f>
        <v>0</v>
      </c>
      <c r="L41" s="66" t="n">
        <f aca="false">SUMPRODUCT((ROUNDUP(SA_PayinMonths/12,0)=9)*SA_PayinAmts)</f>
        <v>0</v>
      </c>
      <c r="M41" s="66" t="n">
        <f aca="false">SUMPRODUCT((ROUNDUP(SA_PayinMonths/12,0)=10)*SA_PayinAmts)</f>
        <v>0</v>
      </c>
      <c r="N41" s="66" t="n">
        <f aca="false">SUMPRODUCT((ROUNDUP(SA_PayinMonths/12,0)=11)*SA_PayinAmts)</f>
        <v>0</v>
      </c>
      <c r="O41" s="66" t="n">
        <f aca="false">SUMPRODUCT((ROUNDUP(SA_PayinMonths/12,0)=12)*SA_PayinAmts)</f>
        <v>0</v>
      </c>
      <c r="P41" s="66" t="n">
        <f aca="false">SUMPRODUCT((ROUNDUP(SA_PayinMonths/12,0)=13)*SA_PayinAmts)</f>
        <v>0</v>
      </c>
      <c r="Q41" s="66" t="n">
        <f aca="false">SUMPRODUCT((ROUNDUP(SA_PayinMonths/12,0)=14)*SA_PayinAmts)</f>
        <v>0</v>
      </c>
      <c r="R41" s="66" t="n">
        <f aca="false">SUMPRODUCT((ROUNDUP(SA_PayinMonths/12,0)=15)*SA_PayinAmts)</f>
        <v>0</v>
      </c>
      <c r="S41" s="66" t="n">
        <f aca="false">SUMPRODUCT((ROUNDUP(SA_PayinMonths/12,0)=16)*SA_PayinAmts)</f>
        <v>0</v>
      </c>
      <c r="T41" s="66" t="n">
        <f aca="false">SUMPRODUCT((ROUNDUP(SA_PayinMonths/12,0)=17)*SA_PayinAmts)</f>
        <v>0</v>
      </c>
      <c r="U41" s="66" t="n">
        <f aca="false">SUMPRODUCT((ROUNDUP(SA_PayinMonths/12,0)=18)*SA_PayinAmts)</f>
        <v>0</v>
      </c>
      <c r="V41" s="66" t="n">
        <f aca="false">SUMPRODUCT((ROUNDUP(SA_PayinMonths/12,0)=19)*SA_PayinAmts)</f>
        <v>0</v>
      </c>
      <c r="W41" s="66" t="n">
        <f aca="false">SUMPRODUCT((ROUNDUP(SA_PayinMonths/12,0)=20)*SA_PayinAmts)</f>
        <v>0</v>
      </c>
      <c r="X41" s="66" t="n">
        <f aca="false">SUM(D41:W41)</f>
        <v>5117769.77551488</v>
      </c>
    </row>
    <row r="49" customFormat="false" ht="15" hidden="false" customHeight="true" outlineLevel="0" collapsed="false">
      <c r="B49" s="63" t="s">
        <v>803</v>
      </c>
    </row>
    <row r="50" customFormat="false" ht="15" hidden="false" customHeight="true" outlineLevel="0" collapsed="false">
      <c r="B50" s="13" t="s">
        <v>804</v>
      </c>
      <c r="D50" s="51" t="n">
        <f aca="false">OCAF*OCAFHaircut</f>
        <v>0.01875</v>
      </c>
    </row>
    <row r="51" customFormat="false" ht="15" hidden="false" customHeight="true" outlineLevel="0" collapsed="false">
      <c r="B51" s="13" t="s">
        <v>805</v>
      </c>
      <c r="D51" s="51" t="n">
        <f aca="false">ExpGrowth</f>
        <v>0.03</v>
      </c>
    </row>
    <row r="56" customFormat="false" ht="15" hidden="false" customHeight="true" outlineLevel="0" collapsed="false">
      <c r="B56" s="63" t="s">
        <v>806</v>
      </c>
    </row>
    <row r="57" customFormat="false" ht="15" hidden="false" customHeight="true" outlineLevel="0" collapsed="false">
      <c r="B57" s="13" t="s">
        <v>807</v>
      </c>
      <c r="C57" s="43" t="n">
        <f aca="false">IF(DebtStrategy="Refinance",PermRate,SA_NoteRate)</f>
        <v>0.06</v>
      </c>
    </row>
    <row r="58" customFormat="false" ht="15" hidden="false" customHeight="true" outlineLevel="0" collapsed="false">
      <c r="B58" s="13" t="s">
        <v>808</v>
      </c>
      <c r="D58" s="37" t="n">
        <f aca="false">SA_SelProceeds</f>
        <v>9219810.91353655</v>
      </c>
      <c r="E58" s="37" t="n">
        <f aca="false">D61</f>
        <v>9142154.61312325</v>
      </c>
      <c r="F58" s="37" t="n">
        <f aca="false">E61</f>
        <v>9059838.93468516</v>
      </c>
      <c r="G58" s="37" t="n">
        <f aca="false">F61</f>
        <v>8972584.31554078</v>
      </c>
      <c r="H58" s="37" t="n">
        <f aca="false">G61</f>
        <v>8880094.41924774</v>
      </c>
      <c r="I58" s="37" t="n">
        <f aca="false">H61</f>
        <v>8782055.12917711</v>
      </c>
      <c r="J58" s="37" t="n">
        <f aca="false">I61</f>
        <v>8678133.48170225</v>
      </c>
      <c r="K58" s="37" t="n">
        <f aca="false">J61</f>
        <v>8567976.53537889</v>
      </c>
      <c r="L58" s="37" t="n">
        <f aca="false">K61</f>
        <v>8451210.17227614</v>
      </c>
      <c r="M58" s="37" t="n">
        <f aca="false">L61</f>
        <v>8327437.82738722</v>
      </c>
      <c r="N58" s="37" t="n">
        <f aca="false">M61</f>
        <v>8196239.14180496</v>
      </c>
      <c r="O58" s="37" t="n">
        <f aca="false">N61</f>
        <v>8057168.53508777</v>
      </c>
      <c r="P58" s="37" t="n">
        <f aca="false">O61</f>
        <v>7909753.69196755</v>
      </c>
      <c r="Q58" s="37" t="n">
        <f aca="false">P61</f>
        <v>7753493.95826011</v>
      </c>
      <c r="R58" s="37" t="n">
        <f aca="false">Q61</f>
        <v>7587858.64053023</v>
      </c>
      <c r="S58" s="37" t="n">
        <f aca="false">R61</f>
        <v>7412285.20373655</v>
      </c>
      <c r="T58" s="37" t="n">
        <f aca="false">S61</f>
        <v>7226177.36073526</v>
      </c>
      <c r="U58" s="37" t="n">
        <f aca="false">T61</f>
        <v>7028903.04715389</v>
      </c>
      <c r="V58" s="37" t="n">
        <f aca="false">U61</f>
        <v>6819792.27475763</v>
      </c>
      <c r="W58" s="37" t="n">
        <f aca="false">V61</f>
        <v>6598134.8560176</v>
      </c>
    </row>
    <row r="59" customFormat="false" ht="15" hidden="false" customHeight="true" outlineLevel="0" collapsed="false">
      <c r="B59" s="13" t="s">
        <v>809</v>
      </c>
      <c r="D59" s="37" t="n">
        <f aca="false">D58*$C$57</f>
        <v>553188.654812193</v>
      </c>
      <c r="E59" s="37" t="n">
        <f aca="false">E58*$C$57</f>
        <v>548529.276787395</v>
      </c>
      <c r="F59" s="37" t="n">
        <f aca="false">F58*$C$57</f>
        <v>543590.33608111</v>
      </c>
      <c r="G59" s="37" t="n">
        <f aca="false">G58*$C$57</f>
        <v>538355.058932447</v>
      </c>
      <c r="H59" s="37" t="n">
        <f aca="false">H58*$C$57</f>
        <v>532805.665154864</v>
      </c>
      <c r="I59" s="37" t="n">
        <f aca="false">I58*$C$57</f>
        <v>526923.307750627</v>
      </c>
      <c r="J59" s="37" t="n">
        <f aca="false">J58*$C$57</f>
        <v>520688.008902135</v>
      </c>
      <c r="K59" s="37" t="n">
        <f aca="false">K58*$C$57</f>
        <v>514078.592122734</v>
      </c>
      <c r="L59" s="37" t="n">
        <f aca="false">L58*$C$57</f>
        <v>507072.610336568</v>
      </c>
      <c r="M59" s="37" t="n">
        <f aca="false">M58*$C$57</f>
        <v>499646.269643233</v>
      </c>
      <c r="N59" s="37" t="n">
        <f aca="false">N58*$C$57</f>
        <v>491774.348508298</v>
      </c>
      <c r="O59" s="37" t="n">
        <f aca="false">O58*$C$57</f>
        <v>483430.112105266</v>
      </c>
      <c r="P59" s="37" t="n">
        <f aca="false">P58*$C$57</f>
        <v>474585.221518053</v>
      </c>
      <c r="Q59" s="37" t="n">
        <f aca="false">Q58*$C$57</f>
        <v>465209.637495607</v>
      </c>
      <c r="R59" s="37" t="n">
        <f aca="false">R58*$C$57</f>
        <v>455271.518431814</v>
      </c>
      <c r="S59" s="37" t="n">
        <f aca="false">S58*$C$57</f>
        <v>444737.112224193</v>
      </c>
      <c r="T59" s="37" t="n">
        <f aca="false">T58*$C$57</f>
        <v>433570.641644115</v>
      </c>
      <c r="U59" s="37" t="n">
        <f aca="false">U58*$C$57</f>
        <v>421734.182829233</v>
      </c>
      <c r="V59" s="37" t="n">
        <f aca="false">V58*$C$57</f>
        <v>409187.536485458</v>
      </c>
      <c r="W59" s="37" t="n">
        <f aca="false">W58*$C$57</f>
        <v>395888.091361056</v>
      </c>
    </row>
    <row r="60" customFormat="false" ht="15" hidden="false" customHeight="true" outlineLevel="0" collapsed="false">
      <c r="B60" s="13" t="s">
        <v>810</v>
      </c>
      <c r="D60" s="37" t="n">
        <f aca="false">MAX(0,MIN(D58,$C$62-D59))</f>
        <v>77656.3004132962</v>
      </c>
      <c r="E60" s="37" t="n">
        <f aca="false">MAX(0,MIN(E58,$C$62-E59))</f>
        <v>82315.678438094</v>
      </c>
      <c r="F60" s="37" t="n">
        <f aca="false">MAX(0,MIN(F58,$C$62-F59))</f>
        <v>87254.6191443795</v>
      </c>
      <c r="G60" s="37" t="n">
        <f aca="false">MAX(0,MIN(G58,$C$62-G59))</f>
        <v>92489.8962930423</v>
      </c>
      <c r="H60" s="37" t="n">
        <f aca="false">MAX(0,MIN(H58,$C$62-H59))</f>
        <v>98039.2900706249</v>
      </c>
      <c r="I60" s="37" t="n">
        <f aca="false">MAX(0,MIN(I58,$C$62-I59))</f>
        <v>103921.647474862</v>
      </c>
      <c r="J60" s="37" t="n">
        <f aca="false">MAX(0,MIN(J58,$C$62-J59))</f>
        <v>110156.946323354</v>
      </c>
      <c r="K60" s="37" t="n">
        <f aca="false">MAX(0,MIN(K58,$C$62-K59))</f>
        <v>116766.363102755</v>
      </c>
      <c r="L60" s="37" t="n">
        <f aca="false">MAX(0,MIN(L58,$C$62-L59))</f>
        <v>123772.344888921</v>
      </c>
      <c r="M60" s="37" t="n">
        <f aca="false">MAX(0,MIN(M58,$C$62-M59))</f>
        <v>131198.685582256</v>
      </c>
      <c r="N60" s="37" t="n">
        <f aca="false">MAX(0,MIN(N58,$C$62-N59))</f>
        <v>139070.606717191</v>
      </c>
      <c r="O60" s="37" t="n">
        <f aca="false">MAX(0,MIN(O58,$C$62-O59))</f>
        <v>147414.843120223</v>
      </c>
      <c r="P60" s="37" t="n">
        <f aca="false">MAX(0,MIN(P58,$C$62-P59))</f>
        <v>156259.733707436</v>
      </c>
      <c r="Q60" s="37" t="n">
        <f aca="false">MAX(0,MIN(Q58,$C$62-Q59))</f>
        <v>165635.317729882</v>
      </c>
      <c r="R60" s="37" t="n">
        <f aca="false">MAX(0,MIN(R58,$C$62-R59))</f>
        <v>175573.436793675</v>
      </c>
      <c r="S60" s="37" t="n">
        <f aca="false">MAX(0,MIN(S58,$C$62-S59))</f>
        <v>186107.843001296</v>
      </c>
      <c r="T60" s="37" t="n">
        <f aca="false">MAX(0,MIN(T58,$C$62-T59))</f>
        <v>197274.313581374</v>
      </c>
      <c r="U60" s="37" t="n">
        <f aca="false">MAX(0,MIN(U58,$C$62-U59))</f>
        <v>209110.772396256</v>
      </c>
      <c r="V60" s="37" t="n">
        <f aca="false">MAX(0,MIN(V58,$C$62-V59))</f>
        <v>221657.418740031</v>
      </c>
      <c r="W60" s="37" t="n">
        <f aca="false">MAX(0,MIN(W58,$C$62-W59))</f>
        <v>234956.863864433</v>
      </c>
    </row>
    <row r="61" customFormat="false" ht="15" hidden="false" customHeight="true" outlineLevel="0" collapsed="false">
      <c r="B61" s="13" t="s">
        <v>811</v>
      </c>
      <c r="D61" s="37" t="n">
        <f aca="false">D58-D60</f>
        <v>9142154.61312325</v>
      </c>
      <c r="E61" s="37" t="n">
        <f aca="false">E58-E60</f>
        <v>9059838.93468516</v>
      </c>
      <c r="F61" s="37" t="n">
        <f aca="false">F58-F60</f>
        <v>8972584.31554078</v>
      </c>
      <c r="G61" s="37" t="n">
        <f aca="false">G58-G60</f>
        <v>8880094.41924774</v>
      </c>
      <c r="H61" s="37" t="n">
        <f aca="false">H58-H60</f>
        <v>8782055.12917711</v>
      </c>
      <c r="I61" s="37" t="n">
        <f aca="false">I58-I60</f>
        <v>8678133.48170225</v>
      </c>
      <c r="J61" s="37" t="n">
        <f aca="false">J58-J60</f>
        <v>8567976.53537889</v>
      </c>
      <c r="K61" s="37" t="n">
        <f aca="false">K58-K60</f>
        <v>8451210.17227614</v>
      </c>
      <c r="L61" s="37" t="n">
        <f aca="false">L58-L60</f>
        <v>8327437.82738722</v>
      </c>
      <c r="M61" s="37" t="n">
        <f aca="false">M58-M60</f>
        <v>8196239.14180496</v>
      </c>
      <c r="N61" s="37" t="n">
        <f aca="false">N58-N60</f>
        <v>8057168.53508777</v>
      </c>
      <c r="O61" s="37" t="n">
        <f aca="false">O58-O60</f>
        <v>7909753.69196755</v>
      </c>
      <c r="P61" s="37" t="n">
        <f aca="false">P58-P60</f>
        <v>7753493.95826011</v>
      </c>
      <c r="Q61" s="37" t="n">
        <f aca="false">Q58-Q60</f>
        <v>7587858.64053023</v>
      </c>
      <c r="R61" s="37" t="n">
        <f aca="false">R58-R60</f>
        <v>7412285.20373655</v>
      </c>
      <c r="S61" s="37" t="n">
        <f aca="false">S58-S60</f>
        <v>7226177.36073526</v>
      </c>
      <c r="T61" s="37" t="n">
        <f aca="false">T58-T60</f>
        <v>7028903.04715389</v>
      </c>
      <c r="U61" s="37" t="n">
        <f aca="false">U58-U60</f>
        <v>6819792.27475763</v>
      </c>
      <c r="V61" s="37" t="n">
        <f aca="false">V58-V60</f>
        <v>6598134.8560176</v>
      </c>
      <c r="W61" s="37" t="n">
        <f aca="false">W58-W60</f>
        <v>6363177.99215316</v>
      </c>
    </row>
    <row r="62" customFormat="false" ht="15" hidden="false" customHeight="true" outlineLevel="0" collapsed="false">
      <c r="B62" s="13" t="s">
        <v>812</v>
      </c>
      <c r="C62" s="37" t="n">
        <f aca="false">IF(DebtStrategy="Refinance",SA_PermLoan*(-PMT(PermRate/12,PermAmort*12,1)*12),12*SA_NotePI)</f>
        <v>630844.955225489</v>
      </c>
    </row>
  </sheetData>
  <conditionalFormatting sqref="D39:W39">
    <cfRule type="expression" priority="2" aboveAverage="0" equalAverage="0" bottom="0" percent="0" rank="0" text="" dxfId="1">
      <formula>AND(D39&lt;&gt;0,OR(D39&lt;DSCRFloor,D39&gt;DSCRCeil))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3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.43"/>
    <col collapsed="false" customWidth="true" hidden="false" outlineLevel="0" max="2" min="2" style="1" width="44"/>
    <col collapsed="false" customWidth="true" hidden="false" outlineLevel="0" max="22" min="3" style="1" width="13.29"/>
  </cols>
  <sheetData>
    <row r="1" customFormat="false" ht="17.25" hidden="false" customHeight="true" outlineLevel="0" collapsed="false">
      <c r="A1" s="11" t="s">
        <v>834</v>
      </c>
    </row>
    <row r="3" customFormat="false" ht="15" hidden="false" customHeight="true" outlineLevel="0" collapsed="false">
      <c r="B3" s="19" t="s">
        <v>764</v>
      </c>
      <c r="C3" s="58" t="str">
        <f aca="false">"Yr "&amp;1</f>
        <v>Yr 1</v>
      </c>
      <c r="D3" s="58" t="str">
        <f aca="false">"Yr "&amp;2</f>
        <v>Yr 2</v>
      </c>
      <c r="E3" s="58" t="str">
        <f aca="false">"Yr "&amp;3</f>
        <v>Yr 3</v>
      </c>
      <c r="F3" s="58" t="str">
        <f aca="false">"Yr "&amp;4</f>
        <v>Yr 4</v>
      </c>
      <c r="G3" s="58" t="str">
        <f aca="false">"Yr "&amp;5</f>
        <v>Yr 5</v>
      </c>
      <c r="H3" s="58" t="str">
        <f aca="false">"Yr "&amp;6</f>
        <v>Yr 6</v>
      </c>
      <c r="I3" s="58" t="str">
        <f aca="false">"Yr "&amp;7</f>
        <v>Yr 7</v>
      </c>
      <c r="J3" s="58" t="str">
        <f aca="false">"Yr "&amp;8</f>
        <v>Yr 8</v>
      </c>
      <c r="K3" s="58" t="str">
        <f aca="false">"Yr "&amp;9</f>
        <v>Yr 9</v>
      </c>
      <c r="L3" s="58" t="str">
        <f aca="false">"Yr "&amp;10</f>
        <v>Yr 10</v>
      </c>
      <c r="M3" s="58" t="str">
        <f aca="false">"Yr "&amp;11</f>
        <v>Yr 11</v>
      </c>
      <c r="N3" s="58" t="str">
        <f aca="false">"Yr "&amp;12</f>
        <v>Yr 12</v>
      </c>
      <c r="O3" s="58" t="str">
        <f aca="false">"Yr "&amp;13</f>
        <v>Yr 13</v>
      </c>
      <c r="P3" s="58" t="str">
        <f aca="false">"Yr "&amp;14</f>
        <v>Yr 14</v>
      </c>
      <c r="Q3" s="58" t="str">
        <f aca="false">"Yr "&amp;15</f>
        <v>Yr 15</v>
      </c>
      <c r="R3" s="58" t="str">
        <f aca="false">"Yr "&amp;16</f>
        <v>Yr 16</v>
      </c>
      <c r="S3" s="58" t="str">
        <f aca="false">"Yr "&amp;17</f>
        <v>Yr 17</v>
      </c>
      <c r="T3" s="58" t="str">
        <f aca="false">"Yr "&amp;18</f>
        <v>Yr 18</v>
      </c>
      <c r="U3" s="58" t="str">
        <f aca="false">"Yr "&amp;19</f>
        <v>Yr 19</v>
      </c>
      <c r="V3" s="58" t="str">
        <f aca="false">"Yr "&amp;20</f>
        <v>Yr 20</v>
      </c>
    </row>
    <row r="5" customFormat="false" ht="15" hidden="false" customHeight="true" outlineLevel="0" collapsed="false">
      <c r="B5" s="19" t="s">
        <v>814</v>
      </c>
      <c r="C5" s="109" t="n">
        <f aca="false">'SA - Pro Forma'!D36</f>
        <v>-48169.3433834714</v>
      </c>
      <c r="D5" s="109" t="n">
        <f aca="false">'SA - Pro Forma'!E36</f>
        <v>-26988.56553108</v>
      </c>
      <c r="E5" s="109" t="n">
        <f aca="false">'SA - Pro Forma'!F36</f>
        <v>-5830.83369776339</v>
      </c>
      <c r="F5" s="109" t="n">
        <f aca="false">'SA - Pro Forma'!G36</f>
        <v>-20828.7386048677</v>
      </c>
      <c r="G5" s="109" t="n">
        <f aca="false">'SA - Pro Forma'!H36</f>
        <v>-37287.5961695642</v>
      </c>
      <c r="H5" s="109" t="n">
        <f aca="false">'SA - Pro Forma'!I36</f>
        <v>-55292.8855733984</v>
      </c>
      <c r="I5" s="109" t="n">
        <f aca="false">'SA - Pro Forma'!J36</f>
        <v>-74934.7929658098</v>
      </c>
      <c r="J5" s="109" t="n">
        <f aca="false">'SA - Pro Forma'!K36</f>
        <v>-96308.4745453927</v>
      </c>
      <c r="K5" s="109" t="n">
        <f aca="false">'SA - Pro Forma'!L36</f>
        <v>-119514.334720619</v>
      </c>
      <c r="L5" s="109" t="n">
        <f aca="false">'SA - Pro Forma'!M36</f>
        <v>-144658.320231281</v>
      </c>
      <c r="M5" s="109" t="n">
        <f aca="false">'SA - Pro Forma'!N36</f>
        <v>-171852.231164022</v>
      </c>
      <c r="N5" s="109" t="n">
        <f aca="false">'SA - Pro Forma'!O36</f>
        <v>-201214.049850583</v>
      </c>
      <c r="O5" s="109" t="n">
        <f aca="false">'SA - Pro Forma'!P36</f>
        <v>-232868.288695884</v>
      </c>
      <c r="P5" s="109" t="n">
        <f aca="false">'SA - Pro Forma'!Q36</f>
        <v>-266946.358045081</v>
      </c>
      <c r="Q5" s="109" t="n">
        <f aca="false">'SA - Pro Forma'!R36</f>
        <v>-303586.955264442</v>
      </c>
      <c r="R5" s="109" t="n">
        <f aca="false">'SA - Pro Forma'!S36</f>
        <v>-342936.476280498</v>
      </c>
      <c r="S5" s="109" t="n">
        <f aca="false">'SA - Pro Forma'!T36</f>
        <v>-385149.450895683</v>
      </c>
      <c r="T5" s="109" t="n">
        <f aca="false">'SA - Pro Forma'!U36</f>
        <v>-430389.003276858</v>
      </c>
      <c r="U5" s="109" t="n">
        <f aca="false">'SA - Pro Forma'!V36</f>
        <v>-478827.339095941</v>
      </c>
      <c r="V5" s="109" t="n">
        <f aca="false">'SA - Pro Forma'!W36</f>
        <v>-530646.260889604</v>
      </c>
    </row>
    <row r="7" customFormat="false" ht="15" hidden="false" customHeight="true" outlineLevel="0" collapsed="false">
      <c r="B7" s="13" t="s">
        <v>815</v>
      </c>
      <c r="C7" s="18" t="n">
        <f aca="false">MIN(C17,MAX(0,C5))</f>
        <v>0</v>
      </c>
      <c r="D7" s="18" t="n">
        <f aca="false">MIN(D17,MAX(0,D5))</f>
        <v>0</v>
      </c>
      <c r="E7" s="18" t="n">
        <f aca="false">MIN(E17,MAX(0,E5))</f>
        <v>0</v>
      </c>
      <c r="F7" s="18" t="n">
        <f aca="false">MIN(F17,MAX(0,F5))</f>
        <v>0</v>
      </c>
      <c r="G7" s="18" t="n">
        <f aca="false">MIN(G17,MAX(0,G5))</f>
        <v>0</v>
      </c>
      <c r="H7" s="18" t="n">
        <f aca="false">MIN(H17,MAX(0,H5))</f>
        <v>0</v>
      </c>
      <c r="I7" s="18" t="n">
        <f aca="false">MIN(I17,MAX(0,I5))</f>
        <v>0</v>
      </c>
      <c r="J7" s="18" t="n">
        <f aca="false">MIN(J17,MAX(0,J5))</f>
        <v>0</v>
      </c>
      <c r="K7" s="18" t="n">
        <f aca="false">MIN(K17,MAX(0,K5))</f>
        <v>0</v>
      </c>
      <c r="L7" s="18" t="n">
        <f aca="false">MIN(L17,MAX(0,L5))</f>
        <v>0</v>
      </c>
      <c r="M7" s="18" t="n">
        <f aca="false">MIN(M17,MAX(0,M5))</f>
        <v>0</v>
      </c>
      <c r="N7" s="18" t="n">
        <f aca="false">MIN(N17,MAX(0,N5))</f>
        <v>0</v>
      </c>
      <c r="O7" s="18" t="n">
        <f aca="false">MIN(O17,MAX(0,O5))</f>
        <v>0</v>
      </c>
      <c r="P7" s="18" t="n">
        <f aca="false">MIN(P17,MAX(0,P5))</f>
        <v>0</v>
      </c>
      <c r="Q7" s="18" t="n">
        <f aca="false">MIN(Q17,MAX(0,Q5))</f>
        <v>0</v>
      </c>
      <c r="R7" s="18" t="n">
        <f aca="false">MIN(R17,MAX(0,R5))</f>
        <v>0</v>
      </c>
      <c r="S7" s="18" t="n">
        <f aca="false">MIN(S17,MAX(0,S5))</f>
        <v>0</v>
      </c>
      <c r="T7" s="18" t="n">
        <f aca="false">MIN(T17,MAX(0,T5))</f>
        <v>0</v>
      </c>
      <c r="U7" s="18" t="n">
        <f aca="false">MIN(U17,MAX(0,U5))</f>
        <v>0</v>
      </c>
      <c r="V7" s="18" t="n">
        <f aca="false">MIN(V17,MAX(0,V5))</f>
        <v>0</v>
      </c>
    </row>
    <row r="8" customFormat="false" ht="15" hidden="false" customHeight="true" outlineLevel="0" collapsed="false">
      <c r="B8" s="13" t="s">
        <v>816</v>
      </c>
      <c r="C8" s="18" t="n">
        <f aca="false">MIN(C23,MAX(0,C5)-C7)</f>
        <v>0</v>
      </c>
      <c r="D8" s="18" t="n">
        <f aca="false">MIN(D23,MAX(0,D5)-D7)</f>
        <v>0</v>
      </c>
      <c r="E8" s="18" t="n">
        <f aca="false">MIN(E23,MAX(0,E5)-E7)</f>
        <v>0</v>
      </c>
      <c r="F8" s="18" t="n">
        <f aca="false">MIN(F23,MAX(0,F5)-F7)</f>
        <v>0</v>
      </c>
      <c r="G8" s="18" t="n">
        <f aca="false">MIN(G23,MAX(0,G5)-G7)</f>
        <v>0</v>
      </c>
      <c r="H8" s="18" t="n">
        <f aca="false">MIN(H23,MAX(0,H5)-H7)</f>
        <v>0</v>
      </c>
      <c r="I8" s="18" t="n">
        <f aca="false">MIN(I23,MAX(0,I5)-I7)</f>
        <v>0</v>
      </c>
      <c r="J8" s="18" t="n">
        <f aca="false">MIN(J23,MAX(0,J5)-J7)</f>
        <v>0</v>
      </c>
      <c r="K8" s="18" t="n">
        <f aca="false">MIN(K23,MAX(0,K5)-K7)</f>
        <v>0</v>
      </c>
      <c r="L8" s="18" t="n">
        <f aca="false">MIN(L23,MAX(0,L5)-L7)</f>
        <v>0</v>
      </c>
      <c r="M8" s="18" t="n">
        <f aca="false">MIN(M23,MAX(0,M5)-M7)</f>
        <v>0</v>
      </c>
      <c r="N8" s="18" t="n">
        <f aca="false">MIN(N23,MAX(0,N5)-N7)</f>
        <v>0</v>
      </c>
      <c r="O8" s="18" t="n">
        <f aca="false">MIN(O23,MAX(0,O5)-O7)</f>
        <v>0</v>
      </c>
      <c r="P8" s="18" t="n">
        <f aca="false">MIN(P23,MAX(0,P5)-P7)</f>
        <v>0</v>
      </c>
      <c r="Q8" s="18" t="n">
        <f aca="false">MIN(Q23,MAX(0,Q5)-Q7)</f>
        <v>0</v>
      </c>
      <c r="R8" s="18" t="n">
        <f aca="false">MIN(R23,MAX(0,R5)-R7)</f>
        <v>0</v>
      </c>
      <c r="S8" s="18" t="n">
        <f aca="false">MIN(S23,MAX(0,S5)-S7)</f>
        <v>0</v>
      </c>
      <c r="T8" s="18" t="n">
        <f aca="false">MIN(T23,MAX(0,T5)-T7)</f>
        <v>0</v>
      </c>
      <c r="U8" s="18" t="n">
        <f aca="false">MIN(U23,MAX(0,U5)-U7)</f>
        <v>0</v>
      </c>
      <c r="V8" s="18" t="n">
        <f aca="false">MIN(V23,MAX(0,V5)-V7)</f>
        <v>0</v>
      </c>
    </row>
    <row r="9" customFormat="false" ht="15" hidden="false" customHeight="true" outlineLevel="0" collapsed="false">
      <c r="B9" s="13" t="s">
        <v>817</v>
      </c>
      <c r="C9" s="18" t="n">
        <f aca="false">MIN(MAX(0,C33-C29),MAX(0,C5)-C7-C8)</f>
        <v>0</v>
      </c>
      <c r="D9" s="18" t="n">
        <f aca="false">MIN(MAX(0,D33-D29),MAX(0,D5)-D7-D8)</f>
        <v>0</v>
      </c>
      <c r="E9" s="18" t="n">
        <f aca="false">MIN(MAX(0,E33-E29),MAX(0,E5)-E7-E8)</f>
        <v>0</v>
      </c>
      <c r="F9" s="18" t="n">
        <f aca="false">MIN(MAX(0,F33-F29),MAX(0,F5)-F7-F8)</f>
        <v>0</v>
      </c>
      <c r="G9" s="18" t="n">
        <f aca="false">MIN(MAX(0,G33-G29),MAX(0,G5)-G7-G8)</f>
        <v>0</v>
      </c>
      <c r="H9" s="18" t="n">
        <f aca="false">MIN(MAX(0,H33-H29),MAX(0,H5)-H7-H8)</f>
        <v>0</v>
      </c>
      <c r="I9" s="18" t="n">
        <f aca="false">MIN(MAX(0,I33-I29),MAX(0,I5)-I7-I8)</f>
        <v>0</v>
      </c>
      <c r="J9" s="18" t="n">
        <f aca="false">MIN(MAX(0,J33-J29),MAX(0,J5)-J7-J8)</f>
        <v>0</v>
      </c>
      <c r="K9" s="18" t="n">
        <f aca="false">MIN(MAX(0,K33-K29),MAX(0,K5)-K7-K8)</f>
        <v>0</v>
      </c>
      <c r="L9" s="18" t="n">
        <f aca="false">MIN(MAX(0,L33-L29),MAX(0,L5)-L7-L8)</f>
        <v>0</v>
      </c>
      <c r="M9" s="18" t="n">
        <f aca="false">MIN(MAX(0,M33-M29),MAX(0,M5)-M7-M8)</f>
        <v>0</v>
      </c>
      <c r="N9" s="18" t="n">
        <f aca="false">MIN(MAX(0,N33-N29),MAX(0,N5)-N7-N8)</f>
        <v>0</v>
      </c>
      <c r="O9" s="18" t="n">
        <f aca="false">MIN(MAX(0,O33-O29),MAX(0,O5)-O7-O8)</f>
        <v>0</v>
      </c>
      <c r="P9" s="18" t="n">
        <f aca="false">MIN(MAX(0,P33-P29),MAX(0,P5)-P7-P8)</f>
        <v>0</v>
      </c>
      <c r="Q9" s="18" t="n">
        <f aca="false">MIN(MAX(0,Q33-Q29),MAX(0,Q5)-Q7-Q8)</f>
        <v>0</v>
      </c>
      <c r="R9" s="18" t="n">
        <f aca="false">MIN(MAX(0,R33-R29),MAX(0,R5)-R7-R8)</f>
        <v>0</v>
      </c>
      <c r="S9" s="18" t="n">
        <f aca="false">MIN(MAX(0,S33-S29),MAX(0,S5)-S7-S8)</f>
        <v>0</v>
      </c>
      <c r="T9" s="18" t="n">
        <f aca="false">MIN(MAX(0,T33-T29),MAX(0,T5)-T7-T8)</f>
        <v>0</v>
      </c>
      <c r="U9" s="18" t="n">
        <f aca="false">MIN(MAX(0,U33-U29),MAX(0,U5)-U7-U8)</f>
        <v>0</v>
      </c>
      <c r="V9" s="18" t="n">
        <f aca="false">MIN(MAX(0,V33-V29),MAX(0,V5)-V7-V8)</f>
        <v>0</v>
      </c>
    </row>
    <row r="11" customFormat="false" ht="15" hidden="false" customHeight="true" outlineLevel="0" collapsed="false">
      <c r="B11" s="19" t="s">
        <v>818</v>
      </c>
      <c r="C11" s="42" t="n">
        <f aca="false">C7+C8+C9</f>
        <v>0</v>
      </c>
      <c r="D11" s="42" t="n">
        <f aca="false">D7+D8+D9</f>
        <v>0</v>
      </c>
      <c r="E11" s="42" t="n">
        <f aca="false">E7+E8+E9</f>
        <v>0</v>
      </c>
      <c r="F11" s="42" t="n">
        <f aca="false">F7+F8+F9</f>
        <v>0</v>
      </c>
      <c r="G11" s="42" t="n">
        <f aca="false">G7+G8+G9</f>
        <v>0</v>
      </c>
      <c r="H11" s="42" t="n">
        <f aca="false">H7+H8+H9</f>
        <v>0</v>
      </c>
      <c r="I11" s="42" t="n">
        <f aca="false">I7+I8+I9</f>
        <v>0</v>
      </c>
      <c r="J11" s="42" t="n">
        <f aca="false">J7+J8+J9</f>
        <v>0</v>
      </c>
      <c r="K11" s="42" t="n">
        <f aca="false">K7+K8+K9</f>
        <v>0</v>
      </c>
      <c r="L11" s="42" t="n">
        <f aca="false">L7+L8+L9</f>
        <v>0</v>
      </c>
      <c r="M11" s="42" t="n">
        <f aca="false">M7+M8+M9</f>
        <v>0</v>
      </c>
      <c r="N11" s="42" t="n">
        <f aca="false">N7+N8+N9</f>
        <v>0</v>
      </c>
      <c r="O11" s="42" t="n">
        <f aca="false">O7+O8+O9</f>
        <v>0</v>
      </c>
      <c r="P11" s="42" t="n">
        <f aca="false">P7+P8+P9</f>
        <v>0</v>
      </c>
      <c r="Q11" s="42" t="n">
        <f aca="false">Q7+Q8+Q9</f>
        <v>0</v>
      </c>
      <c r="R11" s="42" t="n">
        <f aca="false">R7+R8+R9</f>
        <v>0</v>
      </c>
      <c r="S11" s="42" t="n">
        <f aca="false">S7+S8+S9</f>
        <v>0</v>
      </c>
      <c r="T11" s="42" t="n">
        <f aca="false">T7+T8+T9</f>
        <v>0</v>
      </c>
      <c r="U11" s="42" t="n">
        <f aca="false">U7+U8+U9</f>
        <v>0</v>
      </c>
      <c r="V11" s="42" t="n">
        <f aca="false">V7+V8+V9</f>
        <v>0</v>
      </c>
    </row>
    <row r="13" customFormat="false" ht="15" hidden="false" customHeight="true" outlineLevel="0" collapsed="false">
      <c r="B13" s="19" t="s">
        <v>819</v>
      </c>
      <c r="C13" s="42" t="n">
        <f aca="false">C5-C11</f>
        <v>-48169.3433834714</v>
      </c>
      <c r="D13" s="42" t="n">
        <f aca="false">D5-D11</f>
        <v>-26988.56553108</v>
      </c>
      <c r="E13" s="42" t="n">
        <f aca="false">E5-E11</f>
        <v>-5830.83369776339</v>
      </c>
      <c r="F13" s="42" t="n">
        <f aca="false">F5-F11</f>
        <v>-20828.7386048677</v>
      </c>
      <c r="G13" s="42" t="n">
        <f aca="false">G5-G11</f>
        <v>-37287.5961695642</v>
      </c>
      <c r="H13" s="42" t="n">
        <f aca="false">H5-H11</f>
        <v>-55292.8855733984</v>
      </c>
      <c r="I13" s="42" t="n">
        <f aca="false">I5-I11</f>
        <v>-74934.7929658098</v>
      </c>
      <c r="J13" s="42" t="n">
        <f aca="false">J5-J11</f>
        <v>-96308.4745453927</v>
      </c>
      <c r="K13" s="42" t="n">
        <f aca="false">K5-K11</f>
        <v>-119514.334720619</v>
      </c>
      <c r="L13" s="42" t="n">
        <f aca="false">L5-L11</f>
        <v>-144658.320231281</v>
      </c>
      <c r="M13" s="42" t="n">
        <f aca="false">M5-M11</f>
        <v>-171852.231164022</v>
      </c>
      <c r="N13" s="42" t="n">
        <f aca="false">N5-N11</f>
        <v>-201214.049850583</v>
      </c>
      <c r="O13" s="42" t="n">
        <f aca="false">O5-O11</f>
        <v>-232868.288695884</v>
      </c>
      <c r="P13" s="42" t="n">
        <f aca="false">P5-P11</f>
        <v>-266946.358045081</v>
      </c>
      <c r="Q13" s="42" t="n">
        <f aca="false">Q5-Q11</f>
        <v>-303586.955264442</v>
      </c>
      <c r="R13" s="42" t="n">
        <f aca="false">R5-R11</f>
        <v>-342936.476280498</v>
      </c>
      <c r="S13" s="42" t="n">
        <f aca="false">S5-S11</f>
        <v>-385149.450895683</v>
      </c>
      <c r="T13" s="42" t="n">
        <f aca="false">T5-T11</f>
        <v>-430389.003276858</v>
      </c>
      <c r="U13" s="42" t="n">
        <f aca="false">U5-U11</f>
        <v>-478827.339095941</v>
      </c>
      <c r="V13" s="42" t="n">
        <f aca="false">V5-V11</f>
        <v>-530646.260889604</v>
      </c>
    </row>
    <row r="16" customFormat="false" ht="15" hidden="false" customHeight="true" outlineLevel="0" collapsed="false">
      <c r="B16" s="19" t="s">
        <v>820</v>
      </c>
    </row>
    <row r="17" customFormat="false" ht="15" hidden="false" customHeight="true" outlineLevel="0" collapsed="false">
      <c r="B17" s="13" t="s">
        <v>808</v>
      </c>
      <c r="C17" s="109" t="n">
        <f aca="false">'Sources &amp; Uses'!F10</f>
        <v>1799327.85145224</v>
      </c>
      <c r="D17" s="18" t="n">
        <f aca="false">C19</f>
        <v>1799327.85145224</v>
      </c>
      <c r="E17" s="18" t="n">
        <f aca="false">D19</f>
        <v>1799327.85145224</v>
      </c>
      <c r="F17" s="18" t="n">
        <f aca="false">E19</f>
        <v>1799327.85145224</v>
      </c>
      <c r="G17" s="18" t="n">
        <f aca="false">F19</f>
        <v>1799327.85145224</v>
      </c>
      <c r="H17" s="18" t="n">
        <f aca="false">G19</f>
        <v>1799327.85145224</v>
      </c>
      <c r="I17" s="18" t="n">
        <f aca="false">H19</f>
        <v>1799327.85145224</v>
      </c>
      <c r="J17" s="18" t="n">
        <f aca="false">I19</f>
        <v>1799327.85145224</v>
      </c>
      <c r="K17" s="18" t="n">
        <f aca="false">J19</f>
        <v>1799327.85145224</v>
      </c>
      <c r="L17" s="18" t="n">
        <f aca="false">K19</f>
        <v>1799327.85145224</v>
      </c>
      <c r="M17" s="18" t="n">
        <f aca="false">L19</f>
        <v>1799327.85145224</v>
      </c>
      <c r="N17" s="18" t="n">
        <f aca="false">M19</f>
        <v>1799327.85145224</v>
      </c>
      <c r="O17" s="18" t="n">
        <f aca="false">N19</f>
        <v>1799327.85145224</v>
      </c>
      <c r="P17" s="18" t="n">
        <f aca="false">O19</f>
        <v>1799327.85145224</v>
      </c>
      <c r="Q17" s="18" t="n">
        <f aca="false">P19</f>
        <v>1799327.85145224</v>
      </c>
      <c r="R17" s="18" t="n">
        <f aca="false">Q19</f>
        <v>1799327.85145224</v>
      </c>
      <c r="S17" s="18" t="n">
        <f aca="false">R19</f>
        <v>1799327.85145224</v>
      </c>
      <c r="T17" s="18" t="n">
        <f aca="false">S19</f>
        <v>1799327.85145224</v>
      </c>
      <c r="U17" s="18" t="n">
        <f aca="false">T19</f>
        <v>1799327.85145224</v>
      </c>
      <c r="V17" s="18" t="n">
        <f aca="false">U19</f>
        <v>1799327.85145224</v>
      </c>
    </row>
    <row r="18" customFormat="false" ht="15" hidden="false" customHeight="true" outlineLevel="0" collapsed="false">
      <c r="B18" s="13" t="s">
        <v>821</v>
      </c>
      <c r="C18" s="18" t="n">
        <f aca="false">C7</f>
        <v>0</v>
      </c>
      <c r="D18" s="18" t="n">
        <f aca="false">D7</f>
        <v>0</v>
      </c>
      <c r="E18" s="18" t="n">
        <f aca="false">E7</f>
        <v>0</v>
      </c>
      <c r="F18" s="18" t="n">
        <f aca="false">F7</f>
        <v>0</v>
      </c>
      <c r="G18" s="18" t="n">
        <f aca="false">G7</f>
        <v>0</v>
      </c>
      <c r="H18" s="18" t="n">
        <f aca="false">H7</f>
        <v>0</v>
      </c>
      <c r="I18" s="18" t="n">
        <f aca="false">I7</f>
        <v>0</v>
      </c>
      <c r="J18" s="18" t="n">
        <f aca="false">J7</f>
        <v>0</v>
      </c>
      <c r="K18" s="18" t="n">
        <f aca="false">K7</f>
        <v>0</v>
      </c>
      <c r="L18" s="18" t="n">
        <f aca="false">L7</f>
        <v>0</v>
      </c>
      <c r="M18" s="18" t="n">
        <f aca="false">M7</f>
        <v>0</v>
      </c>
      <c r="N18" s="18" t="n">
        <f aca="false">N7</f>
        <v>0</v>
      </c>
      <c r="O18" s="18" t="n">
        <f aca="false">O7</f>
        <v>0</v>
      </c>
      <c r="P18" s="18" t="n">
        <f aca="false">P7</f>
        <v>0</v>
      </c>
      <c r="Q18" s="18" t="n">
        <f aca="false">Q7</f>
        <v>0</v>
      </c>
      <c r="R18" s="18" t="n">
        <f aca="false">R7</f>
        <v>0</v>
      </c>
      <c r="S18" s="18" t="n">
        <f aca="false">S7</f>
        <v>0</v>
      </c>
      <c r="T18" s="18" t="n">
        <f aca="false">T7</f>
        <v>0</v>
      </c>
      <c r="U18" s="18" t="n">
        <f aca="false">U7</f>
        <v>0</v>
      </c>
      <c r="V18" s="18" t="n">
        <f aca="false">V7</f>
        <v>0</v>
      </c>
    </row>
    <row r="19" customFormat="false" ht="15" hidden="false" customHeight="true" outlineLevel="0" collapsed="false">
      <c r="B19" s="13" t="s">
        <v>811</v>
      </c>
      <c r="C19" s="18" t="n">
        <f aca="false">C17-C18</f>
        <v>1799327.85145224</v>
      </c>
      <c r="D19" s="18" t="n">
        <f aca="false">D17-D18</f>
        <v>1799327.85145224</v>
      </c>
      <c r="E19" s="18" t="n">
        <f aca="false">E17-E18</f>
        <v>1799327.85145224</v>
      </c>
      <c r="F19" s="18" t="n">
        <f aca="false">F17-F18</f>
        <v>1799327.85145224</v>
      </c>
      <c r="G19" s="18" t="n">
        <f aca="false">G17-G18</f>
        <v>1799327.85145224</v>
      </c>
      <c r="H19" s="18" t="n">
        <f aca="false">H17-H18</f>
        <v>1799327.85145224</v>
      </c>
      <c r="I19" s="18" t="n">
        <f aca="false">I17-I18</f>
        <v>1799327.85145224</v>
      </c>
      <c r="J19" s="18" t="n">
        <f aca="false">J17-J18</f>
        <v>1799327.85145224</v>
      </c>
      <c r="K19" s="18" t="n">
        <f aca="false">K17-K18</f>
        <v>1799327.85145224</v>
      </c>
      <c r="L19" s="18" t="n">
        <f aca="false">L17-L18</f>
        <v>1799327.85145224</v>
      </c>
      <c r="M19" s="18" t="n">
        <f aca="false">M17-M18</f>
        <v>1799327.85145224</v>
      </c>
      <c r="N19" s="18" t="n">
        <f aca="false">N17-N18</f>
        <v>1799327.85145224</v>
      </c>
      <c r="O19" s="18" t="n">
        <f aca="false">O17-O18</f>
        <v>1799327.85145224</v>
      </c>
      <c r="P19" s="18" t="n">
        <f aca="false">P17-P18</f>
        <v>1799327.85145224</v>
      </c>
      <c r="Q19" s="18" t="n">
        <f aca="false">Q17-Q18</f>
        <v>1799327.85145224</v>
      </c>
      <c r="R19" s="18" t="n">
        <f aca="false">R17-R18</f>
        <v>1799327.85145224</v>
      </c>
      <c r="S19" s="18" t="n">
        <f aca="false">S17-S18</f>
        <v>1799327.85145224</v>
      </c>
      <c r="T19" s="18" t="n">
        <f aca="false">T17-T18</f>
        <v>1799327.85145224</v>
      </c>
      <c r="U19" s="18" t="n">
        <f aca="false">U17-U18</f>
        <v>1799327.85145224</v>
      </c>
      <c r="V19" s="18" t="n">
        <f aca="false">V17-V18</f>
        <v>1799327.85145224</v>
      </c>
    </row>
    <row r="22" customFormat="false" ht="15" hidden="false" customHeight="true" outlineLevel="0" collapsed="false">
      <c r="B22" s="19" t="s">
        <v>822</v>
      </c>
    </row>
    <row r="23" customFormat="false" ht="15" hidden="false" customHeight="true" outlineLevel="0" collapsed="false">
      <c r="B23" s="13" t="s">
        <v>808</v>
      </c>
      <c r="C23" s="109" t="n">
        <f aca="false">'Sources &amp; Uses'!F12</f>
        <v>0</v>
      </c>
      <c r="D23" s="18" t="n">
        <f aca="false">C25</f>
        <v>0</v>
      </c>
      <c r="E23" s="18" t="n">
        <f aca="false">D25</f>
        <v>0</v>
      </c>
      <c r="F23" s="18" t="n">
        <f aca="false">E25</f>
        <v>0</v>
      </c>
      <c r="G23" s="18" t="n">
        <f aca="false">F25</f>
        <v>0</v>
      </c>
      <c r="H23" s="18" t="n">
        <f aca="false">G25</f>
        <v>0</v>
      </c>
      <c r="I23" s="18" t="n">
        <f aca="false">H25</f>
        <v>0</v>
      </c>
      <c r="J23" s="18" t="n">
        <f aca="false">I25</f>
        <v>0</v>
      </c>
      <c r="K23" s="18" t="n">
        <f aca="false">J25</f>
        <v>0</v>
      </c>
      <c r="L23" s="18" t="n">
        <f aca="false">K25</f>
        <v>0</v>
      </c>
      <c r="M23" s="18" t="n">
        <f aca="false">L25</f>
        <v>0</v>
      </c>
      <c r="N23" s="18" t="n">
        <f aca="false">M25</f>
        <v>0</v>
      </c>
      <c r="O23" s="18" t="n">
        <f aca="false">N25</f>
        <v>0</v>
      </c>
      <c r="P23" s="18" t="n">
        <f aca="false">O25</f>
        <v>0</v>
      </c>
      <c r="Q23" s="18" t="n">
        <f aca="false">P25</f>
        <v>0</v>
      </c>
      <c r="R23" s="18" t="n">
        <f aca="false">Q25</f>
        <v>0</v>
      </c>
      <c r="S23" s="18" t="n">
        <f aca="false">R25</f>
        <v>0</v>
      </c>
      <c r="T23" s="18" t="n">
        <f aca="false">S25</f>
        <v>0</v>
      </c>
      <c r="U23" s="18" t="n">
        <f aca="false">T25</f>
        <v>0</v>
      </c>
      <c r="V23" s="18" t="n">
        <f aca="false">U25</f>
        <v>0</v>
      </c>
    </row>
    <row r="24" customFormat="false" ht="15" hidden="false" customHeight="true" outlineLevel="0" collapsed="false">
      <c r="B24" s="13" t="s">
        <v>821</v>
      </c>
      <c r="C24" s="18" t="n">
        <f aca="false">C8</f>
        <v>0</v>
      </c>
      <c r="D24" s="18" t="n">
        <f aca="false">D8</f>
        <v>0</v>
      </c>
      <c r="E24" s="18" t="n">
        <f aca="false">E8</f>
        <v>0</v>
      </c>
      <c r="F24" s="18" t="n">
        <f aca="false">F8</f>
        <v>0</v>
      </c>
      <c r="G24" s="18" t="n">
        <f aca="false">G8</f>
        <v>0</v>
      </c>
      <c r="H24" s="18" t="n">
        <f aca="false">H8</f>
        <v>0</v>
      </c>
      <c r="I24" s="18" t="n">
        <f aca="false">I8</f>
        <v>0</v>
      </c>
      <c r="J24" s="18" t="n">
        <f aca="false">J8</f>
        <v>0</v>
      </c>
      <c r="K24" s="18" t="n">
        <f aca="false">K8</f>
        <v>0</v>
      </c>
      <c r="L24" s="18" t="n">
        <f aca="false">L8</f>
        <v>0</v>
      </c>
      <c r="M24" s="18" t="n">
        <f aca="false">M8</f>
        <v>0</v>
      </c>
      <c r="N24" s="18" t="n">
        <f aca="false">N8</f>
        <v>0</v>
      </c>
      <c r="O24" s="18" t="n">
        <f aca="false">O8</f>
        <v>0</v>
      </c>
      <c r="P24" s="18" t="n">
        <f aca="false">P8</f>
        <v>0</v>
      </c>
      <c r="Q24" s="18" t="n">
        <f aca="false">Q8</f>
        <v>0</v>
      </c>
      <c r="R24" s="18" t="n">
        <f aca="false">R8</f>
        <v>0</v>
      </c>
      <c r="S24" s="18" t="n">
        <f aca="false">S8</f>
        <v>0</v>
      </c>
      <c r="T24" s="18" t="n">
        <f aca="false">T8</f>
        <v>0</v>
      </c>
      <c r="U24" s="18" t="n">
        <f aca="false">U8</f>
        <v>0</v>
      </c>
      <c r="V24" s="18" t="n">
        <f aca="false">V8</f>
        <v>0</v>
      </c>
    </row>
    <row r="25" customFormat="false" ht="15" hidden="false" customHeight="true" outlineLevel="0" collapsed="false">
      <c r="B25" s="13" t="s">
        <v>811</v>
      </c>
      <c r="C25" s="18" t="n">
        <f aca="false">C23-C24</f>
        <v>0</v>
      </c>
      <c r="D25" s="18" t="n">
        <f aca="false">D23-D24</f>
        <v>0</v>
      </c>
      <c r="E25" s="18" t="n">
        <f aca="false">E23-E24</f>
        <v>0</v>
      </c>
      <c r="F25" s="18" t="n">
        <f aca="false">F23-F24</f>
        <v>0</v>
      </c>
      <c r="G25" s="18" t="n">
        <f aca="false">G23-G24</f>
        <v>0</v>
      </c>
      <c r="H25" s="18" t="n">
        <f aca="false">H23-H24</f>
        <v>0</v>
      </c>
      <c r="I25" s="18" t="n">
        <f aca="false">I23-I24</f>
        <v>0</v>
      </c>
      <c r="J25" s="18" t="n">
        <f aca="false">J23-J24</f>
        <v>0</v>
      </c>
      <c r="K25" s="18" t="n">
        <f aca="false">K23-K24</f>
        <v>0</v>
      </c>
      <c r="L25" s="18" t="n">
        <f aca="false">L23-L24</f>
        <v>0</v>
      </c>
      <c r="M25" s="18" t="n">
        <f aca="false">M23-M24</f>
        <v>0</v>
      </c>
      <c r="N25" s="18" t="n">
        <f aca="false">N23-N24</f>
        <v>0</v>
      </c>
      <c r="O25" s="18" t="n">
        <f aca="false">O23-O24</f>
        <v>0</v>
      </c>
      <c r="P25" s="18" t="n">
        <f aca="false">P23-P24</f>
        <v>0</v>
      </c>
      <c r="Q25" s="18" t="n">
        <f aca="false">Q23-Q24</f>
        <v>0</v>
      </c>
      <c r="R25" s="18" t="n">
        <f aca="false">R23-R24</f>
        <v>0</v>
      </c>
      <c r="S25" s="18" t="n">
        <f aca="false">S23-S24</f>
        <v>0</v>
      </c>
      <c r="T25" s="18" t="n">
        <f aca="false">T23-T24</f>
        <v>0</v>
      </c>
      <c r="U25" s="18" t="n">
        <f aca="false">U23-U24</f>
        <v>0</v>
      </c>
      <c r="V25" s="18" t="n">
        <f aca="false">V23-V24</f>
        <v>0</v>
      </c>
    </row>
    <row r="28" customFormat="false" ht="15" hidden="false" customHeight="true" outlineLevel="0" collapsed="false">
      <c r="B28" s="19" t="s">
        <v>823</v>
      </c>
    </row>
    <row r="29" customFormat="false" ht="15" hidden="false" customHeight="true" outlineLevel="0" collapsed="false">
      <c r="B29" s="13" t="s">
        <v>808</v>
      </c>
      <c r="C29" s="109" t="n">
        <f aca="false">'Sources &amp; Uses'!F23</f>
        <v>735307.743718944</v>
      </c>
      <c r="D29" s="18" t="n">
        <f aca="false">C32</f>
        <v>687138.400335473</v>
      </c>
      <c r="E29" s="18" t="n">
        <f aca="false">D32</f>
        <v>660149.834804393</v>
      </c>
      <c r="F29" s="18" t="n">
        <f aca="false">E32</f>
        <v>654319.001106629</v>
      </c>
      <c r="G29" s="18" t="n">
        <f aca="false">F32</f>
        <v>633490.262501762</v>
      </c>
      <c r="H29" s="18" t="n">
        <f aca="false">G32</f>
        <v>596202.666332197</v>
      </c>
      <c r="I29" s="18" t="n">
        <f aca="false">H32</f>
        <v>540909.780758799</v>
      </c>
      <c r="J29" s="18" t="n">
        <f aca="false">I32</f>
        <v>465974.987792989</v>
      </c>
      <c r="K29" s="18" t="n">
        <f aca="false">J32</f>
        <v>369666.513247596</v>
      </c>
      <c r="L29" s="18" t="n">
        <f aca="false">K32</f>
        <v>250152.178526978</v>
      </c>
      <c r="M29" s="18" t="n">
        <f aca="false">L32</f>
        <v>105493.858295697</v>
      </c>
      <c r="N29" s="18" t="n">
        <f aca="false">M32</f>
        <v>0</v>
      </c>
      <c r="O29" s="18" t="n">
        <f aca="false">N32</f>
        <v>0</v>
      </c>
      <c r="P29" s="18" t="n">
        <f aca="false">O32</f>
        <v>0</v>
      </c>
      <c r="Q29" s="18" t="n">
        <f aca="false">P32</f>
        <v>0</v>
      </c>
      <c r="R29" s="18" t="n">
        <f aca="false">Q32</f>
        <v>0</v>
      </c>
      <c r="S29" s="18" t="n">
        <f aca="false">R32</f>
        <v>0</v>
      </c>
      <c r="T29" s="18" t="n">
        <f aca="false">S32</f>
        <v>0</v>
      </c>
      <c r="U29" s="18" t="n">
        <f aca="false">T32</f>
        <v>0</v>
      </c>
      <c r="V29" s="18" t="n">
        <f aca="false">U32</f>
        <v>0</v>
      </c>
    </row>
    <row r="30" customFormat="false" ht="15" hidden="false" customHeight="true" outlineLevel="0" collapsed="false">
      <c r="B30" s="13" t="s">
        <v>824</v>
      </c>
      <c r="C30" s="18" t="n">
        <f aca="false">C9</f>
        <v>0</v>
      </c>
      <c r="D30" s="18" t="n">
        <f aca="false">D9</f>
        <v>0</v>
      </c>
      <c r="E30" s="18" t="n">
        <f aca="false">E9</f>
        <v>0</v>
      </c>
      <c r="F30" s="18" t="n">
        <f aca="false">F9</f>
        <v>0</v>
      </c>
      <c r="G30" s="18" t="n">
        <f aca="false">G9</f>
        <v>0</v>
      </c>
      <c r="H30" s="18" t="n">
        <f aca="false">H9</f>
        <v>0</v>
      </c>
      <c r="I30" s="18" t="n">
        <f aca="false">I9</f>
        <v>0</v>
      </c>
      <c r="J30" s="18" t="n">
        <f aca="false">J9</f>
        <v>0</v>
      </c>
      <c r="K30" s="18" t="n">
        <f aca="false">K9</f>
        <v>0</v>
      </c>
      <c r="L30" s="18" t="n">
        <f aca="false">L9</f>
        <v>0</v>
      </c>
      <c r="M30" s="18" t="n">
        <f aca="false">M9</f>
        <v>0</v>
      </c>
      <c r="N30" s="18" t="n">
        <f aca="false">N9</f>
        <v>0</v>
      </c>
      <c r="O30" s="18" t="n">
        <f aca="false">O9</f>
        <v>0</v>
      </c>
      <c r="P30" s="18" t="n">
        <f aca="false">P9</f>
        <v>0</v>
      </c>
      <c r="Q30" s="18" t="n">
        <f aca="false">Q9</f>
        <v>0</v>
      </c>
      <c r="R30" s="18" t="n">
        <f aca="false">R9</f>
        <v>0</v>
      </c>
      <c r="S30" s="18" t="n">
        <f aca="false">S9</f>
        <v>0</v>
      </c>
      <c r="T30" s="18" t="n">
        <f aca="false">T9</f>
        <v>0</v>
      </c>
      <c r="U30" s="18" t="n">
        <f aca="false">U9</f>
        <v>0</v>
      </c>
      <c r="V30" s="18" t="n">
        <f aca="false">V9</f>
        <v>0</v>
      </c>
    </row>
    <row r="31" customFormat="false" ht="15" hidden="false" customHeight="true" outlineLevel="0" collapsed="false">
      <c r="B31" s="13" t="s">
        <v>825</v>
      </c>
      <c r="C31" s="18" t="n">
        <f aca="false">MIN(C29,MAX(0,-C5))</f>
        <v>48169.3433834714</v>
      </c>
      <c r="D31" s="18" t="n">
        <f aca="false">MIN(D29,MAX(0,-D5))</f>
        <v>26988.56553108</v>
      </c>
      <c r="E31" s="18" t="n">
        <f aca="false">MIN(E29,MAX(0,-E5))</f>
        <v>5830.83369776339</v>
      </c>
      <c r="F31" s="18" t="n">
        <f aca="false">MIN(F29,MAX(0,-F5))</f>
        <v>20828.7386048677</v>
      </c>
      <c r="G31" s="18" t="n">
        <f aca="false">MIN(G29,MAX(0,-G5))</f>
        <v>37287.5961695642</v>
      </c>
      <c r="H31" s="18" t="n">
        <f aca="false">MIN(H29,MAX(0,-H5))</f>
        <v>55292.8855733984</v>
      </c>
      <c r="I31" s="18" t="n">
        <f aca="false">MIN(I29,MAX(0,-I5))</f>
        <v>74934.7929658098</v>
      </c>
      <c r="J31" s="18" t="n">
        <f aca="false">MIN(J29,MAX(0,-J5))</f>
        <v>96308.4745453927</v>
      </c>
      <c r="K31" s="18" t="n">
        <f aca="false">MIN(K29,MAX(0,-K5))</f>
        <v>119514.334720619</v>
      </c>
      <c r="L31" s="18" t="n">
        <f aca="false">MIN(L29,MAX(0,-L5))</f>
        <v>144658.320231281</v>
      </c>
      <c r="M31" s="18" t="n">
        <f aca="false">MIN(M29,MAX(0,-M5))</f>
        <v>105493.858295697</v>
      </c>
      <c r="N31" s="18" t="n">
        <f aca="false">MIN(N29,MAX(0,-N5))</f>
        <v>0</v>
      </c>
      <c r="O31" s="18" t="n">
        <f aca="false">MIN(O29,MAX(0,-O5))</f>
        <v>0</v>
      </c>
      <c r="P31" s="18" t="n">
        <f aca="false">MIN(P29,MAX(0,-P5))</f>
        <v>0</v>
      </c>
      <c r="Q31" s="18" t="n">
        <f aca="false">MIN(Q29,MAX(0,-Q5))</f>
        <v>0</v>
      </c>
      <c r="R31" s="18" t="n">
        <f aca="false">MIN(R29,MAX(0,-R5))</f>
        <v>0</v>
      </c>
      <c r="S31" s="18" t="n">
        <f aca="false">MIN(S29,MAX(0,-S5))</f>
        <v>0</v>
      </c>
      <c r="T31" s="18" t="n">
        <f aca="false">MIN(T29,MAX(0,-T5))</f>
        <v>0</v>
      </c>
      <c r="U31" s="18" t="n">
        <f aca="false">MIN(U29,MAX(0,-U5))</f>
        <v>0</v>
      </c>
      <c r="V31" s="18" t="n">
        <f aca="false">MIN(V29,MAX(0,-V5))</f>
        <v>0</v>
      </c>
    </row>
    <row r="32" customFormat="false" ht="15" hidden="false" customHeight="true" outlineLevel="0" collapsed="false">
      <c r="B32" s="13" t="s">
        <v>811</v>
      </c>
      <c r="C32" s="18" t="n">
        <f aca="false">C29+C30-C31</f>
        <v>687138.400335473</v>
      </c>
      <c r="D32" s="18" t="n">
        <f aca="false">D29+D30-D31</f>
        <v>660149.834804393</v>
      </c>
      <c r="E32" s="18" t="n">
        <f aca="false">E29+E30-E31</f>
        <v>654319.001106629</v>
      </c>
      <c r="F32" s="18" t="n">
        <f aca="false">F29+F30-F31</f>
        <v>633490.262501762</v>
      </c>
      <c r="G32" s="18" t="n">
        <f aca="false">G29+G30-G31</f>
        <v>596202.666332197</v>
      </c>
      <c r="H32" s="18" t="n">
        <f aca="false">H29+H30-H31</f>
        <v>540909.780758799</v>
      </c>
      <c r="I32" s="18" t="n">
        <f aca="false">I29+I30-I31</f>
        <v>465974.987792989</v>
      </c>
      <c r="J32" s="18" t="n">
        <f aca="false">J29+J30-J31</f>
        <v>369666.513247596</v>
      </c>
      <c r="K32" s="18" t="n">
        <f aca="false">K29+K30-K31</f>
        <v>250152.178526978</v>
      </c>
      <c r="L32" s="18" t="n">
        <f aca="false">L29+L30-L31</f>
        <v>105493.858295697</v>
      </c>
      <c r="M32" s="18" t="n">
        <f aca="false">M29+M30-M31</f>
        <v>0</v>
      </c>
      <c r="N32" s="18" t="n">
        <f aca="false">N29+N30-N31</f>
        <v>0</v>
      </c>
      <c r="O32" s="18" t="n">
        <f aca="false">O29+O30-O31</f>
        <v>0</v>
      </c>
      <c r="P32" s="18" t="n">
        <f aca="false">P29+P30-P31</f>
        <v>0</v>
      </c>
      <c r="Q32" s="18" t="n">
        <f aca="false">Q29+Q30-Q31</f>
        <v>0</v>
      </c>
      <c r="R32" s="18" t="n">
        <f aca="false">R29+R30-R31</f>
        <v>0</v>
      </c>
      <c r="S32" s="18" t="n">
        <f aca="false">S29+S30-S31</f>
        <v>0</v>
      </c>
      <c r="T32" s="18" t="n">
        <f aca="false">T29+T30-T31</f>
        <v>0</v>
      </c>
      <c r="U32" s="18" t="n">
        <f aca="false">U29+U30-U31</f>
        <v>0</v>
      </c>
      <c r="V32" s="18" t="n">
        <f aca="false">V29+V30-V31</f>
        <v>0</v>
      </c>
    </row>
    <row r="33" customFormat="false" ht="15" hidden="false" customHeight="true" outlineLevel="0" collapsed="false">
      <c r="B33" s="13" t="s">
        <v>826</v>
      </c>
      <c r="C33" s="18" t="n">
        <f aca="false">'Sources &amp; Uses'!F23</f>
        <v>735307.743718944</v>
      </c>
      <c r="D33" s="18" t="n">
        <f aca="false">'Sources &amp; Uses'!F23</f>
        <v>735307.743718944</v>
      </c>
      <c r="E33" s="18" t="n">
        <f aca="false">'Sources &amp; Uses'!F23</f>
        <v>735307.743718944</v>
      </c>
      <c r="F33" s="18" t="n">
        <f aca="false">'Sources &amp; Uses'!F23</f>
        <v>735307.743718944</v>
      </c>
      <c r="G33" s="18" t="n">
        <f aca="false">'Sources &amp; Uses'!F23</f>
        <v>735307.743718944</v>
      </c>
      <c r="H33" s="18" t="n">
        <f aca="false">'Sources &amp; Uses'!F23</f>
        <v>735307.743718944</v>
      </c>
      <c r="I33" s="18" t="n">
        <f aca="false">'Sources &amp; Uses'!F23</f>
        <v>735307.743718944</v>
      </c>
      <c r="J33" s="18" t="n">
        <f aca="false">'Sources &amp; Uses'!F23</f>
        <v>735307.743718944</v>
      </c>
      <c r="K33" s="18" t="n">
        <f aca="false">'Sources &amp; Uses'!F23</f>
        <v>735307.743718944</v>
      </c>
      <c r="L33" s="18" t="n">
        <f aca="false">'Sources &amp; Uses'!F23</f>
        <v>735307.743718944</v>
      </c>
      <c r="M33" s="18" t="n">
        <f aca="false">'Sources &amp; Uses'!F23</f>
        <v>735307.743718944</v>
      </c>
      <c r="N33" s="18" t="n">
        <f aca="false">'Sources &amp; Uses'!F23</f>
        <v>735307.743718944</v>
      </c>
      <c r="O33" s="18" t="n">
        <f aca="false">'Sources &amp; Uses'!F23</f>
        <v>735307.743718944</v>
      </c>
      <c r="P33" s="18" t="n">
        <f aca="false">'Sources &amp; Uses'!F23</f>
        <v>735307.743718944</v>
      </c>
      <c r="Q33" s="18" t="n">
        <f aca="false">'Sources &amp; Uses'!F23</f>
        <v>735307.743718944</v>
      </c>
      <c r="R33" s="18" t="n">
        <f aca="false">'Sources &amp; Uses'!F23</f>
        <v>735307.743718944</v>
      </c>
      <c r="S33" s="18" t="n">
        <f aca="false">'Sources &amp; Uses'!F23</f>
        <v>735307.743718944</v>
      </c>
      <c r="T33" s="18" t="n">
        <f aca="false">'Sources &amp; Uses'!F23</f>
        <v>735307.743718944</v>
      </c>
      <c r="U33" s="18" t="n">
        <f aca="false">'Sources &amp; Uses'!F23</f>
        <v>735307.743718944</v>
      </c>
      <c r="V33" s="18" t="n">
        <f aca="false">'Sources &amp; Uses'!F23</f>
        <v>735307.743718944</v>
      </c>
    </row>
    <row r="35" customFormat="false" ht="15" hidden="false" customHeight="true" outlineLevel="0" collapsed="false">
      <c r="B35" s="19" t="s">
        <v>827</v>
      </c>
      <c r="C35" s="101" t="str">
        <f aca="false">IFERROR(MATCH(0,C19:V19,0),"NOT REPAID")</f>
        <v>NOT REPAID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83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.43"/>
    <col collapsed="false" customWidth="true" hidden="false" outlineLevel="0" max="2" min="2" style="1" width="15"/>
    <col collapsed="false" customWidth="true" hidden="false" outlineLevel="0" max="4" min="3" style="1" width="14"/>
    <col collapsed="false" customWidth="true" hidden="false" outlineLevel="0" max="6" min="5" style="1" width="15"/>
    <col collapsed="false" customWidth="true" hidden="false" outlineLevel="0" max="9" min="7" style="1" width="14"/>
    <col collapsed="false" customWidth="true" hidden="false" outlineLevel="0" max="10" min="10" style="1" width="11"/>
    <col collapsed="false" customWidth="true" hidden="false" outlineLevel="0" max="11" min="11" style="1" width="2"/>
    <col collapsed="false" customWidth="true" hidden="false" outlineLevel="0" max="12" min="12" style="1" width="44"/>
  </cols>
  <sheetData>
    <row r="1" customFormat="false" ht="17.25" hidden="false" customHeight="true" outlineLevel="0" collapsed="false">
      <c r="A1" s="11" t="s">
        <v>835</v>
      </c>
    </row>
    <row r="2" customFormat="false" ht="15" hidden="false" customHeight="true" outlineLevel="0" collapsed="false">
      <c r="B2" s="36" t="s">
        <v>836</v>
      </c>
    </row>
    <row r="4" customFormat="false" ht="15" hidden="false" customHeight="true" outlineLevel="0" collapsed="false">
      <c r="B4" s="3" t="s">
        <v>837</v>
      </c>
      <c r="C4" s="3"/>
      <c r="D4" s="3"/>
      <c r="E4" s="3"/>
      <c r="F4" s="3"/>
      <c r="G4" s="3"/>
      <c r="H4" s="3"/>
      <c r="I4" s="3"/>
      <c r="J4" s="3"/>
    </row>
    <row r="5" customFormat="false" ht="15" hidden="false" customHeight="true" outlineLevel="0" collapsed="false">
      <c r="B5" s="13" t="s">
        <v>838</v>
      </c>
      <c r="C5" s="61" t="n">
        <v>100000</v>
      </c>
    </row>
    <row r="6" customFormat="false" ht="15" hidden="false" customHeight="true" outlineLevel="0" collapsed="false">
      <c r="B6" s="40" t="s">
        <v>839</v>
      </c>
      <c r="C6" s="40" t="s">
        <v>840</v>
      </c>
      <c r="D6" s="40" t="s">
        <v>841</v>
      </c>
      <c r="E6" s="40" t="s">
        <v>842</v>
      </c>
      <c r="F6" s="40" t="s">
        <v>843</v>
      </c>
      <c r="G6" s="40" t="s">
        <v>844</v>
      </c>
      <c r="H6" s="40" t="s">
        <v>845</v>
      </c>
      <c r="I6" s="40" t="s">
        <v>846</v>
      </c>
      <c r="J6" s="40" t="s">
        <v>847</v>
      </c>
    </row>
    <row r="7" customFormat="false" ht="15" hidden="false" customHeight="true" outlineLevel="0" collapsed="false">
      <c r="B7" s="37" t="n">
        <f aca="false">0*$C$5</f>
        <v>0</v>
      </c>
      <c r="C7" s="37" t="n">
        <f aca="false">(B7*(1-CH_LandPct)*'Tax Credit Calc'!C$12*LIHTCRate4+'Tax Credit Calc'!C$23)*10*(1-'Tax Credit Calc'!$C$5)*EquityPrice</f>
        <v>2241868.08029184</v>
      </c>
      <c r="D7" s="37" t="n">
        <f aca="false">'Sources &amp; Uses'!C$25*(B7*(1-CH_LandPct)+CH_RehabBasis)</f>
        <v>816531.2064</v>
      </c>
      <c r="E7" s="37" t="n">
        <f aca="false">B7+0+CH_RehabBasis+CH_FinFees+'Sources &amp; Uses'!C$21+CH_ConstrInt+'Sources &amp; Uses'!C$23+D7</f>
        <v>6930650.08446643</v>
      </c>
      <c r="F7" s="37" t="n">
        <f aca="false">CH_SelProceeds+C7+MAX(0,CH_BridgeCF)</f>
        <v>5652220.45546095</v>
      </c>
      <c r="G7" s="37" t="n">
        <f aca="false">E7-F7</f>
        <v>1278429.62900548</v>
      </c>
      <c r="H7" s="37" t="n">
        <f aca="false">MIN(D7,MAX(0,G7))</f>
        <v>816531.2064</v>
      </c>
      <c r="I7" s="37" t="n">
        <f aca="false">G7-H7</f>
        <v>461898.422605479</v>
      </c>
      <c r="J7" s="56" t="str">
        <f aca="false">IF(I7&lt;=SUBalanceTol,"YES","no")</f>
        <v>no</v>
      </c>
    </row>
    <row r="8" customFormat="false" ht="15" hidden="false" customHeight="true" outlineLevel="0" collapsed="false">
      <c r="B8" s="37" t="n">
        <f aca="false">1*$C$5</f>
        <v>100000</v>
      </c>
      <c r="C8" s="37" t="n">
        <f aca="false">(B8*(1-CH_LandPct)*'Tax Credit Calc'!C$12*LIHTCRate4+'Tax Credit Calc'!C$23)*10*(1-'Tax Credit Calc'!$C$5)*EquityPrice</f>
        <v>2268796.08029184</v>
      </c>
      <c r="D8" s="37" t="n">
        <f aca="false">'Sources &amp; Uses'!C$25*(B8*(1-CH_LandPct)+CH_RehabBasis)</f>
        <v>829281.2064</v>
      </c>
      <c r="E8" s="37" t="n">
        <f aca="false">B8+0+CH_RehabBasis+CH_FinFees+'Sources &amp; Uses'!C$21+CH_ConstrInt+'Sources &amp; Uses'!C$23+D8</f>
        <v>7043400.08446643</v>
      </c>
      <c r="F8" s="37" t="n">
        <f aca="false">CH_SelProceeds+C8+MAX(0,CH_BridgeCF)</f>
        <v>5679148.45546095</v>
      </c>
      <c r="G8" s="37" t="n">
        <f aca="false">E8-F8</f>
        <v>1364251.62900548</v>
      </c>
      <c r="H8" s="37" t="n">
        <f aca="false">MIN(D8,MAX(0,G8))</f>
        <v>829281.2064</v>
      </c>
      <c r="I8" s="37" t="n">
        <f aca="false">G8-H8</f>
        <v>534970.422605479</v>
      </c>
      <c r="J8" s="56" t="str">
        <f aca="false">IF(I8&lt;=SUBalanceTol,"YES","no")</f>
        <v>no</v>
      </c>
    </row>
    <row r="9" customFormat="false" ht="15" hidden="false" customHeight="true" outlineLevel="0" collapsed="false">
      <c r="B9" s="37" t="n">
        <f aca="false">2*$C$5</f>
        <v>200000</v>
      </c>
      <c r="C9" s="37" t="n">
        <f aca="false">(B9*(1-CH_LandPct)*'Tax Credit Calc'!C$12*LIHTCRate4+'Tax Credit Calc'!C$23)*10*(1-'Tax Credit Calc'!$C$5)*EquityPrice</f>
        <v>2295724.08029184</v>
      </c>
      <c r="D9" s="37" t="n">
        <f aca="false">'Sources &amp; Uses'!C$25*(B9*(1-CH_LandPct)+CH_RehabBasis)</f>
        <v>842031.2064</v>
      </c>
      <c r="E9" s="37" t="n">
        <f aca="false">B9+0+CH_RehabBasis+CH_FinFees+'Sources &amp; Uses'!C$21+CH_ConstrInt+'Sources &amp; Uses'!C$23+D9</f>
        <v>7156150.08446643</v>
      </c>
      <c r="F9" s="37" t="n">
        <f aca="false">CH_SelProceeds+C9+MAX(0,CH_BridgeCF)</f>
        <v>5706076.45546095</v>
      </c>
      <c r="G9" s="37" t="n">
        <f aca="false">E9-F9</f>
        <v>1450073.62900548</v>
      </c>
      <c r="H9" s="37" t="n">
        <f aca="false">MIN(D9,MAX(0,G9))</f>
        <v>842031.2064</v>
      </c>
      <c r="I9" s="37" t="n">
        <f aca="false">G9-H9</f>
        <v>608042.422605479</v>
      </c>
      <c r="J9" s="56" t="str">
        <f aca="false">IF(I9&lt;=SUBalanceTol,"YES","no")</f>
        <v>no</v>
      </c>
    </row>
    <row r="10" customFormat="false" ht="15" hidden="false" customHeight="true" outlineLevel="0" collapsed="false">
      <c r="B10" s="37" t="n">
        <f aca="false">3*$C$5</f>
        <v>300000</v>
      </c>
      <c r="C10" s="37" t="n">
        <f aca="false">(B10*(1-CH_LandPct)*'Tax Credit Calc'!C$12*LIHTCRate4+'Tax Credit Calc'!C$23)*10*(1-'Tax Credit Calc'!$C$5)*EquityPrice</f>
        <v>2322652.08029184</v>
      </c>
      <c r="D10" s="37" t="n">
        <f aca="false">'Sources &amp; Uses'!C$25*(B10*(1-CH_LandPct)+CH_RehabBasis)</f>
        <v>854781.2064</v>
      </c>
      <c r="E10" s="37" t="n">
        <f aca="false">B10+0+CH_RehabBasis+CH_FinFees+'Sources &amp; Uses'!C$21+CH_ConstrInt+'Sources &amp; Uses'!C$23+D10</f>
        <v>7268900.08446643</v>
      </c>
      <c r="F10" s="37" t="n">
        <f aca="false">CH_SelProceeds+C10+MAX(0,CH_BridgeCF)</f>
        <v>5733004.45546095</v>
      </c>
      <c r="G10" s="37" t="n">
        <f aca="false">E10-F10</f>
        <v>1535895.62900548</v>
      </c>
      <c r="H10" s="37" t="n">
        <f aca="false">MIN(D10,MAX(0,G10))</f>
        <v>854781.2064</v>
      </c>
      <c r="I10" s="37" t="n">
        <f aca="false">G10-H10</f>
        <v>681114.422605479</v>
      </c>
      <c r="J10" s="56" t="str">
        <f aca="false">IF(I10&lt;=SUBalanceTol,"YES","no")</f>
        <v>no</v>
      </c>
    </row>
    <row r="11" customFormat="false" ht="15" hidden="false" customHeight="true" outlineLevel="0" collapsed="false">
      <c r="B11" s="37" t="n">
        <f aca="false">4*$C$5</f>
        <v>400000</v>
      </c>
      <c r="C11" s="37" t="n">
        <f aca="false">(B11*(1-CH_LandPct)*'Tax Credit Calc'!C$12*LIHTCRate4+'Tax Credit Calc'!C$23)*10*(1-'Tax Credit Calc'!$C$5)*EquityPrice</f>
        <v>2349580.08029184</v>
      </c>
      <c r="D11" s="37" t="n">
        <f aca="false">'Sources &amp; Uses'!C$25*(B11*(1-CH_LandPct)+CH_RehabBasis)</f>
        <v>867531.2064</v>
      </c>
      <c r="E11" s="37" t="n">
        <f aca="false">B11+0+CH_RehabBasis+CH_FinFees+'Sources &amp; Uses'!C$21+CH_ConstrInt+'Sources &amp; Uses'!C$23+D11</f>
        <v>7381650.08446643</v>
      </c>
      <c r="F11" s="37" t="n">
        <f aca="false">CH_SelProceeds+C11+MAX(0,CH_BridgeCF)</f>
        <v>5759932.45546095</v>
      </c>
      <c r="G11" s="37" t="n">
        <f aca="false">E11-F11</f>
        <v>1621717.62900548</v>
      </c>
      <c r="H11" s="37" t="n">
        <f aca="false">MIN(D11,MAX(0,G11))</f>
        <v>867531.2064</v>
      </c>
      <c r="I11" s="37" t="n">
        <f aca="false">G11-H11</f>
        <v>754186.422605479</v>
      </c>
      <c r="J11" s="56" t="str">
        <f aca="false">IF(I11&lt;=SUBalanceTol,"YES","no")</f>
        <v>no</v>
      </c>
    </row>
    <row r="12" customFormat="false" ht="15" hidden="false" customHeight="true" outlineLevel="0" collapsed="false">
      <c r="B12" s="37" t="n">
        <f aca="false">5*$C$5</f>
        <v>500000</v>
      </c>
      <c r="C12" s="37" t="n">
        <f aca="false">(B12*(1-CH_LandPct)*'Tax Credit Calc'!C$12*LIHTCRate4+'Tax Credit Calc'!C$23)*10*(1-'Tax Credit Calc'!$C$5)*EquityPrice</f>
        <v>2376508.08029184</v>
      </c>
      <c r="D12" s="37" t="n">
        <f aca="false">'Sources &amp; Uses'!C$25*(B12*(1-CH_LandPct)+CH_RehabBasis)</f>
        <v>880281.2064</v>
      </c>
      <c r="E12" s="37" t="n">
        <f aca="false">B12+0+CH_RehabBasis+CH_FinFees+'Sources &amp; Uses'!C$21+CH_ConstrInt+'Sources &amp; Uses'!C$23+D12</f>
        <v>7494400.08446643</v>
      </c>
      <c r="F12" s="37" t="n">
        <f aca="false">CH_SelProceeds+C12+MAX(0,CH_BridgeCF)</f>
        <v>5786860.45546095</v>
      </c>
      <c r="G12" s="37" t="n">
        <f aca="false">E12-F12</f>
        <v>1707539.62900548</v>
      </c>
      <c r="H12" s="37" t="n">
        <f aca="false">MIN(D12,MAX(0,G12))</f>
        <v>880281.2064</v>
      </c>
      <c r="I12" s="37" t="n">
        <f aca="false">G12-H12</f>
        <v>827258.422605479</v>
      </c>
      <c r="J12" s="56" t="str">
        <f aca="false">IF(I12&lt;=SUBalanceTol,"YES","no")</f>
        <v>no</v>
      </c>
    </row>
    <row r="13" customFormat="false" ht="15" hidden="false" customHeight="true" outlineLevel="0" collapsed="false">
      <c r="B13" s="37" t="n">
        <f aca="false">6*$C$5</f>
        <v>600000</v>
      </c>
      <c r="C13" s="37" t="n">
        <f aca="false">(B13*(1-CH_LandPct)*'Tax Credit Calc'!C$12*LIHTCRate4+'Tax Credit Calc'!C$23)*10*(1-'Tax Credit Calc'!$C$5)*EquityPrice</f>
        <v>2403436.08029184</v>
      </c>
      <c r="D13" s="37" t="n">
        <f aca="false">'Sources &amp; Uses'!C$25*(B13*(1-CH_LandPct)+CH_RehabBasis)</f>
        <v>893031.2064</v>
      </c>
      <c r="E13" s="37" t="n">
        <f aca="false">B13+0+CH_RehabBasis+CH_FinFees+'Sources &amp; Uses'!C$21+CH_ConstrInt+'Sources &amp; Uses'!C$23+D13</f>
        <v>7607150.08446643</v>
      </c>
      <c r="F13" s="37" t="n">
        <f aca="false">CH_SelProceeds+C13+MAX(0,CH_BridgeCF)</f>
        <v>5813788.45546095</v>
      </c>
      <c r="G13" s="37" t="n">
        <f aca="false">E13-F13</f>
        <v>1793361.62900548</v>
      </c>
      <c r="H13" s="37" t="n">
        <f aca="false">MIN(D13,MAX(0,G13))</f>
        <v>893031.2064</v>
      </c>
      <c r="I13" s="37" t="n">
        <f aca="false">G13-H13</f>
        <v>900330.422605479</v>
      </c>
      <c r="J13" s="56" t="str">
        <f aca="false">IF(I13&lt;=SUBalanceTol,"YES","no")</f>
        <v>no</v>
      </c>
    </row>
    <row r="14" customFormat="false" ht="15" hidden="false" customHeight="true" outlineLevel="0" collapsed="false">
      <c r="B14" s="37" t="n">
        <f aca="false">7*$C$5</f>
        <v>700000</v>
      </c>
      <c r="C14" s="37" t="n">
        <f aca="false">(B14*(1-CH_LandPct)*'Tax Credit Calc'!C$12*LIHTCRate4+'Tax Credit Calc'!C$23)*10*(1-'Tax Credit Calc'!$C$5)*EquityPrice</f>
        <v>2430364.08029184</v>
      </c>
      <c r="D14" s="37" t="n">
        <f aca="false">'Sources &amp; Uses'!C$25*(B14*(1-CH_LandPct)+CH_RehabBasis)</f>
        <v>905781.2064</v>
      </c>
      <c r="E14" s="37" t="n">
        <f aca="false">B14+0+CH_RehabBasis+CH_FinFees+'Sources &amp; Uses'!C$21+CH_ConstrInt+'Sources &amp; Uses'!C$23+D14</f>
        <v>7719900.08446643</v>
      </c>
      <c r="F14" s="37" t="n">
        <f aca="false">CH_SelProceeds+C14+MAX(0,CH_BridgeCF)</f>
        <v>5840716.45546095</v>
      </c>
      <c r="G14" s="37" t="n">
        <f aca="false">E14-F14</f>
        <v>1879183.62900548</v>
      </c>
      <c r="H14" s="37" t="n">
        <f aca="false">MIN(D14,MAX(0,G14))</f>
        <v>905781.2064</v>
      </c>
      <c r="I14" s="37" t="n">
        <f aca="false">G14-H14</f>
        <v>973402.422605479</v>
      </c>
      <c r="J14" s="56" t="str">
        <f aca="false">IF(I14&lt;=SUBalanceTol,"YES","no")</f>
        <v>no</v>
      </c>
    </row>
    <row r="15" customFormat="false" ht="15" hidden="false" customHeight="true" outlineLevel="0" collapsed="false">
      <c r="B15" s="37" t="n">
        <f aca="false">8*$C$5</f>
        <v>800000</v>
      </c>
      <c r="C15" s="37" t="n">
        <f aca="false">(B15*(1-CH_LandPct)*'Tax Credit Calc'!C$12*LIHTCRate4+'Tax Credit Calc'!C$23)*10*(1-'Tax Credit Calc'!$C$5)*EquityPrice</f>
        <v>2457292.08029184</v>
      </c>
      <c r="D15" s="37" t="n">
        <f aca="false">'Sources &amp; Uses'!C$25*(B15*(1-CH_LandPct)+CH_RehabBasis)</f>
        <v>918531.2064</v>
      </c>
      <c r="E15" s="37" t="n">
        <f aca="false">B15+0+CH_RehabBasis+CH_FinFees+'Sources &amp; Uses'!C$21+CH_ConstrInt+'Sources &amp; Uses'!C$23+D15</f>
        <v>7832650.08446643</v>
      </c>
      <c r="F15" s="37" t="n">
        <f aca="false">CH_SelProceeds+C15+MAX(0,CH_BridgeCF)</f>
        <v>5867644.45546095</v>
      </c>
      <c r="G15" s="37" t="n">
        <f aca="false">E15-F15</f>
        <v>1965005.62900548</v>
      </c>
      <c r="H15" s="37" t="n">
        <f aca="false">MIN(D15,MAX(0,G15))</f>
        <v>918531.2064</v>
      </c>
      <c r="I15" s="37" t="n">
        <f aca="false">G15-H15</f>
        <v>1046474.42260548</v>
      </c>
      <c r="J15" s="56" t="str">
        <f aca="false">IF(I15&lt;=SUBalanceTol,"YES","no")</f>
        <v>no</v>
      </c>
    </row>
    <row r="16" customFormat="false" ht="15" hidden="false" customHeight="true" outlineLevel="0" collapsed="false">
      <c r="B16" s="37" t="n">
        <f aca="false">9*$C$5</f>
        <v>900000</v>
      </c>
      <c r="C16" s="37" t="n">
        <f aca="false">(B16*(1-CH_LandPct)*'Tax Credit Calc'!C$12*LIHTCRate4+'Tax Credit Calc'!C$23)*10*(1-'Tax Credit Calc'!$C$5)*EquityPrice</f>
        <v>2484220.08029184</v>
      </c>
      <c r="D16" s="37" t="n">
        <f aca="false">'Sources &amp; Uses'!C$25*(B16*(1-CH_LandPct)+CH_RehabBasis)</f>
        <v>931281.2064</v>
      </c>
      <c r="E16" s="37" t="n">
        <f aca="false">B16+0+CH_RehabBasis+CH_FinFees+'Sources &amp; Uses'!C$21+CH_ConstrInt+'Sources &amp; Uses'!C$23+D16</f>
        <v>7945400.08446643</v>
      </c>
      <c r="F16" s="37" t="n">
        <f aca="false">CH_SelProceeds+C16+MAX(0,CH_BridgeCF)</f>
        <v>5894572.45546095</v>
      </c>
      <c r="G16" s="37" t="n">
        <f aca="false">E16-F16</f>
        <v>2050827.62900548</v>
      </c>
      <c r="H16" s="37" t="n">
        <f aca="false">MIN(D16,MAX(0,G16))</f>
        <v>931281.2064</v>
      </c>
      <c r="I16" s="37" t="n">
        <f aca="false">G16-H16</f>
        <v>1119546.42260548</v>
      </c>
      <c r="J16" s="56" t="str">
        <f aca="false">IF(I16&lt;=SUBalanceTol,"YES","no")</f>
        <v>no</v>
      </c>
    </row>
    <row r="17" customFormat="false" ht="15" hidden="false" customHeight="true" outlineLevel="0" collapsed="false">
      <c r="B17" s="37" t="n">
        <f aca="false">10*$C$5</f>
        <v>1000000</v>
      </c>
      <c r="C17" s="37" t="n">
        <f aca="false">(B17*(1-CH_LandPct)*'Tax Credit Calc'!C$12*LIHTCRate4+'Tax Credit Calc'!C$23)*10*(1-'Tax Credit Calc'!$C$5)*EquityPrice</f>
        <v>2511148.08029184</v>
      </c>
      <c r="D17" s="37" t="n">
        <f aca="false">'Sources &amp; Uses'!C$25*(B17*(1-CH_LandPct)+CH_RehabBasis)</f>
        <v>944031.2064</v>
      </c>
      <c r="E17" s="37" t="n">
        <f aca="false">B17+0+CH_RehabBasis+CH_FinFees+'Sources &amp; Uses'!C$21+CH_ConstrInt+'Sources &amp; Uses'!C$23+D17</f>
        <v>8058150.08446643</v>
      </c>
      <c r="F17" s="37" t="n">
        <f aca="false">CH_SelProceeds+C17+MAX(0,CH_BridgeCF)</f>
        <v>5921500.45546095</v>
      </c>
      <c r="G17" s="37" t="n">
        <f aca="false">E17-F17</f>
        <v>2136649.62900548</v>
      </c>
      <c r="H17" s="37" t="n">
        <f aca="false">MIN(D17,MAX(0,G17))</f>
        <v>944031.2064</v>
      </c>
      <c r="I17" s="37" t="n">
        <f aca="false">G17-H17</f>
        <v>1192618.42260548</v>
      </c>
      <c r="J17" s="56" t="str">
        <f aca="false">IF(I17&lt;=SUBalanceTol,"YES","no")</f>
        <v>no</v>
      </c>
    </row>
    <row r="18" customFormat="false" ht="15" hidden="false" customHeight="true" outlineLevel="0" collapsed="false">
      <c r="B18" s="37" t="n">
        <f aca="false">11*$C$5</f>
        <v>1100000</v>
      </c>
      <c r="C18" s="37" t="n">
        <f aca="false">(B18*(1-CH_LandPct)*'Tax Credit Calc'!C$12*LIHTCRate4+'Tax Credit Calc'!C$23)*10*(1-'Tax Credit Calc'!$C$5)*EquityPrice</f>
        <v>2538076.08029184</v>
      </c>
      <c r="D18" s="37" t="n">
        <f aca="false">'Sources &amp; Uses'!C$25*(B18*(1-CH_LandPct)+CH_RehabBasis)</f>
        <v>956781.2064</v>
      </c>
      <c r="E18" s="37" t="n">
        <f aca="false">B18+0+CH_RehabBasis+CH_FinFees+'Sources &amp; Uses'!C$21+CH_ConstrInt+'Sources &amp; Uses'!C$23+D18</f>
        <v>8170900.08446643</v>
      </c>
      <c r="F18" s="37" t="n">
        <f aca="false">CH_SelProceeds+C18+MAX(0,CH_BridgeCF)</f>
        <v>5948428.45546095</v>
      </c>
      <c r="G18" s="37" t="n">
        <f aca="false">E18-F18</f>
        <v>2222471.62900548</v>
      </c>
      <c r="H18" s="37" t="n">
        <f aca="false">MIN(D18,MAX(0,G18))</f>
        <v>956781.2064</v>
      </c>
      <c r="I18" s="37" t="n">
        <f aca="false">G18-H18</f>
        <v>1265690.42260548</v>
      </c>
      <c r="J18" s="56" t="str">
        <f aca="false">IF(I18&lt;=SUBalanceTol,"YES","no")</f>
        <v>no</v>
      </c>
    </row>
    <row r="19" customFormat="false" ht="15" hidden="false" customHeight="true" outlineLevel="0" collapsed="false">
      <c r="B19" s="37" t="n">
        <f aca="false">12*$C$5</f>
        <v>1200000</v>
      </c>
      <c r="C19" s="37" t="n">
        <f aca="false">(B19*(1-CH_LandPct)*'Tax Credit Calc'!C$12*LIHTCRate4+'Tax Credit Calc'!C$23)*10*(1-'Tax Credit Calc'!$C$5)*EquityPrice</f>
        <v>2565004.08029184</v>
      </c>
      <c r="D19" s="37" t="n">
        <f aca="false">'Sources &amp; Uses'!C$25*(B19*(1-CH_LandPct)+CH_RehabBasis)</f>
        <v>969531.2064</v>
      </c>
      <c r="E19" s="37" t="n">
        <f aca="false">B19+0+CH_RehabBasis+CH_FinFees+'Sources &amp; Uses'!C$21+CH_ConstrInt+'Sources &amp; Uses'!C$23+D19</f>
        <v>8283650.08446643</v>
      </c>
      <c r="F19" s="37" t="n">
        <f aca="false">CH_SelProceeds+C19+MAX(0,CH_BridgeCF)</f>
        <v>5975356.45546095</v>
      </c>
      <c r="G19" s="37" t="n">
        <f aca="false">E19-F19</f>
        <v>2308293.62900548</v>
      </c>
      <c r="H19" s="37" t="n">
        <f aca="false">MIN(D19,MAX(0,G19))</f>
        <v>969531.2064</v>
      </c>
      <c r="I19" s="37" t="n">
        <f aca="false">G19-H19</f>
        <v>1338762.42260548</v>
      </c>
      <c r="J19" s="56" t="str">
        <f aca="false">IF(I19&lt;=SUBalanceTol,"YES","no")</f>
        <v>no</v>
      </c>
    </row>
    <row r="20" customFormat="false" ht="15" hidden="false" customHeight="true" outlineLevel="0" collapsed="false">
      <c r="B20" s="37" t="n">
        <f aca="false">13*$C$5</f>
        <v>1300000</v>
      </c>
      <c r="C20" s="37" t="n">
        <f aca="false">(B20*(1-CH_LandPct)*'Tax Credit Calc'!C$12*LIHTCRate4+'Tax Credit Calc'!C$23)*10*(1-'Tax Credit Calc'!$C$5)*EquityPrice</f>
        <v>2591932.08029184</v>
      </c>
      <c r="D20" s="37" t="n">
        <f aca="false">'Sources &amp; Uses'!C$25*(B20*(1-CH_LandPct)+CH_RehabBasis)</f>
        <v>982281.2064</v>
      </c>
      <c r="E20" s="37" t="n">
        <f aca="false">B20+0+CH_RehabBasis+CH_FinFees+'Sources &amp; Uses'!C$21+CH_ConstrInt+'Sources &amp; Uses'!C$23+D20</f>
        <v>8396400.08446643</v>
      </c>
      <c r="F20" s="37" t="n">
        <f aca="false">CH_SelProceeds+C20+MAX(0,CH_BridgeCF)</f>
        <v>6002284.45546095</v>
      </c>
      <c r="G20" s="37" t="n">
        <f aca="false">E20-F20</f>
        <v>2394115.62900548</v>
      </c>
      <c r="H20" s="37" t="n">
        <f aca="false">MIN(D20,MAX(0,G20))</f>
        <v>982281.2064</v>
      </c>
      <c r="I20" s="37" t="n">
        <f aca="false">G20-H20</f>
        <v>1411834.42260548</v>
      </c>
      <c r="J20" s="56" t="str">
        <f aca="false">IF(I20&lt;=SUBalanceTol,"YES","no")</f>
        <v>no</v>
      </c>
    </row>
    <row r="21" customFormat="false" ht="15" hidden="false" customHeight="true" outlineLevel="0" collapsed="false">
      <c r="B21" s="37" t="n">
        <f aca="false">14*$C$5</f>
        <v>1400000</v>
      </c>
      <c r="C21" s="37" t="n">
        <f aca="false">(B21*(1-CH_LandPct)*'Tax Credit Calc'!C$12*LIHTCRate4+'Tax Credit Calc'!C$23)*10*(1-'Tax Credit Calc'!$C$5)*EquityPrice</f>
        <v>2618860.08029184</v>
      </c>
      <c r="D21" s="37" t="n">
        <f aca="false">'Sources &amp; Uses'!C$25*(B21*(1-CH_LandPct)+CH_RehabBasis)</f>
        <v>995031.2064</v>
      </c>
      <c r="E21" s="37" t="n">
        <f aca="false">B21+0+CH_RehabBasis+CH_FinFees+'Sources &amp; Uses'!C$21+CH_ConstrInt+'Sources &amp; Uses'!C$23+D21</f>
        <v>8509150.08446643</v>
      </c>
      <c r="F21" s="37" t="n">
        <f aca="false">CH_SelProceeds+C21+MAX(0,CH_BridgeCF)</f>
        <v>6029212.45546095</v>
      </c>
      <c r="G21" s="37" t="n">
        <f aca="false">E21-F21</f>
        <v>2479937.62900548</v>
      </c>
      <c r="H21" s="37" t="n">
        <f aca="false">MIN(D21,MAX(0,G21))</f>
        <v>995031.2064</v>
      </c>
      <c r="I21" s="37" t="n">
        <f aca="false">G21-H21</f>
        <v>1484906.42260548</v>
      </c>
      <c r="J21" s="56" t="str">
        <f aca="false">IF(I21&lt;=SUBalanceTol,"YES","no")</f>
        <v>no</v>
      </c>
    </row>
    <row r="22" customFormat="false" ht="15" hidden="false" customHeight="true" outlineLevel="0" collapsed="false">
      <c r="B22" s="37" t="n">
        <f aca="false">15*$C$5</f>
        <v>1500000</v>
      </c>
      <c r="C22" s="37" t="n">
        <f aca="false">(B22*(1-CH_LandPct)*'Tax Credit Calc'!C$12*LIHTCRate4+'Tax Credit Calc'!C$23)*10*(1-'Tax Credit Calc'!$C$5)*EquityPrice</f>
        <v>2645788.08029184</v>
      </c>
      <c r="D22" s="37" t="n">
        <f aca="false">'Sources &amp; Uses'!C$25*(B22*(1-CH_LandPct)+CH_RehabBasis)</f>
        <v>1007781.2064</v>
      </c>
      <c r="E22" s="37" t="n">
        <f aca="false">B22+0+CH_RehabBasis+CH_FinFees+'Sources &amp; Uses'!C$21+CH_ConstrInt+'Sources &amp; Uses'!C$23+D22</f>
        <v>8621900.08446643</v>
      </c>
      <c r="F22" s="37" t="n">
        <f aca="false">CH_SelProceeds+C22+MAX(0,CH_BridgeCF)</f>
        <v>6056140.45546095</v>
      </c>
      <c r="G22" s="37" t="n">
        <f aca="false">E22-F22</f>
        <v>2565759.62900548</v>
      </c>
      <c r="H22" s="37" t="n">
        <f aca="false">MIN(D22,MAX(0,G22))</f>
        <v>1007781.2064</v>
      </c>
      <c r="I22" s="37" t="n">
        <f aca="false">G22-H22</f>
        <v>1557978.42260548</v>
      </c>
      <c r="J22" s="56" t="str">
        <f aca="false">IF(I22&lt;=SUBalanceTol,"YES","no")</f>
        <v>no</v>
      </c>
    </row>
    <row r="23" customFormat="false" ht="15" hidden="false" customHeight="true" outlineLevel="0" collapsed="false">
      <c r="B23" s="37" t="n">
        <f aca="false">16*$C$5</f>
        <v>1600000</v>
      </c>
      <c r="C23" s="37" t="n">
        <f aca="false">(B23*(1-CH_LandPct)*'Tax Credit Calc'!C$12*LIHTCRate4+'Tax Credit Calc'!C$23)*10*(1-'Tax Credit Calc'!$C$5)*EquityPrice</f>
        <v>2672716.08029184</v>
      </c>
      <c r="D23" s="37" t="n">
        <f aca="false">'Sources &amp; Uses'!C$25*(B23*(1-CH_LandPct)+CH_RehabBasis)</f>
        <v>1020531.2064</v>
      </c>
      <c r="E23" s="37" t="n">
        <f aca="false">B23+0+CH_RehabBasis+CH_FinFees+'Sources &amp; Uses'!C$21+CH_ConstrInt+'Sources &amp; Uses'!C$23+D23</f>
        <v>8734650.08446643</v>
      </c>
      <c r="F23" s="37" t="n">
        <f aca="false">CH_SelProceeds+C23+MAX(0,CH_BridgeCF)</f>
        <v>6083068.45546095</v>
      </c>
      <c r="G23" s="37" t="n">
        <f aca="false">E23-F23</f>
        <v>2651581.62900548</v>
      </c>
      <c r="H23" s="37" t="n">
        <f aca="false">MIN(D23,MAX(0,G23))</f>
        <v>1020531.2064</v>
      </c>
      <c r="I23" s="37" t="n">
        <f aca="false">G23-H23</f>
        <v>1631050.42260548</v>
      </c>
      <c r="J23" s="56" t="str">
        <f aca="false">IF(I23&lt;=SUBalanceTol,"YES","no")</f>
        <v>no</v>
      </c>
    </row>
    <row r="24" customFormat="false" ht="15" hidden="false" customHeight="true" outlineLevel="0" collapsed="false">
      <c r="B24" s="37" t="n">
        <f aca="false">17*$C$5</f>
        <v>1700000</v>
      </c>
      <c r="C24" s="37" t="n">
        <f aca="false">(B24*(1-CH_LandPct)*'Tax Credit Calc'!C$12*LIHTCRate4+'Tax Credit Calc'!C$23)*10*(1-'Tax Credit Calc'!$C$5)*EquityPrice</f>
        <v>2699644.08029184</v>
      </c>
      <c r="D24" s="37" t="n">
        <f aca="false">'Sources &amp; Uses'!C$25*(B24*(1-CH_LandPct)+CH_RehabBasis)</f>
        <v>1033281.2064</v>
      </c>
      <c r="E24" s="37" t="n">
        <f aca="false">B24+0+CH_RehabBasis+CH_FinFees+'Sources &amp; Uses'!C$21+CH_ConstrInt+'Sources &amp; Uses'!C$23+D24</f>
        <v>8847400.08446643</v>
      </c>
      <c r="F24" s="37" t="n">
        <f aca="false">CH_SelProceeds+C24+MAX(0,CH_BridgeCF)</f>
        <v>6109996.45546095</v>
      </c>
      <c r="G24" s="37" t="n">
        <f aca="false">E24-F24</f>
        <v>2737403.62900548</v>
      </c>
      <c r="H24" s="37" t="n">
        <f aca="false">MIN(D24,MAX(0,G24))</f>
        <v>1033281.2064</v>
      </c>
      <c r="I24" s="37" t="n">
        <f aca="false">G24-H24</f>
        <v>1704122.42260548</v>
      </c>
      <c r="J24" s="56" t="str">
        <f aca="false">IF(I24&lt;=SUBalanceTol,"YES","no")</f>
        <v>no</v>
      </c>
    </row>
    <row r="25" customFormat="false" ht="15" hidden="false" customHeight="true" outlineLevel="0" collapsed="false">
      <c r="B25" s="37" t="n">
        <f aca="false">18*$C$5</f>
        <v>1800000</v>
      </c>
      <c r="C25" s="37" t="n">
        <f aca="false">(B25*(1-CH_LandPct)*'Tax Credit Calc'!C$12*LIHTCRate4+'Tax Credit Calc'!C$23)*10*(1-'Tax Credit Calc'!$C$5)*EquityPrice</f>
        <v>2726572.08029184</v>
      </c>
      <c r="D25" s="37" t="n">
        <f aca="false">'Sources &amp; Uses'!C$25*(B25*(1-CH_LandPct)+CH_RehabBasis)</f>
        <v>1046031.2064</v>
      </c>
      <c r="E25" s="37" t="n">
        <f aca="false">B25+0+CH_RehabBasis+CH_FinFees+'Sources &amp; Uses'!C$21+CH_ConstrInt+'Sources &amp; Uses'!C$23+D25</f>
        <v>8960150.08446643</v>
      </c>
      <c r="F25" s="37" t="n">
        <f aca="false">CH_SelProceeds+C25+MAX(0,CH_BridgeCF)</f>
        <v>6136924.45546095</v>
      </c>
      <c r="G25" s="37" t="n">
        <f aca="false">E25-F25</f>
        <v>2823225.62900548</v>
      </c>
      <c r="H25" s="37" t="n">
        <f aca="false">MIN(D25,MAX(0,G25))</f>
        <v>1046031.2064</v>
      </c>
      <c r="I25" s="37" t="n">
        <f aca="false">G25-H25</f>
        <v>1777194.42260548</v>
      </c>
      <c r="J25" s="56" t="str">
        <f aca="false">IF(I25&lt;=SUBalanceTol,"YES","no")</f>
        <v>no</v>
      </c>
    </row>
    <row r="26" customFormat="false" ht="15" hidden="false" customHeight="true" outlineLevel="0" collapsed="false">
      <c r="B26" s="37" t="n">
        <f aca="false">19*$C$5</f>
        <v>1900000</v>
      </c>
      <c r="C26" s="37" t="n">
        <f aca="false">(B26*(1-CH_LandPct)*'Tax Credit Calc'!C$12*LIHTCRate4+'Tax Credit Calc'!C$23)*10*(1-'Tax Credit Calc'!$C$5)*EquityPrice</f>
        <v>2753500.08029184</v>
      </c>
      <c r="D26" s="37" t="n">
        <f aca="false">'Sources &amp; Uses'!C$25*(B26*(1-CH_LandPct)+CH_RehabBasis)</f>
        <v>1058781.2064</v>
      </c>
      <c r="E26" s="37" t="n">
        <f aca="false">B26+0+CH_RehabBasis+CH_FinFees+'Sources &amp; Uses'!C$21+CH_ConstrInt+'Sources &amp; Uses'!C$23+D26</f>
        <v>9072900.08446643</v>
      </c>
      <c r="F26" s="37" t="n">
        <f aca="false">CH_SelProceeds+C26+MAX(0,CH_BridgeCF)</f>
        <v>6163852.45546095</v>
      </c>
      <c r="G26" s="37" t="n">
        <f aca="false">E26-F26</f>
        <v>2909047.62900548</v>
      </c>
      <c r="H26" s="37" t="n">
        <f aca="false">MIN(D26,MAX(0,G26))</f>
        <v>1058781.2064</v>
      </c>
      <c r="I26" s="37" t="n">
        <f aca="false">G26-H26</f>
        <v>1850266.42260548</v>
      </c>
      <c r="J26" s="56" t="str">
        <f aca="false">IF(I26&lt;=SUBalanceTol,"YES","no")</f>
        <v>no</v>
      </c>
    </row>
    <row r="27" customFormat="false" ht="15" hidden="false" customHeight="true" outlineLevel="0" collapsed="false">
      <c r="B27" s="37" t="n">
        <f aca="false">20*$C$5</f>
        <v>2000000</v>
      </c>
      <c r="C27" s="37" t="n">
        <f aca="false">(B27*(1-CH_LandPct)*'Tax Credit Calc'!C$12*LIHTCRate4+'Tax Credit Calc'!C$23)*10*(1-'Tax Credit Calc'!$C$5)*EquityPrice</f>
        <v>2780428.08029184</v>
      </c>
      <c r="D27" s="37" t="n">
        <f aca="false">'Sources &amp; Uses'!C$25*(B27*(1-CH_LandPct)+CH_RehabBasis)</f>
        <v>1071531.2064</v>
      </c>
      <c r="E27" s="37" t="n">
        <f aca="false">B27+0+CH_RehabBasis+CH_FinFees+'Sources &amp; Uses'!C$21+CH_ConstrInt+'Sources &amp; Uses'!C$23+D27</f>
        <v>9185650.08446643</v>
      </c>
      <c r="F27" s="37" t="n">
        <f aca="false">CH_SelProceeds+C27+MAX(0,CH_BridgeCF)</f>
        <v>6190780.45546095</v>
      </c>
      <c r="G27" s="37" t="n">
        <f aca="false">E27-F27</f>
        <v>2994869.62900548</v>
      </c>
      <c r="H27" s="37" t="n">
        <f aca="false">MIN(D27,MAX(0,G27))</f>
        <v>1071531.2064</v>
      </c>
      <c r="I27" s="37" t="n">
        <f aca="false">G27-H27</f>
        <v>1923338.42260548</v>
      </c>
      <c r="J27" s="56" t="str">
        <f aca="false">IF(I27&lt;=SUBalanceTol,"YES","no")</f>
        <v>no</v>
      </c>
    </row>
    <row r="28" customFormat="false" ht="15" hidden="false" customHeight="true" outlineLevel="0" collapsed="false">
      <c r="B28" s="37" t="n">
        <f aca="false">21*$C$5</f>
        <v>2100000</v>
      </c>
      <c r="C28" s="37" t="n">
        <f aca="false">(B28*(1-CH_LandPct)*'Tax Credit Calc'!C$12*LIHTCRate4+'Tax Credit Calc'!C$23)*10*(1-'Tax Credit Calc'!$C$5)*EquityPrice</f>
        <v>2807356.08029184</v>
      </c>
      <c r="D28" s="37" t="n">
        <f aca="false">'Sources &amp; Uses'!C$25*(B28*(1-CH_LandPct)+CH_RehabBasis)</f>
        <v>1084281.2064</v>
      </c>
      <c r="E28" s="37" t="n">
        <f aca="false">B28+0+CH_RehabBasis+CH_FinFees+'Sources &amp; Uses'!C$21+CH_ConstrInt+'Sources &amp; Uses'!C$23+D28</f>
        <v>9298400.08446643</v>
      </c>
      <c r="F28" s="37" t="n">
        <f aca="false">CH_SelProceeds+C28+MAX(0,CH_BridgeCF)</f>
        <v>6217708.45546095</v>
      </c>
      <c r="G28" s="37" t="n">
        <f aca="false">E28-F28</f>
        <v>3080691.62900548</v>
      </c>
      <c r="H28" s="37" t="n">
        <f aca="false">MIN(D28,MAX(0,G28))</f>
        <v>1084281.2064</v>
      </c>
      <c r="I28" s="37" t="n">
        <f aca="false">G28-H28</f>
        <v>1996410.42260548</v>
      </c>
      <c r="J28" s="56" t="str">
        <f aca="false">IF(I28&lt;=SUBalanceTol,"YES","no")</f>
        <v>no</v>
      </c>
    </row>
    <row r="29" customFormat="false" ht="15" hidden="false" customHeight="true" outlineLevel="0" collapsed="false">
      <c r="B29" s="37" t="n">
        <f aca="false">22*$C$5</f>
        <v>2200000</v>
      </c>
      <c r="C29" s="37" t="n">
        <f aca="false">(B29*(1-CH_LandPct)*'Tax Credit Calc'!C$12*LIHTCRate4+'Tax Credit Calc'!C$23)*10*(1-'Tax Credit Calc'!$C$5)*EquityPrice</f>
        <v>2834284.08029184</v>
      </c>
      <c r="D29" s="37" t="n">
        <f aca="false">'Sources &amp; Uses'!C$25*(B29*(1-CH_LandPct)+CH_RehabBasis)</f>
        <v>1097031.2064</v>
      </c>
      <c r="E29" s="37" t="n">
        <f aca="false">B29+0+CH_RehabBasis+CH_FinFees+'Sources &amp; Uses'!C$21+CH_ConstrInt+'Sources &amp; Uses'!C$23+D29</f>
        <v>9411150.08446643</v>
      </c>
      <c r="F29" s="37" t="n">
        <f aca="false">CH_SelProceeds+C29+MAX(0,CH_BridgeCF)</f>
        <v>6244636.45546095</v>
      </c>
      <c r="G29" s="37" t="n">
        <f aca="false">E29-F29</f>
        <v>3166513.62900548</v>
      </c>
      <c r="H29" s="37" t="n">
        <f aca="false">MIN(D29,MAX(0,G29))</f>
        <v>1097031.2064</v>
      </c>
      <c r="I29" s="37" t="n">
        <f aca="false">G29-H29</f>
        <v>2069482.42260548</v>
      </c>
      <c r="J29" s="56" t="str">
        <f aca="false">IF(I29&lt;=SUBalanceTol,"YES","no")</f>
        <v>no</v>
      </c>
    </row>
    <row r="30" customFormat="false" ht="15" hidden="false" customHeight="true" outlineLevel="0" collapsed="false">
      <c r="B30" s="37" t="n">
        <f aca="false">23*$C$5</f>
        <v>2300000</v>
      </c>
      <c r="C30" s="37" t="n">
        <f aca="false">(B30*(1-CH_LandPct)*'Tax Credit Calc'!C$12*LIHTCRate4+'Tax Credit Calc'!C$23)*10*(1-'Tax Credit Calc'!$C$5)*EquityPrice</f>
        <v>2861212.08029184</v>
      </c>
      <c r="D30" s="37" t="n">
        <f aca="false">'Sources &amp; Uses'!C$25*(B30*(1-CH_LandPct)+CH_RehabBasis)</f>
        <v>1109781.2064</v>
      </c>
      <c r="E30" s="37" t="n">
        <f aca="false">B30+0+CH_RehabBasis+CH_FinFees+'Sources &amp; Uses'!C$21+CH_ConstrInt+'Sources &amp; Uses'!C$23+D30</f>
        <v>9523900.08446643</v>
      </c>
      <c r="F30" s="37" t="n">
        <f aca="false">CH_SelProceeds+C30+MAX(0,CH_BridgeCF)</f>
        <v>6271564.45546095</v>
      </c>
      <c r="G30" s="37" t="n">
        <f aca="false">E30-F30</f>
        <v>3252335.62900548</v>
      </c>
      <c r="H30" s="37" t="n">
        <f aca="false">MIN(D30,MAX(0,G30))</f>
        <v>1109781.2064</v>
      </c>
      <c r="I30" s="37" t="n">
        <f aca="false">G30-H30</f>
        <v>2142554.42260548</v>
      </c>
      <c r="J30" s="56" t="str">
        <f aca="false">IF(I30&lt;=SUBalanceTol,"YES","no")</f>
        <v>no</v>
      </c>
    </row>
    <row r="31" customFormat="false" ht="15" hidden="false" customHeight="true" outlineLevel="0" collapsed="false">
      <c r="B31" s="37" t="n">
        <f aca="false">24*$C$5</f>
        <v>2400000</v>
      </c>
      <c r="C31" s="37" t="n">
        <f aca="false">(B31*(1-CH_LandPct)*'Tax Credit Calc'!C$12*LIHTCRate4+'Tax Credit Calc'!C$23)*10*(1-'Tax Credit Calc'!$C$5)*EquityPrice</f>
        <v>2888140.08029184</v>
      </c>
      <c r="D31" s="37" t="n">
        <f aca="false">'Sources &amp; Uses'!C$25*(B31*(1-CH_LandPct)+CH_RehabBasis)</f>
        <v>1122531.2064</v>
      </c>
      <c r="E31" s="37" t="n">
        <f aca="false">B31+0+CH_RehabBasis+CH_FinFees+'Sources &amp; Uses'!C$21+CH_ConstrInt+'Sources &amp; Uses'!C$23+D31</f>
        <v>9636650.08446643</v>
      </c>
      <c r="F31" s="37" t="n">
        <f aca="false">CH_SelProceeds+C31+MAX(0,CH_BridgeCF)</f>
        <v>6298492.45546095</v>
      </c>
      <c r="G31" s="37" t="n">
        <f aca="false">E31-F31</f>
        <v>3338157.62900548</v>
      </c>
      <c r="H31" s="37" t="n">
        <f aca="false">MIN(D31,MAX(0,G31))</f>
        <v>1122531.2064</v>
      </c>
      <c r="I31" s="37" t="n">
        <f aca="false">G31-H31</f>
        <v>2215626.42260548</v>
      </c>
      <c r="J31" s="56" t="str">
        <f aca="false">IF(I31&lt;=SUBalanceTol,"YES","no")</f>
        <v>no</v>
      </c>
    </row>
    <row r="32" customFormat="false" ht="15" hidden="false" customHeight="true" outlineLevel="0" collapsed="false">
      <c r="B32" s="37" t="n">
        <f aca="false">25*$C$5</f>
        <v>2500000</v>
      </c>
      <c r="C32" s="37" t="n">
        <f aca="false">(B32*(1-CH_LandPct)*'Tax Credit Calc'!C$12*LIHTCRate4+'Tax Credit Calc'!C$23)*10*(1-'Tax Credit Calc'!$C$5)*EquityPrice</f>
        <v>2915068.08029184</v>
      </c>
      <c r="D32" s="37" t="n">
        <f aca="false">'Sources &amp; Uses'!C$25*(B32*(1-CH_LandPct)+CH_RehabBasis)</f>
        <v>1135281.2064</v>
      </c>
      <c r="E32" s="37" t="n">
        <f aca="false">B32+0+CH_RehabBasis+CH_FinFees+'Sources &amp; Uses'!C$21+CH_ConstrInt+'Sources &amp; Uses'!C$23+D32</f>
        <v>9749400.08446643</v>
      </c>
      <c r="F32" s="37" t="n">
        <f aca="false">CH_SelProceeds+C32+MAX(0,CH_BridgeCF)</f>
        <v>6325420.45546095</v>
      </c>
      <c r="G32" s="37" t="n">
        <f aca="false">E32-F32</f>
        <v>3423979.62900548</v>
      </c>
      <c r="H32" s="37" t="n">
        <f aca="false">MIN(D32,MAX(0,G32))</f>
        <v>1135281.2064</v>
      </c>
      <c r="I32" s="37" t="n">
        <f aca="false">G32-H32</f>
        <v>2288698.42260548</v>
      </c>
      <c r="J32" s="56" t="str">
        <f aca="false">IF(I32&lt;=SUBalanceTol,"YES","no")</f>
        <v>no</v>
      </c>
    </row>
    <row r="33" customFormat="false" ht="15" hidden="false" customHeight="true" outlineLevel="0" collapsed="false">
      <c r="B33" s="37" t="n">
        <f aca="false">26*$C$5</f>
        <v>2600000</v>
      </c>
      <c r="C33" s="37" t="n">
        <f aca="false">(B33*(1-CH_LandPct)*'Tax Credit Calc'!C$12*LIHTCRate4+'Tax Credit Calc'!C$23)*10*(1-'Tax Credit Calc'!$C$5)*EquityPrice</f>
        <v>2941996.08029184</v>
      </c>
      <c r="D33" s="37" t="n">
        <f aca="false">'Sources &amp; Uses'!C$25*(B33*(1-CH_LandPct)+CH_RehabBasis)</f>
        <v>1148031.2064</v>
      </c>
      <c r="E33" s="37" t="n">
        <f aca="false">B33+0+CH_RehabBasis+CH_FinFees+'Sources &amp; Uses'!C$21+CH_ConstrInt+'Sources &amp; Uses'!C$23+D33</f>
        <v>9862150.08446643</v>
      </c>
      <c r="F33" s="37" t="n">
        <f aca="false">CH_SelProceeds+C33+MAX(0,CH_BridgeCF)</f>
        <v>6352348.45546095</v>
      </c>
      <c r="G33" s="37" t="n">
        <f aca="false">E33-F33</f>
        <v>3509801.62900548</v>
      </c>
      <c r="H33" s="37" t="n">
        <f aca="false">MIN(D33,MAX(0,G33))</f>
        <v>1148031.2064</v>
      </c>
      <c r="I33" s="37" t="n">
        <f aca="false">G33-H33</f>
        <v>2361770.42260548</v>
      </c>
      <c r="J33" s="56" t="str">
        <f aca="false">IF(I33&lt;=SUBalanceTol,"YES","no")</f>
        <v>no</v>
      </c>
    </row>
    <row r="34" customFormat="false" ht="15" hidden="false" customHeight="true" outlineLevel="0" collapsed="false">
      <c r="B34" s="37" t="n">
        <f aca="false">27*$C$5</f>
        <v>2700000</v>
      </c>
      <c r="C34" s="37" t="n">
        <f aca="false">(B34*(1-CH_LandPct)*'Tax Credit Calc'!C$12*LIHTCRate4+'Tax Credit Calc'!C$23)*10*(1-'Tax Credit Calc'!$C$5)*EquityPrice</f>
        <v>2968924.08029184</v>
      </c>
      <c r="D34" s="37" t="n">
        <f aca="false">'Sources &amp; Uses'!C$25*(B34*(1-CH_LandPct)+CH_RehabBasis)</f>
        <v>1160781.2064</v>
      </c>
      <c r="E34" s="37" t="n">
        <f aca="false">B34+0+CH_RehabBasis+CH_FinFees+'Sources &amp; Uses'!C$21+CH_ConstrInt+'Sources &amp; Uses'!C$23+D34</f>
        <v>9974900.08446643</v>
      </c>
      <c r="F34" s="37" t="n">
        <f aca="false">CH_SelProceeds+C34+MAX(0,CH_BridgeCF)</f>
        <v>6379276.45546095</v>
      </c>
      <c r="G34" s="37" t="n">
        <f aca="false">E34-F34</f>
        <v>3595623.62900548</v>
      </c>
      <c r="H34" s="37" t="n">
        <f aca="false">MIN(D34,MAX(0,G34))</f>
        <v>1160781.2064</v>
      </c>
      <c r="I34" s="37" t="n">
        <f aca="false">G34-H34</f>
        <v>2434842.42260548</v>
      </c>
      <c r="J34" s="56" t="str">
        <f aca="false">IF(I34&lt;=SUBalanceTol,"YES","no")</f>
        <v>no</v>
      </c>
    </row>
    <row r="35" customFormat="false" ht="15" hidden="false" customHeight="true" outlineLevel="0" collapsed="false">
      <c r="B35" s="37" t="n">
        <f aca="false">28*$C$5</f>
        <v>2800000</v>
      </c>
      <c r="C35" s="37" t="n">
        <f aca="false">(B35*(1-CH_LandPct)*'Tax Credit Calc'!C$12*LIHTCRate4+'Tax Credit Calc'!C$23)*10*(1-'Tax Credit Calc'!$C$5)*EquityPrice</f>
        <v>2995852.08029184</v>
      </c>
      <c r="D35" s="37" t="n">
        <f aca="false">'Sources &amp; Uses'!C$25*(B35*(1-CH_LandPct)+CH_RehabBasis)</f>
        <v>1173531.2064</v>
      </c>
      <c r="E35" s="37" t="n">
        <f aca="false">B35+0+CH_RehabBasis+CH_FinFees+'Sources &amp; Uses'!C$21+CH_ConstrInt+'Sources &amp; Uses'!C$23+D35</f>
        <v>10087650.0844664</v>
      </c>
      <c r="F35" s="37" t="n">
        <f aca="false">CH_SelProceeds+C35+MAX(0,CH_BridgeCF)</f>
        <v>6406204.45546095</v>
      </c>
      <c r="G35" s="37" t="n">
        <f aca="false">E35-F35</f>
        <v>3681445.62900548</v>
      </c>
      <c r="H35" s="37" t="n">
        <f aca="false">MIN(D35,MAX(0,G35))</f>
        <v>1173531.2064</v>
      </c>
      <c r="I35" s="37" t="n">
        <f aca="false">G35-H35</f>
        <v>2507914.42260548</v>
      </c>
      <c r="J35" s="56" t="str">
        <f aca="false">IF(I35&lt;=SUBalanceTol,"YES","no")</f>
        <v>no</v>
      </c>
    </row>
    <row r="36" customFormat="false" ht="15" hidden="false" customHeight="true" outlineLevel="0" collapsed="false">
      <c r="B36" s="37" t="n">
        <f aca="false">29*$C$5</f>
        <v>2900000</v>
      </c>
      <c r="C36" s="37" t="n">
        <f aca="false">(B36*(1-CH_LandPct)*'Tax Credit Calc'!C$12*LIHTCRate4+'Tax Credit Calc'!C$23)*10*(1-'Tax Credit Calc'!$C$5)*EquityPrice</f>
        <v>3022780.08029184</v>
      </c>
      <c r="D36" s="37" t="n">
        <f aca="false">'Sources &amp; Uses'!C$25*(B36*(1-CH_LandPct)+CH_RehabBasis)</f>
        <v>1186281.2064</v>
      </c>
      <c r="E36" s="37" t="n">
        <f aca="false">B36+0+CH_RehabBasis+CH_FinFees+'Sources &amp; Uses'!C$21+CH_ConstrInt+'Sources &amp; Uses'!C$23+D36</f>
        <v>10200400.0844664</v>
      </c>
      <c r="F36" s="37" t="n">
        <f aca="false">CH_SelProceeds+C36+MAX(0,CH_BridgeCF)</f>
        <v>6433132.45546095</v>
      </c>
      <c r="G36" s="37" t="n">
        <f aca="false">E36-F36</f>
        <v>3767267.62900548</v>
      </c>
      <c r="H36" s="37" t="n">
        <f aca="false">MIN(D36,MAX(0,G36))</f>
        <v>1186281.2064</v>
      </c>
      <c r="I36" s="37" t="n">
        <f aca="false">G36-H36</f>
        <v>2580986.42260548</v>
      </c>
      <c r="J36" s="56" t="str">
        <f aca="false">IF(I36&lt;=SUBalanceTol,"YES","no")</f>
        <v>no</v>
      </c>
    </row>
    <row r="37" customFormat="false" ht="15" hidden="false" customHeight="true" outlineLevel="0" collapsed="false">
      <c r="B37" s="37" t="n">
        <f aca="false">30*$C$5</f>
        <v>3000000</v>
      </c>
      <c r="C37" s="37" t="n">
        <f aca="false">(B37*(1-CH_LandPct)*'Tax Credit Calc'!C$12*LIHTCRate4+'Tax Credit Calc'!C$23)*10*(1-'Tax Credit Calc'!$C$5)*EquityPrice</f>
        <v>3049708.08029184</v>
      </c>
      <c r="D37" s="37" t="n">
        <f aca="false">'Sources &amp; Uses'!C$25*(B37*(1-CH_LandPct)+CH_RehabBasis)</f>
        <v>1199031.2064</v>
      </c>
      <c r="E37" s="37" t="n">
        <f aca="false">B37+0+CH_RehabBasis+CH_FinFees+'Sources &amp; Uses'!C$21+CH_ConstrInt+'Sources &amp; Uses'!C$23+D37</f>
        <v>10313150.0844664</v>
      </c>
      <c r="F37" s="37" t="n">
        <f aca="false">CH_SelProceeds+C37+MAX(0,CH_BridgeCF)</f>
        <v>6460060.45546095</v>
      </c>
      <c r="G37" s="37" t="n">
        <f aca="false">E37-F37</f>
        <v>3853089.62900548</v>
      </c>
      <c r="H37" s="37" t="n">
        <f aca="false">MIN(D37,MAX(0,G37))</f>
        <v>1199031.2064</v>
      </c>
      <c r="I37" s="37" t="n">
        <f aca="false">G37-H37</f>
        <v>2654058.42260548</v>
      </c>
      <c r="J37" s="56" t="str">
        <f aca="false">IF(I37&lt;=SUBalanceTol,"YES","no")</f>
        <v>no</v>
      </c>
    </row>
    <row r="38" customFormat="false" ht="15" hidden="false" customHeight="true" outlineLevel="0" collapsed="false">
      <c r="B38" s="37" t="n">
        <f aca="false">31*$C$5</f>
        <v>3100000</v>
      </c>
      <c r="C38" s="37" t="n">
        <f aca="false">(B38*(1-CH_LandPct)*'Tax Credit Calc'!C$12*LIHTCRate4+'Tax Credit Calc'!C$23)*10*(1-'Tax Credit Calc'!$C$5)*EquityPrice</f>
        <v>3076636.08029184</v>
      </c>
      <c r="D38" s="37" t="n">
        <f aca="false">'Sources &amp; Uses'!C$25*(B38*(1-CH_LandPct)+CH_RehabBasis)</f>
        <v>1211781.2064</v>
      </c>
      <c r="E38" s="37" t="n">
        <f aca="false">B38+0+CH_RehabBasis+CH_FinFees+'Sources &amp; Uses'!C$21+CH_ConstrInt+'Sources &amp; Uses'!C$23+D38</f>
        <v>10425900.0844664</v>
      </c>
      <c r="F38" s="37" t="n">
        <f aca="false">CH_SelProceeds+C38+MAX(0,CH_BridgeCF)</f>
        <v>6486988.45546095</v>
      </c>
      <c r="G38" s="37" t="n">
        <f aca="false">E38-F38</f>
        <v>3938911.62900548</v>
      </c>
      <c r="H38" s="37" t="n">
        <f aca="false">MIN(D38,MAX(0,G38))</f>
        <v>1211781.2064</v>
      </c>
      <c r="I38" s="37" t="n">
        <f aca="false">G38-H38</f>
        <v>2727130.42260548</v>
      </c>
      <c r="J38" s="56" t="str">
        <f aca="false">IF(I38&lt;=SUBalanceTol,"YES","no")</f>
        <v>no</v>
      </c>
    </row>
    <row r="39" customFormat="false" ht="15" hidden="false" customHeight="true" outlineLevel="0" collapsed="false">
      <c r="B39" s="37" t="n">
        <f aca="false">32*$C$5</f>
        <v>3200000</v>
      </c>
      <c r="C39" s="37" t="n">
        <f aca="false">(B39*(1-CH_LandPct)*'Tax Credit Calc'!C$12*LIHTCRate4+'Tax Credit Calc'!C$23)*10*(1-'Tax Credit Calc'!$C$5)*EquityPrice</f>
        <v>3103564.08029184</v>
      </c>
      <c r="D39" s="37" t="n">
        <f aca="false">'Sources &amp; Uses'!C$25*(B39*(1-CH_LandPct)+CH_RehabBasis)</f>
        <v>1224531.2064</v>
      </c>
      <c r="E39" s="37" t="n">
        <f aca="false">B39+0+CH_RehabBasis+CH_FinFees+'Sources &amp; Uses'!C$21+CH_ConstrInt+'Sources &amp; Uses'!C$23+D39</f>
        <v>10538650.0844664</v>
      </c>
      <c r="F39" s="37" t="n">
        <f aca="false">CH_SelProceeds+C39+MAX(0,CH_BridgeCF)</f>
        <v>6513916.45546095</v>
      </c>
      <c r="G39" s="37" t="n">
        <f aca="false">E39-F39</f>
        <v>4024733.62900548</v>
      </c>
      <c r="H39" s="37" t="n">
        <f aca="false">MIN(D39,MAX(0,G39))</f>
        <v>1224531.2064</v>
      </c>
      <c r="I39" s="37" t="n">
        <f aca="false">G39-H39</f>
        <v>2800202.42260548</v>
      </c>
      <c r="J39" s="56" t="str">
        <f aca="false">IF(I39&lt;=SUBalanceTol,"YES","no")</f>
        <v>no</v>
      </c>
    </row>
    <row r="40" customFormat="false" ht="15" hidden="false" customHeight="true" outlineLevel="0" collapsed="false">
      <c r="B40" s="37" t="n">
        <f aca="false">33*$C$5</f>
        <v>3300000</v>
      </c>
      <c r="C40" s="37" t="n">
        <f aca="false">(B40*(1-CH_LandPct)*'Tax Credit Calc'!C$12*LIHTCRate4+'Tax Credit Calc'!C$23)*10*(1-'Tax Credit Calc'!$C$5)*EquityPrice</f>
        <v>3130492.08029184</v>
      </c>
      <c r="D40" s="37" t="n">
        <f aca="false">'Sources &amp; Uses'!C$25*(B40*(1-CH_LandPct)+CH_RehabBasis)</f>
        <v>1237281.2064</v>
      </c>
      <c r="E40" s="37" t="n">
        <f aca="false">B40+0+CH_RehabBasis+CH_FinFees+'Sources &amp; Uses'!C$21+CH_ConstrInt+'Sources &amp; Uses'!C$23+D40</f>
        <v>10651400.0844664</v>
      </c>
      <c r="F40" s="37" t="n">
        <f aca="false">CH_SelProceeds+C40+MAX(0,CH_BridgeCF)</f>
        <v>6540844.45546095</v>
      </c>
      <c r="G40" s="37" t="n">
        <f aca="false">E40-F40</f>
        <v>4110555.62900548</v>
      </c>
      <c r="H40" s="37" t="n">
        <f aca="false">MIN(D40,MAX(0,G40))</f>
        <v>1237281.2064</v>
      </c>
      <c r="I40" s="37" t="n">
        <f aca="false">G40-H40</f>
        <v>2873274.42260548</v>
      </c>
      <c r="J40" s="56" t="str">
        <f aca="false">IF(I40&lt;=SUBalanceTol,"YES","no")</f>
        <v>no</v>
      </c>
    </row>
    <row r="41" customFormat="false" ht="15" hidden="false" customHeight="true" outlineLevel="0" collapsed="false">
      <c r="B41" s="37" t="n">
        <f aca="false">34*$C$5</f>
        <v>3400000</v>
      </c>
      <c r="C41" s="37" t="n">
        <f aca="false">(B41*(1-CH_LandPct)*'Tax Credit Calc'!C$12*LIHTCRate4+'Tax Credit Calc'!C$23)*10*(1-'Tax Credit Calc'!$C$5)*EquityPrice</f>
        <v>3157420.08029184</v>
      </c>
      <c r="D41" s="37" t="n">
        <f aca="false">'Sources &amp; Uses'!C$25*(B41*(1-CH_LandPct)+CH_RehabBasis)</f>
        <v>1250031.2064</v>
      </c>
      <c r="E41" s="37" t="n">
        <f aca="false">B41+0+CH_RehabBasis+CH_FinFees+'Sources &amp; Uses'!C$21+CH_ConstrInt+'Sources &amp; Uses'!C$23+D41</f>
        <v>10764150.0844664</v>
      </c>
      <c r="F41" s="37" t="n">
        <f aca="false">CH_SelProceeds+C41+MAX(0,CH_BridgeCF)</f>
        <v>6567772.45546095</v>
      </c>
      <c r="G41" s="37" t="n">
        <f aca="false">E41-F41</f>
        <v>4196377.62900548</v>
      </c>
      <c r="H41" s="37" t="n">
        <f aca="false">MIN(D41,MAX(0,G41))</f>
        <v>1250031.2064</v>
      </c>
      <c r="I41" s="37" t="n">
        <f aca="false">G41-H41</f>
        <v>2946346.42260548</v>
      </c>
      <c r="J41" s="56" t="str">
        <f aca="false">IF(I41&lt;=SUBalanceTol,"YES","no")</f>
        <v>no</v>
      </c>
    </row>
    <row r="42" customFormat="false" ht="15" hidden="false" customHeight="true" outlineLevel="0" collapsed="false">
      <c r="B42" s="37" t="n">
        <f aca="false">35*$C$5</f>
        <v>3500000</v>
      </c>
      <c r="C42" s="37" t="n">
        <f aca="false">(B42*(1-CH_LandPct)*'Tax Credit Calc'!C$12*LIHTCRate4+'Tax Credit Calc'!C$23)*10*(1-'Tax Credit Calc'!$C$5)*EquityPrice</f>
        <v>3184348.08029184</v>
      </c>
      <c r="D42" s="37" t="n">
        <f aca="false">'Sources &amp; Uses'!C$25*(B42*(1-CH_LandPct)+CH_RehabBasis)</f>
        <v>1262781.2064</v>
      </c>
      <c r="E42" s="37" t="n">
        <f aca="false">B42+0+CH_RehabBasis+CH_FinFees+'Sources &amp; Uses'!C$21+CH_ConstrInt+'Sources &amp; Uses'!C$23+D42</f>
        <v>10876900.0844664</v>
      </c>
      <c r="F42" s="37" t="n">
        <f aca="false">CH_SelProceeds+C42+MAX(0,CH_BridgeCF)</f>
        <v>6594700.45546095</v>
      </c>
      <c r="G42" s="37" t="n">
        <f aca="false">E42-F42</f>
        <v>4282199.62900548</v>
      </c>
      <c r="H42" s="37" t="n">
        <f aca="false">MIN(D42,MAX(0,G42))</f>
        <v>1262781.2064</v>
      </c>
      <c r="I42" s="37" t="n">
        <f aca="false">G42-H42</f>
        <v>3019418.42260548</v>
      </c>
      <c r="J42" s="56" t="str">
        <f aca="false">IF(I42&lt;=SUBalanceTol,"YES","no")</f>
        <v>no</v>
      </c>
    </row>
    <row r="43" customFormat="false" ht="15" hidden="false" customHeight="true" outlineLevel="0" collapsed="false">
      <c r="B43" s="19" t="s">
        <v>848</v>
      </c>
      <c r="C43" s="21" t="n">
        <f aca="false">IFERROR(INDEX(B7:B42,COUNTIF(J7:J42,"YES")),0)</f>
        <v>0</v>
      </c>
      <c r="E43" s="13" t="s">
        <v>849</v>
      </c>
      <c r="F43" s="37" t="n">
        <f aca="false">C45/CH_Units</f>
        <v>0</v>
      </c>
    </row>
    <row r="44" customFormat="false" ht="15" hidden="false" customHeight="true" outlineLevel="0" collapsed="false">
      <c r="B44" s="13" t="s">
        <v>850</v>
      </c>
      <c r="C44" s="66" t="n">
        <f aca="false">MIN(0,CH_BridgeCF)</f>
        <v>-47239.1665594539</v>
      </c>
      <c r="E44" s="13" t="s">
        <v>851</v>
      </c>
      <c r="F44" s="61" t="n">
        <v>53267</v>
      </c>
    </row>
    <row r="45" customFormat="false" ht="15" hidden="false" customHeight="true" outlineLevel="0" collapsed="false">
      <c r="B45" s="19" t="s">
        <v>852</v>
      </c>
      <c r="C45" s="99" t="n">
        <f aca="false">MAX(0,C43+C44)</f>
        <v>0</v>
      </c>
      <c r="E45" s="13" t="s">
        <v>853</v>
      </c>
      <c r="F45" s="73" t="str">
        <f aca="false">IF(C45=0,"n/a",265305/C45)</f>
        <v>n/a</v>
      </c>
      <c r="H45" s="13" t="s">
        <v>854</v>
      </c>
      <c r="J45" s="73" t="str">
        <f aca="false">IF(C45=0,"n/a",-26306/C45)</f>
        <v>n/a</v>
      </c>
    </row>
    <row r="48" customFormat="false" ht="15" hidden="false" customHeight="true" outlineLevel="0" collapsed="false">
      <c r="B48" s="3" t="s">
        <v>855</v>
      </c>
      <c r="C48" s="3"/>
      <c r="D48" s="3"/>
      <c r="E48" s="3"/>
      <c r="F48" s="3"/>
      <c r="G48" s="3"/>
      <c r="H48" s="3"/>
      <c r="I48" s="3"/>
      <c r="J48" s="3"/>
    </row>
    <row r="49" customFormat="false" ht="15" hidden="false" customHeight="true" outlineLevel="0" collapsed="false">
      <c r="B49" s="13" t="s">
        <v>838</v>
      </c>
      <c r="C49" s="61" t="n">
        <v>100000</v>
      </c>
    </row>
    <row r="50" customFormat="false" ht="15" hidden="false" customHeight="true" outlineLevel="0" collapsed="false">
      <c r="B50" s="40" t="s">
        <v>839</v>
      </c>
      <c r="C50" s="40" t="s">
        <v>840</v>
      </c>
      <c r="D50" s="40" t="s">
        <v>841</v>
      </c>
      <c r="E50" s="40" t="s">
        <v>842</v>
      </c>
      <c r="F50" s="40" t="s">
        <v>843</v>
      </c>
      <c r="G50" s="40" t="s">
        <v>844</v>
      </c>
      <c r="H50" s="40" t="s">
        <v>845</v>
      </c>
      <c r="I50" s="40" t="s">
        <v>846</v>
      </c>
      <c r="J50" s="40" t="s">
        <v>847</v>
      </c>
    </row>
    <row r="51" customFormat="false" ht="15" hidden="false" customHeight="true" outlineLevel="0" collapsed="false">
      <c r="B51" s="37" t="n">
        <f aca="false">0*$C$49</f>
        <v>0</v>
      </c>
      <c r="C51" s="37" t="n">
        <f aca="false">(B51*(1-NZ_LandPct)*'Tax Credit Calc'!D$12*LIHTCRate4+'Tax Credit Calc'!D$23)*10*(1-'Tax Credit Calc'!$C$5)*EquityPrice</f>
        <v>2775646.19464704</v>
      </c>
      <c r="D51" s="37" t="n">
        <f aca="false">'Sources &amp; Uses'!D$25*(B51*(1-NZ_LandPct)+NZ_RehabBasis)</f>
        <v>1010943.3984</v>
      </c>
      <c r="E51" s="37" t="n">
        <f aca="false">B51+NZ_HOMEPayoff+NZ_RehabBasis+NZ_FinFees+'Sources &amp; Uses'!D$21+NZ_ConstrInt+'Sources &amp; Uses'!D$23+D51</f>
        <v>10606792.7348208</v>
      </c>
      <c r="F51" s="37" t="n">
        <f aca="false">NZ_SelProceeds+C51+MAX(0,NZ_BridgeCF)</f>
        <v>9447810.22553162</v>
      </c>
      <c r="G51" s="37" t="n">
        <f aca="false">E51-F51</f>
        <v>1158982.50928917</v>
      </c>
      <c r="H51" s="37" t="n">
        <f aca="false">MIN(D51,MAX(0,G51))</f>
        <v>1010943.3984</v>
      </c>
      <c r="I51" s="37" t="n">
        <f aca="false">G51-H51</f>
        <v>148039.110889174</v>
      </c>
      <c r="J51" s="56" t="str">
        <f aca="false">IF(I51&lt;=SUBalanceTol,"YES","no")</f>
        <v>no</v>
      </c>
    </row>
    <row r="52" customFormat="false" ht="15" hidden="false" customHeight="true" outlineLevel="0" collapsed="false">
      <c r="B52" s="37" t="n">
        <f aca="false">1*$C$49</f>
        <v>100000</v>
      </c>
      <c r="C52" s="37" t="n">
        <f aca="false">(B52*(1-NZ_LandPct)*'Tax Credit Calc'!D$12*LIHTCRate4+'Tax Credit Calc'!D$23)*10*(1-'Tax Credit Calc'!$C$5)*EquityPrice</f>
        <v>2802574.19464704</v>
      </c>
      <c r="D52" s="37" t="n">
        <f aca="false">'Sources &amp; Uses'!D$25*(B52*(1-NZ_LandPct)+NZ_RehabBasis)</f>
        <v>1023693.3984</v>
      </c>
      <c r="E52" s="37" t="n">
        <f aca="false">B52+NZ_HOMEPayoff+NZ_RehabBasis+NZ_FinFees+'Sources &amp; Uses'!D$21+NZ_ConstrInt+'Sources &amp; Uses'!D$23+D52</f>
        <v>10719542.7348208</v>
      </c>
      <c r="F52" s="37" t="n">
        <f aca="false">NZ_SelProceeds+C52+MAX(0,NZ_BridgeCF)</f>
        <v>9474738.22553162</v>
      </c>
      <c r="G52" s="37" t="n">
        <f aca="false">E52-F52</f>
        <v>1244804.50928917</v>
      </c>
      <c r="H52" s="37" t="n">
        <f aca="false">MIN(D52,MAX(0,G52))</f>
        <v>1023693.3984</v>
      </c>
      <c r="I52" s="37" t="n">
        <f aca="false">G52-H52</f>
        <v>221111.110889174</v>
      </c>
      <c r="J52" s="56" t="str">
        <f aca="false">IF(I52&lt;=SUBalanceTol,"YES","no")</f>
        <v>no</v>
      </c>
    </row>
    <row r="53" customFormat="false" ht="15" hidden="false" customHeight="true" outlineLevel="0" collapsed="false">
      <c r="B53" s="37" t="n">
        <f aca="false">2*$C$49</f>
        <v>200000</v>
      </c>
      <c r="C53" s="37" t="n">
        <f aca="false">(B53*(1-NZ_LandPct)*'Tax Credit Calc'!D$12*LIHTCRate4+'Tax Credit Calc'!D$23)*10*(1-'Tax Credit Calc'!$C$5)*EquityPrice</f>
        <v>2829502.19464704</v>
      </c>
      <c r="D53" s="37" t="n">
        <f aca="false">'Sources &amp; Uses'!D$25*(B53*(1-NZ_LandPct)+NZ_RehabBasis)</f>
        <v>1036443.3984</v>
      </c>
      <c r="E53" s="37" t="n">
        <f aca="false">B53+NZ_HOMEPayoff+NZ_RehabBasis+NZ_FinFees+'Sources &amp; Uses'!D$21+NZ_ConstrInt+'Sources &amp; Uses'!D$23+D53</f>
        <v>10832292.7348208</v>
      </c>
      <c r="F53" s="37" t="n">
        <f aca="false">NZ_SelProceeds+C53+MAX(0,NZ_BridgeCF)</f>
        <v>9501666.22553162</v>
      </c>
      <c r="G53" s="37" t="n">
        <f aca="false">E53-F53</f>
        <v>1330626.50928917</v>
      </c>
      <c r="H53" s="37" t="n">
        <f aca="false">MIN(D53,MAX(0,G53))</f>
        <v>1036443.3984</v>
      </c>
      <c r="I53" s="37" t="n">
        <f aca="false">G53-H53</f>
        <v>294183.110889174</v>
      </c>
      <c r="J53" s="56" t="str">
        <f aca="false">IF(I53&lt;=SUBalanceTol,"YES","no")</f>
        <v>no</v>
      </c>
    </row>
    <row r="54" customFormat="false" ht="15" hidden="false" customHeight="true" outlineLevel="0" collapsed="false">
      <c r="B54" s="37" t="n">
        <f aca="false">3*$C$49</f>
        <v>300000</v>
      </c>
      <c r="C54" s="37" t="n">
        <f aca="false">(B54*(1-NZ_LandPct)*'Tax Credit Calc'!D$12*LIHTCRate4+'Tax Credit Calc'!D$23)*10*(1-'Tax Credit Calc'!$C$5)*EquityPrice</f>
        <v>2856430.19464704</v>
      </c>
      <c r="D54" s="37" t="n">
        <f aca="false">'Sources &amp; Uses'!D$25*(B54*(1-NZ_LandPct)+NZ_RehabBasis)</f>
        <v>1049193.3984</v>
      </c>
      <c r="E54" s="37" t="n">
        <f aca="false">B54+NZ_HOMEPayoff+NZ_RehabBasis+NZ_FinFees+'Sources &amp; Uses'!D$21+NZ_ConstrInt+'Sources &amp; Uses'!D$23+D54</f>
        <v>10945042.7348208</v>
      </c>
      <c r="F54" s="37" t="n">
        <f aca="false">NZ_SelProceeds+C54+MAX(0,NZ_BridgeCF)</f>
        <v>9528594.22553162</v>
      </c>
      <c r="G54" s="37" t="n">
        <f aca="false">E54-F54</f>
        <v>1416448.50928917</v>
      </c>
      <c r="H54" s="37" t="n">
        <f aca="false">MIN(D54,MAX(0,G54))</f>
        <v>1049193.3984</v>
      </c>
      <c r="I54" s="37" t="n">
        <f aca="false">G54-H54</f>
        <v>367255.110889174</v>
      </c>
      <c r="J54" s="56" t="str">
        <f aca="false">IF(I54&lt;=SUBalanceTol,"YES","no")</f>
        <v>no</v>
      </c>
    </row>
    <row r="55" customFormat="false" ht="15" hidden="false" customHeight="true" outlineLevel="0" collapsed="false">
      <c r="B55" s="37" t="n">
        <f aca="false">4*$C$49</f>
        <v>400000</v>
      </c>
      <c r="C55" s="37" t="n">
        <f aca="false">(B55*(1-NZ_LandPct)*'Tax Credit Calc'!D$12*LIHTCRate4+'Tax Credit Calc'!D$23)*10*(1-'Tax Credit Calc'!$C$5)*EquityPrice</f>
        <v>2883358.19464704</v>
      </c>
      <c r="D55" s="37" t="n">
        <f aca="false">'Sources &amp; Uses'!D$25*(B55*(1-NZ_LandPct)+NZ_RehabBasis)</f>
        <v>1061943.3984</v>
      </c>
      <c r="E55" s="37" t="n">
        <f aca="false">B55+NZ_HOMEPayoff+NZ_RehabBasis+NZ_FinFees+'Sources &amp; Uses'!D$21+NZ_ConstrInt+'Sources &amp; Uses'!D$23+D55</f>
        <v>11057792.7348208</v>
      </c>
      <c r="F55" s="37" t="n">
        <f aca="false">NZ_SelProceeds+C55+MAX(0,NZ_BridgeCF)</f>
        <v>9555522.22553162</v>
      </c>
      <c r="G55" s="37" t="n">
        <f aca="false">E55-F55</f>
        <v>1502270.50928917</v>
      </c>
      <c r="H55" s="37" t="n">
        <f aca="false">MIN(D55,MAX(0,G55))</f>
        <v>1061943.3984</v>
      </c>
      <c r="I55" s="37" t="n">
        <f aca="false">G55-H55</f>
        <v>440327.110889174</v>
      </c>
      <c r="J55" s="56" t="str">
        <f aca="false">IF(I55&lt;=SUBalanceTol,"YES","no")</f>
        <v>no</v>
      </c>
    </row>
    <row r="56" customFormat="false" ht="15" hidden="false" customHeight="true" outlineLevel="0" collapsed="false">
      <c r="B56" s="37" t="n">
        <f aca="false">5*$C$49</f>
        <v>500000</v>
      </c>
      <c r="C56" s="37" t="n">
        <f aca="false">(B56*(1-NZ_LandPct)*'Tax Credit Calc'!D$12*LIHTCRate4+'Tax Credit Calc'!D$23)*10*(1-'Tax Credit Calc'!$C$5)*EquityPrice</f>
        <v>2910286.19464704</v>
      </c>
      <c r="D56" s="37" t="n">
        <f aca="false">'Sources &amp; Uses'!D$25*(B56*(1-NZ_LandPct)+NZ_RehabBasis)</f>
        <v>1074693.3984</v>
      </c>
      <c r="E56" s="37" t="n">
        <f aca="false">B56+NZ_HOMEPayoff+NZ_RehabBasis+NZ_FinFees+'Sources &amp; Uses'!D$21+NZ_ConstrInt+'Sources &amp; Uses'!D$23+D56</f>
        <v>11170542.7348208</v>
      </c>
      <c r="F56" s="37" t="n">
        <f aca="false">NZ_SelProceeds+C56+MAX(0,NZ_BridgeCF)</f>
        <v>9582450.22553162</v>
      </c>
      <c r="G56" s="37" t="n">
        <f aca="false">E56-F56</f>
        <v>1588092.50928917</v>
      </c>
      <c r="H56" s="37" t="n">
        <f aca="false">MIN(D56,MAX(0,G56))</f>
        <v>1074693.3984</v>
      </c>
      <c r="I56" s="37" t="n">
        <f aca="false">G56-H56</f>
        <v>513399.110889174</v>
      </c>
      <c r="J56" s="56" t="str">
        <f aca="false">IF(I56&lt;=SUBalanceTol,"YES","no")</f>
        <v>no</v>
      </c>
    </row>
    <row r="57" customFormat="false" ht="15" hidden="false" customHeight="true" outlineLevel="0" collapsed="false">
      <c r="B57" s="37" t="n">
        <f aca="false">6*$C$49</f>
        <v>600000</v>
      </c>
      <c r="C57" s="37" t="n">
        <f aca="false">(B57*(1-NZ_LandPct)*'Tax Credit Calc'!D$12*LIHTCRate4+'Tax Credit Calc'!D$23)*10*(1-'Tax Credit Calc'!$C$5)*EquityPrice</f>
        <v>2937214.19464704</v>
      </c>
      <c r="D57" s="37" t="n">
        <f aca="false">'Sources &amp; Uses'!D$25*(B57*(1-NZ_LandPct)+NZ_RehabBasis)</f>
        <v>1087443.3984</v>
      </c>
      <c r="E57" s="37" t="n">
        <f aca="false">B57+NZ_HOMEPayoff+NZ_RehabBasis+NZ_FinFees+'Sources &amp; Uses'!D$21+NZ_ConstrInt+'Sources &amp; Uses'!D$23+D57</f>
        <v>11283292.7348208</v>
      </c>
      <c r="F57" s="37" t="n">
        <f aca="false">NZ_SelProceeds+C57+MAX(0,NZ_BridgeCF)</f>
        <v>9609378.22553162</v>
      </c>
      <c r="G57" s="37" t="n">
        <f aca="false">E57-F57</f>
        <v>1673914.50928917</v>
      </c>
      <c r="H57" s="37" t="n">
        <f aca="false">MIN(D57,MAX(0,G57))</f>
        <v>1087443.3984</v>
      </c>
      <c r="I57" s="37" t="n">
        <f aca="false">G57-H57</f>
        <v>586471.110889174</v>
      </c>
      <c r="J57" s="56" t="str">
        <f aca="false">IF(I57&lt;=SUBalanceTol,"YES","no")</f>
        <v>no</v>
      </c>
    </row>
    <row r="58" customFormat="false" ht="15" hidden="false" customHeight="true" outlineLevel="0" collapsed="false">
      <c r="B58" s="37" t="n">
        <f aca="false">7*$C$49</f>
        <v>700000</v>
      </c>
      <c r="C58" s="37" t="n">
        <f aca="false">(B58*(1-NZ_LandPct)*'Tax Credit Calc'!D$12*LIHTCRate4+'Tax Credit Calc'!D$23)*10*(1-'Tax Credit Calc'!$C$5)*EquityPrice</f>
        <v>2964142.19464704</v>
      </c>
      <c r="D58" s="37" t="n">
        <f aca="false">'Sources &amp; Uses'!D$25*(B58*(1-NZ_LandPct)+NZ_RehabBasis)</f>
        <v>1100193.3984</v>
      </c>
      <c r="E58" s="37" t="n">
        <f aca="false">B58+NZ_HOMEPayoff+NZ_RehabBasis+NZ_FinFees+'Sources &amp; Uses'!D$21+NZ_ConstrInt+'Sources &amp; Uses'!D$23+D58</f>
        <v>11396042.7348208</v>
      </c>
      <c r="F58" s="37" t="n">
        <f aca="false">NZ_SelProceeds+C58+MAX(0,NZ_BridgeCF)</f>
        <v>9636306.22553162</v>
      </c>
      <c r="G58" s="37" t="n">
        <f aca="false">E58-F58</f>
        <v>1759736.50928917</v>
      </c>
      <c r="H58" s="37" t="n">
        <f aca="false">MIN(D58,MAX(0,G58))</f>
        <v>1100193.3984</v>
      </c>
      <c r="I58" s="37" t="n">
        <f aca="false">G58-H58</f>
        <v>659543.110889174</v>
      </c>
      <c r="J58" s="56" t="str">
        <f aca="false">IF(I58&lt;=SUBalanceTol,"YES","no")</f>
        <v>no</v>
      </c>
    </row>
    <row r="59" customFormat="false" ht="15" hidden="false" customHeight="true" outlineLevel="0" collapsed="false">
      <c r="B59" s="37" t="n">
        <f aca="false">8*$C$49</f>
        <v>800000</v>
      </c>
      <c r="C59" s="37" t="n">
        <f aca="false">(B59*(1-NZ_LandPct)*'Tax Credit Calc'!D$12*LIHTCRate4+'Tax Credit Calc'!D$23)*10*(1-'Tax Credit Calc'!$C$5)*EquityPrice</f>
        <v>2991070.19464704</v>
      </c>
      <c r="D59" s="37" t="n">
        <f aca="false">'Sources &amp; Uses'!D$25*(B59*(1-NZ_LandPct)+NZ_RehabBasis)</f>
        <v>1112943.3984</v>
      </c>
      <c r="E59" s="37" t="n">
        <f aca="false">B59+NZ_HOMEPayoff+NZ_RehabBasis+NZ_FinFees+'Sources &amp; Uses'!D$21+NZ_ConstrInt+'Sources &amp; Uses'!D$23+D59</f>
        <v>11508792.7348208</v>
      </c>
      <c r="F59" s="37" t="n">
        <f aca="false">NZ_SelProceeds+C59+MAX(0,NZ_BridgeCF)</f>
        <v>9663234.22553162</v>
      </c>
      <c r="G59" s="37" t="n">
        <f aca="false">E59-F59</f>
        <v>1845558.50928917</v>
      </c>
      <c r="H59" s="37" t="n">
        <f aca="false">MIN(D59,MAX(0,G59))</f>
        <v>1112943.3984</v>
      </c>
      <c r="I59" s="37" t="n">
        <f aca="false">G59-H59</f>
        <v>732615.110889174</v>
      </c>
      <c r="J59" s="56" t="str">
        <f aca="false">IF(I59&lt;=SUBalanceTol,"YES","no")</f>
        <v>no</v>
      </c>
    </row>
    <row r="60" customFormat="false" ht="15" hidden="false" customHeight="true" outlineLevel="0" collapsed="false">
      <c r="B60" s="37" t="n">
        <f aca="false">9*$C$49</f>
        <v>900000</v>
      </c>
      <c r="C60" s="37" t="n">
        <f aca="false">(B60*(1-NZ_LandPct)*'Tax Credit Calc'!D$12*LIHTCRate4+'Tax Credit Calc'!D$23)*10*(1-'Tax Credit Calc'!$C$5)*EquityPrice</f>
        <v>3017998.19464704</v>
      </c>
      <c r="D60" s="37" t="n">
        <f aca="false">'Sources &amp; Uses'!D$25*(B60*(1-NZ_LandPct)+NZ_RehabBasis)</f>
        <v>1125693.3984</v>
      </c>
      <c r="E60" s="37" t="n">
        <f aca="false">B60+NZ_HOMEPayoff+NZ_RehabBasis+NZ_FinFees+'Sources &amp; Uses'!D$21+NZ_ConstrInt+'Sources &amp; Uses'!D$23+D60</f>
        <v>11621542.7348208</v>
      </c>
      <c r="F60" s="37" t="n">
        <f aca="false">NZ_SelProceeds+C60+MAX(0,NZ_BridgeCF)</f>
        <v>9690162.22553162</v>
      </c>
      <c r="G60" s="37" t="n">
        <f aca="false">E60-F60</f>
        <v>1931380.50928917</v>
      </c>
      <c r="H60" s="37" t="n">
        <f aca="false">MIN(D60,MAX(0,G60))</f>
        <v>1125693.3984</v>
      </c>
      <c r="I60" s="37" t="n">
        <f aca="false">G60-H60</f>
        <v>805687.110889174</v>
      </c>
      <c r="J60" s="56" t="str">
        <f aca="false">IF(I60&lt;=SUBalanceTol,"YES","no")</f>
        <v>no</v>
      </c>
    </row>
    <row r="61" customFormat="false" ht="15" hidden="false" customHeight="true" outlineLevel="0" collapsed="false">
      <c r="B61" s="37" t="n">
        <f aca="false">10*$C$49</f>
        <v>1000000</v>
      </c>
      <c r="C61" s="37" t="n">
        <f aca="false">(B61*(1-NZ_LandPct)*'Tax Credit Calc'!D$12*LIHTCRate4+'Tax Credit Calc'!D$23)*10*(1-'Tax Credit Calc'!$C$5)*EquityPrice</f>
        <v>3044926.19464704</v>
      </c>
      <c r="D61" s="37" t="n">
        <f aca="false">'Sources &amp; Uses'!D$25*(B61*(1-NZ_LandPct)+NZ_RehabBasis)</f>
        <v>1138443.3984</v>
      </c>
      <c r="E61" s="37" t="n">
        <f aca="false">B61+NZ_HOMEPayoff+NZ_RehabBasis+NZ_FinFees+'Sources &amp; Uses'!D$21+NZ_ConstrInt+'Sources &amp; Uses'!D$23+D61</f>
        <v>11734292.7348208</v>
      </c>
      <c r="F61" s="37" t="n">
        <f aca="false">NZ_SelProceeds+C61+MAX(0,NZ_BridgeCF)</f>
        <v>9717090.22553162</v>
      </c>
      <c r="G61" s="37" t="n">
        <f aca="false">E61-F61</f>
        <v>2017202.50928917</v>
      </c>
      <c r="H61" s="37" t="n">
        <f aca="false">MIN(D61,MAX(0,G61))</f>
        <v>1138443.3984</v>
      </c>
      <c r="I61" s="37" t="n">
        <f aca="false">G61-H61</f>
        <v>878759.110889174</v>
      </c>
      <c r="J61" s="56" t="str">
        <f aca="false">IF(I61&lt;=SUBalanceTol,"YES","no")</f>
        <v>no</v>
      </c>
    </row>
    <row r="62" customFormat="false" ht="15" hidden="false" customHeight="true" outlineLevel="0" collapsed="false">
      <c r="B62" s="37" t="n">
        <f aca="false">11*$C$49</f>
        <v>1100000</v>
      </c>
      <c r="C62" s="37" t="n">
        <f aca="false">(B62*(1-NZ_LandPct)*'Tax Credit Calc'!D$12*LIHTCRate4+'Tax Credit Calc'!D$23)*10*(1-'Tax Credit Calc'!$C$5)*EquityPrice</f>
        <v>3071854.19464704</v>
      </c>
      <c r="D62" s="37" t="n">
        <f aca="false">'Sources &amp; Uses'!D$25*(B62*(1-NZ_LandPct)+NZ_RehabBasis)</f>
        <v>1151193.3984</v>
      </c>
      <c r="E62" s="37" t="n">
        <f aca="false">B62+NZ_HOMEPayoff+NZ_RehabBasis+NZ_FinFees+'Sources &amp; Uses'!D$21+NZ_ConstrInt+'Sources &amp; Uses'!D$23+D62</f>
        <v>11847042.7348208</v>
      </c>
      <c r="F62" s="37" t="n">
        <f aca="false">NZ_SelProceeds+C62+MAX(0,NZ_BridgeCF)</f>
        <v>9744018.22553162</v>
      </c>
      <c r="G62" s="37" t="n">
        <f aca="false">E62-F62</f>
        <v>2103024.50928917</v>
      </c>
      <c r="H62" s="37" t="n">
        <f aca="false">MIN(D62,MAX(0,G62))</f>
        <v>1151193.3984</v>
      </c>
      <c r="I62" s="37" t="n">
        <f aca="false">G62-H62</f>
        <v>951831.110889174</v>
      </c>
      <c r="J62" s="56" t="str">
        <f aca="false">IF(I62&lt;=SUBalanceTol,"YES","no")</f>
        <v>no</v>
      </c>
    </row>
    <row r="63" customFormat="false" ht="15" hidden="false" customHeight="true" outlineLevel="0" collapsed="false">
      <c r="B63" s="37" t="n">
        <f aca="false">12*$C$49</f>
        <v>1200000</v>
      </c>
      <c r="C63" s="37" t="n">
        <f aca="false">(B63*(1-NZ_LandPct)*'Tax Credit Calc'!D$12*LIHTCRate4+'Tax Credit Calc'!D$23)*10*(1-'Tax Credit Calc'!$C$5)*EquityPrice</f>
        <v>3098782.19464704</v>
      </c>
      <c r="D63" s="37" t="n">
        <f aca="false">'Sources &amp; Uses'!D$25*(B63*(1-NZ_LandPct)+NZ_RehabBasis)</f>
        <v>1163943.3984</v>
      </c>
      <c r="E63" s="37" t="n">
        <f aca="false">B63+NZ_HOMEPayoff+NZ_RehabBasis+NZ_FinFees+'Sources &amp; Uses'!D$21+NZ_ConstrInt+'Sources &amp; Uses'!D$23+D63</f>
        <v>11959792.7348208</v>
      </c>
      <c r="F63" s="37" t="n">
        <f aca="false">NZ_SelProceeds+C63+MAX(0,NZ_BridgeCF)</f>
        <v>9770946.22553162</v>
      </c>
      <c r="G63" s="37" t="n">
        <f aca="false">E63-F63</f>
        <v>2188846.50928917</v>
      </c>
      <c r="H63" s="37" t="n">
        <f aca="false">MIN(D63,MAX(0,G63))</f>
        <v>1163943.3984</v>
      </c>
      <c r="I63" s="37" t="n">
        <f aca="false">G63-H63</f>
        <v>1024903.11088917</v>
      </c>
      <c r="J63" s="56" t="str">
        <f aca="false">IF(I63&lt;=SUBalanceTol,"YES","no")</f>
        <v>no</v>
      </c>
    </row>
    <row r="64" customFormat="false" ht="15" hidden="false" customHeight="true" outlineLevel="0" collapsed="false">
      <c r="B64" s="37" t="n">
        <f aca="false">13*$C$49</f>
        <v>1300000</v>
      </c>
      <c r="C64" s="37" t="n">
        <f aca="false">(B64*(1-NZ_LandPct)*'Tax Credit Calc'!D$12*LIHTCRate4+'Tax Credit Calc'!D$23)*10*(1-'Tax Credit Calc'!$C$5)*EquityPrice</f>
        <v>3125710.19464704</v>
      </c>
      <c r="D64" s="37" t="n">
        <f aca="false">'Sources &amp; Uses'!D$25*(B64*(1-NZ_LandPct)+NZ_RehabBasis)</f>
        <v>1176693.3984</v>
      </c>
      <c r="E64" s="37" t="n">
        <f aca="false">B64+NZ_HOMEPayoff+NZ_RehabBasis+NZ_FinFees+'Sources &amp; Uses'!D$21+NZ_ConstrInt+'Sources &amp; Uses'!D$23+D64</f>
        <v>12072542.7348208</v>
      </c>
      <c r="F64" s="37" t="n">
        <f aca="false">NZ_SelProceeds+C64+MAX(0,NZ_BridgeCF)</f>
        <v>9797874.22553162</v>
      </c>
      <c r="G64" s="37" t="n">
        <f aca="false">E64-F64</f>
        <v>2274668.50928917</v>
      </c>
      <c r="H64" s="37" t="n">
        <f aca="false">MIN(D64,MAX(0,G64))</f>
        <v>1176693.3984</v>
      </c>
      <c r="I64" s="37" t="n">
        <f aca="false">G64-H64</f>
        <v>1097975.11088917</v>
      </c>
      <c r="J64" s="56" t="str">
        <f aca="false">IF(I64&lt;=SUBalanceTol,"YES","no")</f>
        <v>no</v>
      </c>
    </row>
    <row r="65" customFormat="false" ht="15" hidden="false" customHeight="true" outlineLevel="0" collapsed="false">
      <c r="B65" s="37" t="n">
        <f aca="false">14*$C$49</f>
        <v>1400000</v>
      </c>
      <c r="C65" s="37" t="n">
        <f aca="false">(B65*(1-NZ_LandPct)*'Tax Credit Calc'!D$12*LIHTCRate4+'Tax Credit Calc'!D$23)*10*(1-'Tax Credit Calc'!$C$5)*EquityPrice</f>
        <v>3152638.19464704</v>
      </c>
      <c r="D65" s="37" t="n">
        <f aca="false">'Sources &amp; Uses'!D$25*(B65*(1-NZ_LandPct)+NZ_RehabBasis)</f>
        <v>1189443.3984</v>
      </c>
      <c r="E65" s="37" t="n">
        <f aca="false">B65+NZ_HOMEPayoff+NZ_RehabBasis+NZ_FinFees+'Sources &amp; Uses'!D$21+NZ_ConstrInt+'Sources &amp; Uses'!D$23+D65</f>
        <v>12185292.7348208</v>
      </c>
      <c r="F65" s="37" t="n">
        <f aca="false">NZ_SelProceeds+C65+MAX(0,NZ_BridgeCF)</f>
        <v>9824802.22553162</v>
      </c>
      <c r="G65" s="37" t="n">
        <f aca="false">E65-F65</f>
        <v>2360490.50928917</v>
      </c>
      <c r="H65" s="37" t="n">
        <f aca="false">MIN(D65,MAX(0,G65))</f>
        <v>1189443.3984</v>
      </c>
      <c r="I65" s="37" t="n">
        <f aca="false">G65-H65</f>
        <v>1171047.11088917</v>
      </c>
      <c r="J65" s="56" t="str">
        <f aca="false">IF(I65&lt;=SUBalanceTol,"YES","no")</f>
        <v>no</v>
      </c>
    </row>
    <row r="66" customFormat="false" ht="15" hidden="false" customHeight="true" outlineLevel="0" collapsed="false">
      <c r="B66" s="37" t="n">
        <f aca="false">15*$C$49</f>
        <v>1500000</v>
      </c>
      <c r="C66" s="37" t="n">
        <f aca="false">(B66*(1-NZ_LandPct)*'Tax Credit Calc'!D$12*LIHTCRate4+'Tax Credit Calc'!D$23)*10*(1-'Tax Credit Calc'!$C$5)*EquityPrice</f>
        <v>3179566.19464704</v>
      </c>
      <c r="D66" s="37" t="n">
        <f aca="false">'Sources &amp; Uses'!D$25*(B66*(1-NZ_LandPct)+NZ_RehabBasis)</f>
        <v>1202193.3984</v>
      </c>
      <c r="E66" s="37" t="n">
        <f aca="false">B66+NZ_HOMEPayoff+NZ_RehabBasis+NZ_FinFees+'Sources &amp; Uses'!D$21+NZ_ConstrInt+'Sources &amp; Uses'!D$23+D66</f>
        <v>12298042.7348208</v>
      </c>
      <c r="F66" s="37" t="n">
        <f aca="false">NZ_SelProceeds+C66+MAX(0,NZ_BridgeCF)</f>
        <v>9851730.22553162</v>
      </c>
      <c r="G66" s="37" t="n">
        <f aca="false">E66-F66</f>
        <v>2446312.50928917</v>
      </c>
      <c r="H66" s="37" t="n">
        <f aca="false">MIN(D66,MAX(0,G66))</f>
        <v>1202193.3984</v>
      </c>
      <c r="I66" s="37" t="n">
        <f aca="false">G66-H66</f>
        <v>1244119.11088917</v>
      </c>
      <c r="J66" s="56" t="str">
        <f aca="false">IF(I66&lt;=SUBalanceTol,"YES","no")</f>
        <v>no</v>
      </c>
    </row>
    <row r="67" customFormat="false" ht="15" hidden="false" customHeight="true" outlineLevel="0" collapsed="false">
      <c r="B67" s="37" t="n">
        <f aca="false">16*$C$49</f>
        <v>1600000</v>
      </c>
      <c r="C67" s="37" t="n">
        <f aca="false">(B67*(1-NZ_LandPct)*'Tax Credit Calc'!D$12*LIHTCRate4+'Tax Credit Calc'!D$23)*10*(1-'Tax Credit Calc'!$C$5)*EquityPrice</f>
        <v>3206494.19464704</v>
      </c>
      <c r="D67" s="37" t="n">
        <f aca="false">'Sources &amp; Uses'!D$25*(B67*(1-NZ_LandPct)+NZ_RehabBasis)</f>
        <v>1214943.3984</v>
      </c>
      <c r="E67" s="37" t="n">
        <f aca="false">B67+NZ_HOMEPayoff+NZ_RehabBasis+NZ_FinFees+'Sources &amp; Uses'!D$21+NZ_ConstrInt+'Sources &amp; Uses'!D$23+D67</f>
        <v>12410792.7348208</v>
      </c>
      <c r="F67" s="37" t="n">
        <f aca="false">NZ_SelProceeds+C67+MAX(0,NZ_BridgeCF)</f>
        <v>9878658.22553162</v>
      </c>
      <c r="G67" s="37" t="n">
        <f aca="false">E67-F67</f>
        <v>2532134.50928917</v>
      </c>
      <c r="H67" s="37" t="n">
        <f aca="false">MIN(D67,MAX(0,G67))</f>
        <v>1214943.3984</v>
      </c>
      <c r="I67" s="37" t="n">
        <f aca="false">G67-H67</f>
        <v>1317191.11088917</v>
      </c>
      <c r="J67" s="56" t="str">
        <f aca="false">IF(I67&lt;=SUBalanceTol,"YES","no")</f>
        <v>no</v>
      </c>
    </row>
    <row r="68" customFormat="false" ht="15" hidden="false" customHeight="true" outlineLevel="0" collapsed="false">
      <c r="B68" s="37" t="n">
        <f aca="false">17*$C$49</f>
        <v>1700000</v>
      </c>
      <c r="C68" s="37" t="n">
        <f aca="false">(B68*(1-NZ_LandPct)*'Tax Credit Calc'!D$12*LIHTCRate4+'Tax Credit Calc'!D$23)*10*(1-'Tax Credit Calc'!$C$5)*EquityPrice</f>
        <v>3233422.19464704</v>
      </c>
      <c r="D68" s="37" t="n">
        <f aca="false">'Sources &amp; Uses'!D$25*(B68*(1-NZ_LandPct)+NZ_RehabBasis)</f>
        <v>1227693.3984</v>
      </c>
      <c r="E68" s="37" t="n">
        <f aca="false">B68+NZ_HOMEPayoff+NZ_RehabBasis+NZ_FinFees+'Sources &amp; Uses'!D$21+NZ_ConstrInt+'Sources &amp; Uses'!D$23+D68</f>
        <v>12523542.7348208</v>
      </c>
      <c r="F68" s="37" t="n">
        <f aca="false">NZ_SelProceeds+C68+MAX(0,NZ_BridgeCF)</f>
        <v>9905586.22553162</v>
      </c>
      <c r="G68" s="37" t="n">
        <f aca="false">E68-F68</f>
        <v>2617956.50928917</v>
      </c>
      <c r="H68" s="37" t="n">
        <f aca="false">MIN(D68,MAX(0,G68))</f>
        <v>1227693.3984</v>
      </c>
      <c r="I68" s="37" t="n">
        <f aca="false">G68-H68</f>
        <v>1390263.11088917</v>
      </c>
      <c r="J68" s="56" t="str">
        <f aca="false">IF(I68&lt;=SUBalanceTol,"YES","no")</f>
        <v>no</v>
      </c>
    </row>
    <row r="69" customFormat="false" ht="15" hidden="false" customHeight="true" outlineLevel="0" collapsed="false">
      <c r="B69" s="37" t="n">
        <f aca="false">18*$C$49</f>
        <v>1800000</v>
      </c>
      <c r="C69" s="37" t="n">
        <f aca="false">(B69*(1-NZ_LandPct)*'Tax Credit Calc'!D$12*LIHTCRate4+'Tax Credit Calc'!D$23)*10*(1-'Tax Credit Calc'!$C$5)*EquityPrice</f>
        <v>3260350.19464704</v>
      </c>
      <c r="D69" s="37" t="n">
        <f aca="false">'Sources &amp; Uses'!D$25*(B69*(1-NZ_LandPct)+NZ_RehabBasis)</f>
        <v>1240443.3984</v>
      </c>
      <c r="E69" s="37" t="n">
        <f aca="false">B69+NZ_HOMEPayoff+NZ_RehabBasis+NZ_FinFees+'Sources &amp; Uses'!D$21+NZ_ConstrInt+'Sources &amp; Uses'!D$23+D69</f>
        <v>12636292.7348208</v>
      </c>
      <c r="F69" s="37" t="n">
        <f aca="false">NZ_SelProceeds+C69+MAX(0,NZ_BridgeCF)</f>
        <v>9932514.22553162</v>
      </c>
      <c r="G69" s="37" t="n">
        <f aca="false">E69-F69</f>
        <v>2703778.50928917</v>
      </c>
      <c r="H69" s="37" t="n">
        <f aca="false">MIN(D69,MAX(0,G69))</f>
        <v>1240443.3984</v>
      </c>
      <c r="I69" s="37" t="n">
        <f aca="false">G69-H69</f>
        <v>1463335.11088917</v>
      </c>
      <c r="J69" s="56" t="str">
        <f aca="false">IF(I69&lt;=SUBalanceTol,"YES","no")</f>
        <v>no</v>
      </c>
    </row>
    <row r="70" customFormat="false" ht="15" hidden="false" customHeight="true" outlineLevel="0" collapsed="false">
      <c r="B70" s="37" t="n">
        <f aca="false">19*$C$49</f>
        <v>1900000</v>
      </c>
      <c r="C70" s="37" t="n">
        <f aca="false">(B70*(1-NZ_LandPct)*'Tax Credit Calc'!D$12*LIHTCRate4+'Tax Credit Calc'!D$23)*10*(1-'Tax Credit Calc'!$C$5)*EquityPrice</f>
        <v>3287278.19464704</v>
      </c>
      <c r="D70" s="37" t="n">
        <f aca="false">'Sources &amp; Uses'!D$25*(B70*(1-NZ_LandPct)+NZ_RehabBasis)</f>
        <v>1253193.3984</v>
      </c>
      <c r="E70" s="37" t="n">
        <f aca="false">B70+NZ_HOMEPayoff+NZ_RehabBasis+NZ_FinFees+'Sources &amp; Uses'!D$21+NZ_ConstrInt+'Sources &amp; Uses'!D$23+D70</f>
        <v>12749042.7348208</v>
      </c>
      <c r="F70" s="37" t="n">
        <f aca="false">NZ_SelProceeds+C70+MAX(0,NZ_BridgeCF)</f>
        <v>9959442.22553162</v>
      </c>
      <c r="G70" s="37" t="n">
        <f aca="false">E70-F70</f>
        <v>2789600.50928917</v>
      </c>
      <c r="H70" s="37" t="n">
        <f aca="false">MIN(D70,MAX(0,G70))</f>
        <v>1253193.3984</v>
      </c>
      <c r="I70" s="37" t="n">
        <f aca="false">G70-H70</f>
        <v>1536407.11088917</v>
      </c>
      <c r="J70" s="56" t="str">
        <f aca="false">IF(I70&lt;=SUBalanceTol,"YES","no")</f>
        <v>no</v>
      </c>
    </row>
    <row r="71" customFormat="false" ht="15" hidden="false" customHeight="true" outlineLevel="0" collapsed="false">
      <c r="B71" s="37" t="n">
        <f aca="false">20*$C$49</f>
        <v>2000000</v>
      </c>
      <c r="C71" s="37" t="n">
        <f aca="false">(B71*(1-NZ_LandPct)*'Tax Credit Calc'!D$12*LIHTCRate4+'Tax Credit Calc'!D$23)*10*(1-'Tax Credit Calc'!$C$5)*EquityPrice</f>
        <v>3314206.19464704</v>
      </c>
      <c r="D71" s="37" t="n">
        <f aca="false">'Sources &amp; Uses'!D$25*(B71*(1-NZ_LandPct)+NZ_RehabBasis)</f>
        <v>1265943.3984</v>
      </c>
      <c r="E71" s="37" t="n">
        <f aca="false">B71+NZ_HOMEPayoff+NZ_RehabBasis+NZ_FinFees+'Sources &amp; Uses'!D$21+NZ_ConstrInt+'Sources &amp; Uses'!D$23+D71</f>
        <v>12861792.7348208</v>
      </c>
      <c r="F71" s="37" t="n">
        <f aca="false">NZ_SelProceeds+C71+MAX(0,NZ_BridgeCF)</f>
        <v>9986370.22553162</v>
      </c>
      <c r="G71" s="37" t="n">
        <f aca="false">E71-F71</f>
        <v>2875422.50928917</v>
      </c>
      <c r="H71" s="37" t="n">
        <f aca="false">MIN(D71,MAX(0,G71))</f>
        <v>1265943.3984</v>
      </c>
      <c r="I71" s="37" t="n">
        <f aca="false">G71-H71</f>
        <v>1609479.11088917</v>
      </c>
      <c r="J71" s="56" t="str">
        <f aca="false">IF(I71&lt;=SUBalanceTol,"YES","no")</f>
        <v>no</v>
      </c>
    </row>
    <row r="72" customFormat="false" ht="15" hidden="false" customHeight="true" outlineLevel="0" collapsed="false">
      <c r="B72" s="37" t="n">
        <f aca="false">21*$C$49</f>
        <v>2100000</v>
      </c>
      <c r="C72" s="37" t="n">
        <f aca="false">(B72*(1-NZ_LandPct)*'Tax Credit Calc'!D$12*LIHTCRate4+'Tax Credit Calc'!D$23)*10*(1-'Tax Credit Calc'!$C$5)*EquityPrice</f>
        <v>3341134.19464704</v>
      </c>
      <c r="D72" s="37" t="n">
        <f aca="false">'Sources &amp; Uses'!D$25*(B72*(1-NZ_LandPct)+NZ_RehabBasis)</f>
        <v>1278693.3984</v>
      </c>
      <c r="E72" s="37" t="n">
        <f aca="false">B72+NZ_HOMEPayoff+NZ_RehabBasis+NZ_FinFees+'Sources &amp; Uses'!D$21+NZ_ConstrInt+'Sources &amp; Uses'!D$23+D72</f>
        <v>12974542.7348208</v>
      </c>
      <c r="F72" s="37" t="n">
        <f aca="false">NZ_SelProceeds+C72+MAX(0,NZ_BridgeCF)</f>
        <v>10013298.2255316</v>
      </c>
      <c r="G72" s="37" t="n">
        <f aca="false">E72-F72</f>
        <v>2961244.50928917</v>
      </c>
      <c r="H72" s="37" t="n">
        <f aca="false">MIN(D72,MAX(0,G72))</f>
        <v>1278693.3984</v>
      </c>
      <c r="I72" s="37" t="n">
        <f aca="false">G72-H72</f>
        <v>1682551.11088917</v>
      </c>
      <c r="J72" s="56" t="str">
        <f aca="false">IF(I72&lt;=SUBalanceTol,"YES","no")</f>
        <v>no</v>
      </c>
    </row>
    <row r="73" customFormat="false" ht="15" hidden="false" customHeight="true" outlineLevel="0" collapsed="false">
      <c r="B73" s="37" t="n">
        <f aca="false">22*$C$49</f>
        <v>2200000</v>
      </c>
      <c r="C73" s="37" t="n">
        <f aca="false">(B73*(1-NZ_LandPct)*'Tax Credit Calc'!D$12*LIHTCRate4+'Tax Credit Calc'!D$23)*10*(1-'Tax Credit Calc'!$C$5)*EquityPrice</f>
        <v>3368062.19464704</v>
      </c>
      <c r="D73" s="37" t="n">
        <f aca="false">'Sources &amp; Uses'!D$25*(B73*(1-NZ_LandPct)+NZ_RehabBasis)</f>
        <v>1291443.3984</v>
      </c>
      <c r="E73" s="37" t="n">
        <f aca="false">B73+NZ_HOMEPayoff+NZ_RehabBasis+NZ_FinFees+'Sources &amp; Uses'!D$21+NZ_ConstrInt+'Sources &amp; Uses'!D$23+D73</f>
        <v>13087292.7348208</v>
      </c>
      <c r="F73" s="37" t="n">
        <f aca="false">NZ_SelProceeds+C73+MAX(0,NZ_BridgeCF)</f>
        <v>10040226.2255316</v>
      </c>
      <c r="G73" s="37" t="n">
        <f aca="false">E73-F73</f>
        <v>3047066.50928917</v>
      </c>
      <c r="H73" s="37" t="n">
        <f aca="false">MIN(D73,MAX(0,G73))</f>
        <v>1291443.3984</v>
      </c>
      <c r="I73" s="37" t="n">
        <f aca="false">G73-H73</f>
        <v>1755623.11088917</v>
      </c>
      <c r="J73" s="56" t="str">
        <f aca="false">IF(I73&lt;=SUBalanceTol,"YES","no")</f>
        <v>no</v>
      </c>
    </row>
    <row r="74" customFormat="false" ht="15" hidden="false" customHeight="true" outlineLevel="0" collapsed="false">
      <c r="B74" s="37" t="n">
        <f aca="false">23*$C$49</f>
        <v>2300000</v>
      </c>
      <c r="C74" s="37" t="n">
        <f aca="false">(B74*(1-NZ_LandPct)*'Tax Credit Calc'!D$12*LIHTCRate4+'Tax Credit Calc'!D$23)*10*(1-'Tax Credit Calc'!$C$5)*EquityPrice</f>
        <v>3394990.19464704</v>
      </c>
      <c r="D74" s="37" t="n">
        <f aca="false">'Sources &amp; Uses'!D$25*(B74*(1-NZ_LandPct)+NZ_RehabBasis)</f>
        <v>1304193.3984</v>
      </c>
      <c r="E74" s="37" t="n">
        <f aca="false">B74+NZ_HOMEPayoff+NZ_RehabBasis+NZ_FinFees+'Sources &amp; Uses'!D$21+NZ_ConstrInt+'Sources &amp; Uses'!D$23+D74</f>
        <v>13200042.7348208</v>
      </c>
      <c r="F74" s="37" t="n">
        <f aca="false">NZ_SelProceeds+C74+MAX(0,NZ_BridgeCF)</f>
        <v>10067154.2255316</v>
      </c>
      <c r="G74" s="37" t="n">
        <f aca="false">E74-F74</f>
        <v>3132888.50928917</v>
      </c>
      <c r="H74" s="37" t="n">
        <f aca="false">MIN(D74,MAX(0,G74))</f>
        <v>1304193.3984</v>
      </c>
      <c r="I74" s="37" t="n">
        <f aca="false">G74-H74</f>
        <v>1828695.11088917</v>
      </c>
      <c r="J74" s="56" t="str">
        <f aca="false">IF(I74&lt;=SUBalanceTol,"YES","no")</f>
        <v>no</v>
      </c>
    </row>
    <row r="75" customFormat="false" ht="15" hidden="false" customHeight="true" outlineLevel="0" collapsed="false">
      <c r="B75" s="37" t="n">
        <f aca="false">24*$C$49</f>
        <v>2400000</v>
      </c>
      <c r="C75" s="37" t="n">
        <f aca="false">(B75*(1-NZ_LandPct)*'Tax Credit Calc'!D$12*LIHTCRate4+'Tax Credit Calc'!D$23)*10*(1-'Tax Credit Calc'!$C$5)*EquityPrice</f>
        <v>3421918.19464704</v>
      </c>
      <c r="D75" s="37" t="n">
        <f aca="false">'Sources &amp; Uses'!D$25*(B75*(1-NZ_LandPct)+NZ_RehabBasis)</f>
        <v>1316943.3984</v>
      </c>
      <c r="E75" s="37" t="n">
        <f aca="false">B75+NZ_HOMEPayoff+NZ_RehabBasis+NZ_FinFees+'Sources &amp; Uses'!D$21+NZ_ConstrInt+'Sources &amp; Uses'!D$23+D75</f>
        <v>13312792.7348208</v>
      </c>
      <c r="F75" s="37" t="n">
        <f aca="false">NZ_SelProceeds+C75+MAX(0,NZ_BridgeCF)</f>
        <v>10094082.2255316</v>
      </c>
      <c r="G75" s="37" t="n">
        <f aca="false">E75-F75</f>
        <v>3218710.50928917</v>
      </c>
      <c r="H75" s="37" t="n">
        <f aca="false">MIN(D75,MAX(0,G75))</f>
        <v>1316943.3984</v>
      </c>
      <c r="I75" s="37" t="n">
        <f aca="false">G75-H75</f>
        <v>1901767.11088917</v>
      </c>
      <c r="J75" s="56" t="str">
        <f aca="false">IF(I75&lt;=SUBalanceTol,"YES","no")</f>
        <v>no</v>
      </c>
    </row>
    <row r="76" customFormat="false" ht="15" hidden="false" customHeight="true" outlineLevel="0" collapsed="false">
      <c r="B76" s="37" t="n">
        <f aca="false">25*$C$49</f>
        <v>2500000</v>
      </c>
      <c r="C76" s="37" t="n">
        <f aca="false">(B76*(1-NZ_LandPct)*'Tax Credit Calc'!D$12*LIHTCRate4+'Tax Credit Calc'!D$23)*10*(1-'Tax Credit Calc'!$C$5)*EquityPrice</f>
        <v>3448846.19464704</v>
      </c>
      <c r="D76" s="37" t="n">
        <f aca="false">'Sources &amp; Uses'!D$25*(B76*(1-NZ_LandPct)+NZ_RehabBasis)</f>
        <v>1329693.3984</v>
      </c>
      <c r="E76" s="37" t="n">
        <f aca="false">B76+NZ_HOMEPayoff+NZ_RehabBasis+NZ_FinFees+'Sources &amp; Uses'!D$21+NZ_ConstrInt+'Sources &amp; Uses'!D$23+D76</f>
        <v>13425542.7348208</v>
      </c>
      <c r="F76" s="37" t="n">
        <f aca="false">NZ_SelProceeds+C76+MAX(0,NZ_BridgeCF)</f>
        <v>10121010.2255316</v>
      </c>
      <c r="G76" s="37" t="n">
        <f aca="false">E76-F76</f>
        <v>3304532.50928917</v>
      </c>
      <c r="H76" s="37" t="n">
        <f aca="false">MIN(D76,MAX(0,G76))</f>
        <v>1329693.3984</v>
      </c>
      <c r="I76" s="37" t="n">
        <f aca="false">G76-H76</f>
        <v>1974839.11088917</v>
      </c>
      <c r="J76" s="56" t="str">
        <f aca="false">IF(I76&lt;=SUBalanceTol,"YES","no")</f>
        <v>no</v>
      </c>
    </row>
    <row r="77" customFormat="false" ht="15" hidden="false" customHeight="true" outlineLevel="0" collapsed="false">
      <c r="B77" s="37" t="n">
        <f aca="false">26*$C$49</f>
        <v>2600000</v>
      </c>
      <c r="C77" s="37" t="n">
        <f aca="false">(B77*(1-NZ_LandPct)*'Tax Credit Calc'!D$12*LIHTCRate4+'Tax Credit Calc'!D$23)*10*(1-'Tax Credit Calc'!$C$5)*EquityPrice</f>
        <v>3475774.19464704</v>
      </c>
      <c r="D77" s="37" t="n">
        <f aca="false">'Sources &amp; Uses'!D$25*(B77*(1-NZ_LandPct)+NZ_RehabBasis)</f>
        <v>1342443.3984</v>
      </c>
      <c r="E77" s="37" t="n">
        <f aca="false">B77+NZ_HOMEPayoff+NZ_RehabBasis+NZ_FinFees+'Sources &amp; Uses'!D$21+NZ_ConstrInt+'Sources &amp; Uses'!D$23+D77</f>
        <v>13538292.7348208</v>
      </c>
      <c r="F77" s="37" t="n">
        <f aca="false">NZ_SelProceeds+C77+MAX(0,NZ_BridgeCF)</f>
        <v>10147938.2255316</v>
      </c>
      <c r="G77" s="37" t="n">
        <f aca="false">E77-F77</f>
        <v>3390354.50928917</v>
      </c>
      <c r="H77" s="37" t="n">
        <f aca="false">MIN(D77,MAX(0,G77))</f>
        <v>1342443.3984</v>
      </c>
      <c r="I77" s="37" t="n">
        <f aca="false">G77-H77</f>
        <v>2047911.11088917</v>
      </c>
      <c r="J77" s="56" t="str">
        <f aca="false">IF(I77&lt;=SUBalanceTol,"YES","no")</f>
        <v>no</v>
      </c>
    </row>
    <row r="78" customFormat="false" ht="15" hidden="false" customHeight="true" outlineLevel="0" collapsed="false">
      <c r="B78" s="37" t="n">
        <f aca="false">27*$C$49</f>
        <v>2700000</v>
      </c>
      <c r="C78" s="37" t="n">
        <f aca="false">(B78*(1-NZ_LandPct)*'Tax Credit Calc'!D$12*LIHTCRate4+'Tax Credit Calc'!D$23)*10*(1-'Tax Credit Calc'!$C$5)*EquityPrice</f>
        <v>3502702.19464704</v>
      </c>
      <c r="D78" s="37" t="n">
        <f aca="false">'Sources &amp; Uses'!D$25*(B78*(1-NZ_LandPct)+NZ_RehabBasis)</f>
        <v>1355193.3984</v>
      </c>
      <c r="E78" s="37" t="n">
        <f aca="false">B78+NZ_HOMEPayoff+NZ_RehabBasis+NZ_FinFees+'Sources &amp; Uses'!D$21+NZ_ConstrInt+'Sources &amp; Uses'!D$23+D78</f>
        <v>13651042.7348208</v>
      </c>
      <c r="F78" s="37" t="n">
        <f aca="false">NZ_SelProceeds+C78+MAX(0,NZ_BridgeCF)</f>
        <v>10174866.2255316</v>
      </c>
      <c r="G78" s="37" t="n">
        <f aca="false">E78-F78</f>
        <v>3476176.50928917</v>
      </c>
      <c r="H78" s="37" t="n">
        <f aca="false">MIN(D78,MAX(0,G78))</f>
        <v>1355193.3984</v>
      </c>
      <c r="I78" s="37" t="n">
        <f aca="false">G78-H78</f>
        <v>2120983.11088917</v>
      </c>
      <c r="J78" s="56" t="str">
        <f aca="false">IF(I78&lt;=SUBalanceTol,"YES","no")</f>
        <v>no</v>
      </c>
    </row>
    <row r="79" customFormat="false" ht="15" hidden="false" customHeight="true" outlineLevel="0" collapsed="false">
      <c r="B79" s="37" t="n">
        <f aca="false">28*$C$49</f>
        <v>2800000</v>
      </c>
      <c r="C79" s="37" t="n">
        <f aca="false">(B79*(1-NZ_LandPct)*'Tax Credit Calc'!D$12*LIHTCRate4+'Tax Credit Calc'!D$23)*10*(1-'Tax Credit Calc'!$C$5)*EquityPrice</f>
        <v>3529630.19464704</v>
      </c>
      <c r="D79" s="37" t="n">
        <f aca="false">'Sources &amp; Uses'!D$25*(B79*(1-NZ_LandPct)+NZ_RehabBasis)</f>
        <v>1367943.3984</v>
      </c>
      <c r="E79" s="37" t="n">
        <f aca="false">B79+NZ_HOMEPayoff+NZ_RehabBasis+NZ_FinFees+'Sources &amp; Uses'!D$21+NZ_ConstrInt+'Sources &amp; Uses'!D$23+D79</f>
        <v>13763792.7348208</v>
      </c>
      <c r="F79" s="37" t="n">
        <f aca="false">NZ_SelProceeds+C79+MAX(0,NZ_BridgeCF)</f>
        <v>10201794.2255316</v>
      </c>
      <c r="G79" s="37" t="n">
        <f aca="false">E79-F79</f>
        <v>3561998.50928917</v>
      </c>
      <c r="H79" s="37" t="n">
        <f aca="false">MIN(D79,MAX(0,G79))</f>
        <v>1367943.3984</v>
      </c>
      <c r="I79" s="37" t="n">
        <f aca="false">G79-H79</f>
        <v>2194055.11088917</v>
      </c>
      <c r="J79" s="56" t="str">
        <f aca="false">IF(I79&lt;=SUBalanceTol,"YES","no")</f>
        <v>no</v>
      </c>
    </row>
    <row r="80" customFormat="false" ht="15" hidden="false" customHeight="true" outlineLevel="0" collapsed="false">
      <c r="B80" s="37" t="n">
        <f aca="false">29*$C$49</f>
        <v>2900000</v>
      </c>
      <c r="C80" s="37" t="n">
        <f aca="false">(B80*(1-NZ_LandPct)*'Tax Credit Calc'!D$12*LIHTCRate4+'Tax Credit Calc'!D$23)*10*(1-'Tax Credit Calc'!$C$5)*EquityPrice</f>
        <v>3556558.19464704</v>
      </c>
      <c r="D80" s="37" t="n">
        <f aca="false">'Sources &amp; Uses'!D$25*(B80*(1-NZ_LandPct)+NZ_RehabBasis)</f>
        <v>1380693.3984</v>
      </c>
      <c r="E80" s="37" t="n">
        <f aca="false">B80+NZ_HOMEPayoff+NZ_RehabBasis+NZ_FinFees+'Sources &amp; Uses'!D$21+NZ_ConstrInt+'Sources &amp; Uses'!D$23+D80</f>
        <v>13876542.7348208</v>
      </c>
      <c r="F80" s="37" t="n">
        <f aca="false">NZ_SelProceeds+C80+MAX(0,NZ_BridgeCF)</f>
        <v>10228722.2255316</v>
      </c>
      <c r="G80" s="37" t="n">
        <f aca="false">E80-F80</f>
        <v>3647820.50928917</v>
      </c>
      <c r="H80" s="37" t="n">
        <f aca="false">MIN(D80,MAX(0,G80))</f>
        <v>1380693.3984</v>
      </c>
      <c r="I80" s="37" t="n">
        <f aca="false">G80-H80</f>
        <v>2267127.11088917</v>
      </c>
      <c r="J80" s="56" t="str">
        <f aca="false">IF(I80&lt;=SUBalanceTol,"YES","no")</f>
        <v>no</v>
      </c>
    </row>
    <row r="81" customFormat="false" ht="15" hidden="false" customHeight="true" outlineLevel="0" collapsed="false">
      <c r="B81" s="37" t="n">
        <f aca="false">30*$C$49</f>
        <v>3000000</v>
      </c>
      <c r="C81" s="37" t="n">
        <f aca="false">(B81*(1-NZ_LandPct)*'Tax Credit Calc'!D$12*LIHTCRate4+'Tax Credit Calc'!D$23)*10*(1-'Tax Credit Calc'!$C$5)*EquityPrice</f>
        <v>3583486.19464704</v>
      </c>
      <c r="D81" s="37" t="n">
        <f aca="false">'Sources &amp; Uses'!D$25*(B81*(1-NZ_LandPct)+NZ_RehabBasis)</f>
        <v>1393443.3984</v>
      </c>
      <c r="E81" s="37" t="n">
        <f aca="false">B81+NZ_HOMEPayoff+NZ_RehabBasis+NZ_FinFees+'Sources &amp; Uses'!D$21+NZ_ConstrInt+'Sources &amp; Uses'!D$23+D81</f>
        <v>13989292.7348208</v>
      </c>
      <c r="F81" s="37" t="n">
        <f aca="false">NZ_SelProceeds+C81+MAX(0,NZ_BridgeCF)</f>
        <v>10255650.2255316</v>
      </c>
      <c r="G81" s="37" t="n">
        <f aca="false">E81-F81</f>
        <v>3733642.50928917</v>
      </c>
      <c r="H81" s="37" t="n">
        <f aca="false">MIN(D81,MAX(0,G81))</f>
        <v>1393443.3984</v>
      </c>
      <c r="I81" s="37" t="n">
        <f aca="false">G81-H81</f>
        <v>2340199.11088917</v>
      </c>
      <c r="J81" s="56" t="str">
        <f aca="false">IF(I81&lt;=SUBalanceTol,"YES","no")</f>
        <v>no</v>
      </c>
    </row>
    <row r="82" customFormat="false" ht="15" hidden="false" customHeight="true" outlineLevel="0" collapsed="false">
      <c r="B82" s="37" t="n">
        <f aca="false">31*$C$49</f>
        <v>3100000</v>
      </c>
      <c r="C82" s="37" t="n">
        <f aca="false">(B82*(1-NZ_LandPct)*'Tax Credit Calc'!D$12*LIHTCRate4+'Tax Credit Calc'!D$23)*10*(1-'Tax Credit Calc'!$C$5)*EquityPrice</f>
        <v>3610414.19464704</v>
      </c>
      <c r="D82" s="37" t="n">
        <f aca="false">'Sources &amp; Uses'!D$25*(B82*(1-NZ_LandPct)+NZ_RehabBasis)</f>
        <v>1406193.3984</v>
      </c>
      <c r="E82" s="37" t="n">
        <f aca="false">B82+NZ_HOMEPayoff+NZ_RehabBasis+NZ_FinFees+'Sources &amp; Uses'!D$21+NZ_ConstrInt+'Sources &amp; Uses'!D$23+D82</f>
        <v>14102042.7348208</v>
      </c>
      <c r="F82" s="37" t="n">
        <f aca="false">NZ_SelProceeds+C82+MAX(0,NZ_BridgeCF)</f>
        <v>10282578.2255316</v>
      </c>
      <c r="G82" s="37" t="n">
        <f aca="false">E82-F82</f>
        <v>3819464.50928917</v>
      </c>
      <c r="H82" s="37" t="n">
        <f aca="false">MIN(D82,MAX(0,G82))</f>
        <v>1406193.3984</v>
      </c>
      <c r="I82" s="37" t="n">
        <f aca="false">G82-H82</f>
        <v>2413271.11088917</v>
      </c>
      <c r="J82" s="56" t="str">
        <f aca="false">IF(I82&lt;=SUBalanceTol,"YES","no")</f>
        <v>no</v>
      </c>
    </row>
    <row r="83" customFormat="false" ht="15" hidden="false" customHeight="true" outlineLevel="0" collapsed="false">
      <c r="B83" s="37" t="n">
        <f aca="false">32*$C$49</f>
        <v>3200000</v>
      </c>
      <c r="C83" s="37" t="n">
        <f aca="false">(B83*(1-NZ_LandPct)*'Tax Credit Calc'!D$12*LIHTCRate4+'Tax Credit Calc'!D$23)*10*(1-'Tax Credit Calc'!$C$5)*EquityPrice</f>
        <v>3637342.19464704</v>
      </c>
      <c r="D83" s="37" t="n">
        <f aca="false">'Sources &amp; Uses'!D$25*(B83*(1-NZ_LandPct)+NZ_RehabBasis)</f>
        <v>1418943.3984</v>
      </c>
      <c r="E83" s="37" t="n">
        <f aca="false">B83+NZ_HOMEPayoff+NZ_RehabBasis+NZ_FinFees+'Sources &amp; Uses'!D$21+NZ_ConstrInt+'Sources &amp; Uses'!D$23+D83</f>
        <v>14214792.7348208</v>
      </c>
      <c r="F83" s="37" t="n">
        <f aca="false">NZ_SelProceeds+C83+MAX(0,NZ_BridgeCF)</f>
        <v>10309506.2255316</v>
      </c>
      <c r="G83" s="37" t="n">
        <f aca="false">E83-F83</f>
        <v>3905286.50928917</v>
      </c>
      <c r="H83" s="37" t="n">
        <f aca="false">MIN(D83,MAX(0,G83))</f>
        <v>1418943.3984</v>
      </c>
      <c r="I83" s="37" t="n">
        <f aca="false">G83-H83</f>
        <v>2486343.11088917</v>
      </c>
      <c r="J83" s="56" t="str">
        <f aca="false">IF(I83&lt;=SUBalanceTol,"YES","no")</f>
        <v>no</v>
      </c>
    </row>
    <row r="84" customFormat="false" ht="15" hidden="false" customHeight="true" outlineLevel="0" collapsed="false">
      <c r="B84" s="37" t="n">
        <f aca="false">33*$C$49</f>
        <v>3300000</v>
      </c>
      <c r="C84" s="37" t="n">
        <f aca="false">(B84*(1-NZ_LandPct)*'Tax Credit Calc'!D$12*LIHTCRate4+'Tax Credit Calc'!D$23)*10*(1-'Tax Credit Calc'!$C$5)*EquityPrice</f>
        <v>3664270.19464704</v>
      </c>
      <c r="D84" s="37" t="n">
        <f aca="false">'Sources &amp; Uses'!D$25*(B84*(1-NZ_LandPct)+NZ_RehabBasis)</f>
        <v>1431693.3984</v>
      </c>
      <c r="E84" s="37" t="n">
        <f aca="false">B84+NZ_HOMEPayoff+NZ_RehabBasis+NZ_FinFees+'Sources &amp; Uses'!D$21+NZ_ConstrInt+'Sources &amp; Uses'!D$23+D84</f>
        <v>14327542.7348208</v>
      </c>
      <c r="F84" s="37" t="n">
        <f aca="false">NZ_SelProceeds+C84+MAX(0,NZ_BridgeCF)</f>
        <v>10336434.2255316</v>
      </c>
      <c r="G84" s="37" t="n">
        <f aca="false">E84-F84</f>
        <v>3991108.50928917</v>
      </c>
      <c r="H84" s="37" t="n">
        <f aca="false">MIN(D84,MAX(0,G84))</f>
        <v>1431693.3984</v>
      </c>
      <c r="I84" s="37" t="n">
        <f aca="false">G84-H84</f>
        <v>2559415.11088917</v>
      </c>
      <c r="J84" s="56" t="str">
        <f aca="false">IF(I84&lt;=SUBalanceTol,"YES","no")</f>
        <v>no</v>
      </c>
    </row>
    <row r="85" customFormat="false" ht="15" hidden="false" customHeight="true" outlineLevel="0" collapsed="false">
      <c r="B85" s="37" t="n">
        <f aca="false">34*$C$49</f>
        <v>3400000</v>
      </c>
      <c r="C85" s="37" t="n">
        <f aca="false">(B85*(1-NZ_LandPct)*'Tax Credit Calc'!D$12*LIHTCRate4+'Tax Credit Calc'!D$23)*10*(1-'Tax Credit Calc'!$C$5)*EquityPrice</f>
        <v>3691198.19464704</v>
      </c>
      <c r="D85" s="37" t="n">
        <f aca="false">'Sources &amp; Uses'!D$25*(B85*(1-NZ_LandPct)+NZ_RehabBasis)</f>
        <v>1444443.3984</v>
      </c>
      <c r="E85" s="37" t="n">
        <f aca="false">B85+NZ_HOMEPayoff+NZ_RehabBasis+NZ_FinFees+'Sources &amp; Uses'!D$21+NZ_ConstrInt+'Sources &amp; Uses'!D$23+D85</f>
        <v>14440292.7348208</v>
      </c>
      <c r="F85" s="37" t="n">
        <f aca="false">NZ_SelProceeds+C85+MAX(0,NZ_BridgeCF)</f>
        <v>10363362.2255316</v>
      </c>
      <c r="G85" s="37" t="n">
        <f aca="false">E85-F85</f>
        <v>4076930.50928917</v>
      </c>
      <c r="H85" s="37" t="n">
        <f aca="false">MIN(D85,MAX(0,G85))</f>
        <v>1444443.3984</v>
      </c>
      <c r="I85" s="37" t="n">
        <f aca="false">G85-H85</f>
        <v>2632487.11088917</v>
      </c>
      <c r="J85" s="56" t="str">
        <f aca="false">IF(I85&lt;=SUBalanceTol,"YES","no")</f>
        <v>no</v>
      </c>
    </row>
    <row r="86" customFormat="false" ht="15" hidden="false" customHeight="true" outlineLevel="0" collapsed="false">
      <c r="B86" s="37" t="n">
        <f aca="false">35*$C$49</f>
        <v>3500000</v>
      </c>
      <c r="C86" s="37" t="n">
        <f aca="false">(B86*(1-NZ_LandPct)*'Tax Credit Calc'!D$12*LIHTCRate4+'Tax Credit Calc'!D$23)*10*(1-'Tax Credit Calc'!$C$5)*EquityPrice</f>
        <v>3718126.19464704</v>
      </c>
      <c r="D86" s="37" t="n">
        <f aca="false">'Sources &amp; Uses'!D$25*(B86*(1-NZ_LandPct)+NZ_RehabBasis)</f>
        <v>1457193.3984</v>
      </c>
      <c r="E86" s="37" t="n">
        <f aca="false">B86+NZ_HOMEPayoff+NZ_RehabBasis+NZ_FinFees+'Sources &amp; Uses'!D$21+NZ_ConstrInt+'Sources &amp; Uses'!D$23+D86</f>
        <v>14553042.7348208</v>
      </c>
      <c r="F86" s="37" t="n">
        <f aca="false">NZ_SelProceeds+C86+MAX(0,NZ_BridgeCF)</f>
        <v>10390290.2255316</v>
      </c>
      <c r="G86" s="37" t="n">
        <f aca="false">E86-F86</f>
        <v>4162752.50928917</v>
      </c>
      <c r="H86" s="37" t="n">
        <f aca="false">MIN(D86,MAX(0,G86))</f>
        <v>1457193.3984</v>
      </c>
      <c r="I86" s="37" t="n">
        <f aca="false">G86-H86</f>
        <v>2705559.11088917</v>
      </c>
      <c r="J86" s="56" t="str">
        <f aca="false">IF(I86&lt;=SUBalanceTol,"YES","no")</f>
        <v>no</v>
      </c>
    </row>
    <row r="87" customFormat="false" ht="15" hidden="false" customHeight="true" outlineLevel="0" collapsed="false">
      <c r="B87" s="19" t="s">
        <v>848</v>
      </c>
      <c r="C87" s="21" t="n">
        <f aca="false">IFERROR(INDEX(B51:B86,COUNTIF(J51:J86,"YES")),0)</f>
        <v>0</v>
      </c>
      <c r="E87" s="13" t="s">
        <v>849</v>
      </c>
      <c r="F87" s="37" t="n">
        <f aca="false">C89/NZ_Units</f>
        <v>0</v>
      </c>
    </row>
    <row r="88" customFormat="false" ht="15" hidden="false" customHeight="true" outlineLevel="0" collapsed="false">
      <c r="B88" s="13" t="s">
        <v>850</v>
      </c>
      <c r="C88" s="66" t="n">
        <f aca="false">MIN(0,NZ_BridgeCF)</f>
        <v>0</v>
      </c>
      <c r="E88" s="13" t="s">
        <v>851</v>
      </c>
      <c r="F88" s="61" t="n">
        <v>53267</v>
      </c>
    </row>
    <row r="89" customFormat="false" ht="15" hidden="false" customHeight="true" outlineLevel="0" collapsed="false">
      <c r="B89" s="19" t="s">
        <v>852</v>
      </c>
      <c r="C89" s="99" t="n">
        <f aca="false">MAX(0,C87+C88)</f>
        <v>0</v>
      </c>
      <c r="E89" s="13" t="s">
        <v>853</v>
      </c>
      <c r="F89" s="73" t="str">
        <f aca="false">IF(C89=0,"n/a",472948/C89)</f>
        <v>n/a</v>
      </c>
      <c r="H89" s="13" t="s">
        <v>854</v>
      </c>
      <c r="J89" s="73" t="str">
        <f aca="false">IF(C89=0,"n/a",129368/C89)</f>
        <v>n/a</v>
      </c>
    </row>
    <row r="92" customFormat="false" ht="15" hidden="false" customHeight="true" outlineLevel="0" collapsed="false">
      <c r="B92" s="3" t="s">
        <v>856</v>
      </c>
      <c r="C92" s="3"/>
      <c r="D92" s="3"/>
      <c r="E92" s="3"/>
      <c r="F92" s="3"/>
      <c r="G92" s="3"/>
      <c r="H92" s="3"/>
      <c r="I92" s="3"/>
      <c r="J92" s="3"/>
    </row>
    <row r="93" customFormat="false" ht="15" hidden="false" customHeight="true" outlineLevel="0" collapsed="false">
      <c r="B93" s="13" t="s">
        <v>838</v>
      </c>
      <c r="C93" s="61" t="n">
        <v>150000</v>
      </c>
    </row>
    <row r="94" customFormat="false" ht="15" hidden="false" customHeight="true" outlineLevel="0" collapsed="false">
      <c r="B94" s="40" t="s">
        <v>839</v>
      </c>
      <c r="C94" s="40" t="s">
        <v>840</v>
      </c>
      <c r="D94" s="40" t="s">
        <v>841</v>
      </c>
      <c r="E94" s="40" t="s">
        <v>842</v>
      </c>
      <c r="F94" s="40" t="s">
        <v>843</v>
      </c>
      <c r="G94" s="40" t="s">
        <v>844</v>
      </c>
      <c r="H94" s="40" t="s">
        <v>845</v>
      </c>
      <c r="I94" s="40" t="s">
        <v>846</v>
      </c>
      <c r="J94" s="40" t="s">
        <v>847</v>
      </c>
    </row>
    <row r="95" customFormat="false" ht="15" hidden="false" customHeight="true" outlineLevel="0" collapsed="false">
      <c r="B95" s="37" t="n">
        <f aca="false">0*$C$93</f>
        <v>0</v>
      </c>
      <c r="C95" s="37" t="n">
        <f aca="false">(B95*(1-LOM_LandPct)*'Tax Credit Calc'!E$12*LIHTCRate4+'Tax Credit Calc'!E$23)*10*(1-'Tax Credit Calc'!$C$5)*EquityPrice</f>
        <v>3303018.97162998</v>
      </c>
      <c r="D95" s="37" t="n">
        <f aca="false">'Sources &amp; Uses'!E$25*(B95*(1-LOM_LandPct)+LOM_RehabBasis)</f>
        <v>1203022.644096</v>
      </c>
      <c r="E95" s="37" t="n">
        <f aca="false">B95+0+LOM_RehabBasis+LOM_FinFees+'Sources &amp; Uses'!E$21+LOM_ConstrInt+'Sources &amp; Uses'!E$23+D95</f>
        <v>10244018.2352744</v>
      </c>
      <c r="F95" s="37" t="n">
        <f aca="false">LOM_SelProceeds+C95+MAX(0,LOM_BridgeCF)</f>
        <v>11247051.461854</v>
      </c>
      <c r="G95" s="37" t="n">
        <f aca="false">E95-F95</f>
        <v>-1003033.22657961</v>
      </c>
      <c r="H95" s="37" t="n">
        <f aca="false">MIN(D95,MAX(0,G95))</f>
        <v>0</v>
      </c>
      <c r="I95" s="37" t="n">
        <f aca="false">G95-H95</f>
        <v>-1003033.22657961</v>
      </c>
      <c r="J95" s="56" t="str">
        <f aca="false">IF(I95&lt;=SUBalanceTol,"YES","no")</f>
        <v>YES</v>
      </c>
    </row>
    <row r="96" customFormat="false" ht="15" hidden="false" customHeight="true" outlineLevel="0" collapsed="false">
      <c r="B96" s="37" t="n">
        <f aca="false">1*$C$93</f>
        <v>150000</v>
      </c>
      <c r="C96" s="37" t="n">
        <f aca="false">(B96*(1-LOM_LandPct)*'Tax Credit Calc'!E$12*LIHTCRate4+'Tax Credit Calc'!E$23)*10*(1-'Tax Credit Calc'!$C$5)*EquityPrice</f>
        <v>3343410.97162998</v>
      </c>
      <c r="D96" s="37" t="n">
        <f aca="false">'Sources &amp; Uses'!E$25*(B96*(1-LOM_LandPct)+LOM_RehabBasis)</f>
        <v>1222147.644096</v>
      </c>
      <c r="E96" s="37" t="n">
        <f aca="false">B96+0+LOM_RehabBasis+LOM_FinFees+'Sources &amp; Uses'!E$21+LOM_ConstrInt+'Sources &amp; Uses'!E$23+D96</f>
        <v>10413143.2352744</v>
      </c>
      <c r="F96" s="37" t="n">
        <f aca="false">LOM_SelProceeds+C96+MAX(0,LOM_BridgeCF)</f>
        <v>11287443.461854</v>
      </c>
      <c r="G96" s="37" t="n">
        <f aca="false">E96-F96</f>
        <v>-874300.226579605</v>
      </c>
      <c r="H96" s="37" t="n">
        <f aca="false">MIN(D96,MAX(0,G96))</f>
        <v>0</v>
      </c>
      <c r="I96" s="37" t="n">
        <f aca="false">G96-H96</f>
        <v>-874300.226579605</v>
      </c>
      <c r="J96" s="56" t="str">
        <f aca="false">IF(I96&lt;=SUBalanceTol,"YES","no")</f>
        <v>YES</v>
      </c>
    </row>
    <row r="97" customFormat="false" ht="15" hidden="false" customHeight="true" outlineLevel="0" collapsed="false">
      <c r="B97" s="37" t="n">
        <f aca="false">2*$C$93</f>
        <v>300000</v>
      </c>
      <c r="C97" s="37" t="n">
        <f aca="false">(B97*(1-LOM_LandPct)*'Tax Credit Calc'!E$12*LIHTCRate4+'Tax Credit Calc'!E$23)*10*(1-'Tax Credit Calc'!$C$5)*EquityPrice</f>
        <v>3383802.97162998</v>
      </c>
      <c r="D97" s="37" t="n">
        <f aca="false">'Sources &amp; Uses'!E$25*(B97*(1-LOM_LandPct)+LOM_RehabBasis)</f>
        <v>1241272.644096</v>
      </c>
      <c r="E97" s="37" t="n">
        <f aca="false">B97+0+LOM_RehabBasis+LOM_FinFees+'Sources &amp; Uses'!E$21+LOM_ConstrInt+'Sources &amp; Uses'!E$23+D97</f>
        <v>10582268.2352744</v>
      </c>
      <c r="F97" s="37" t="n">
        <f aca="false">LOM_SelProceeds+C97+MAX(0,LOM_BridgeCF)</f>
        <v>11327835.461854</v>
      </c>
      <c r="G97" s="37" t="n">
        <f aca="false">E97-F97</f>
        <v>-745567.226579605</v>
      </c>
      <c r="H97" s="37" t="n">
        <f aca="false">MIN(D97,MAX(0,G97))</f>
        <v>0</v>
      </c>
      <c r="I97" s="37" t="n">
        <f aca="false">G97-H97</f>
        <v>-745567.226579605</v>
      </c>
      <c r="J97" s="56" t="str">
        <f aca="false">IF(I97&lt;=SUBalanceTol,"YES","no")</f>
        <v>YES</v>
      </c>
    </row>
    <row r="98" customFormat="false" ht="15" hidden="false" customHeight="true" outlineLevel="0" collapsed="false">
      <c r="B98" s="37" t="n">
        <f aca="false">3*$C$93</f>
        <v>450000</v>
      </c>
      <c r="C98" s="37" t="n">
        <f aca="false">(B98*(1-LOM_LandPct)*'Tax Credit Calc'!E$12*LIHTCRate4+'Tax Credit Calc'!E$23)*10*(1-'Tax Credit Calc'!$C$5)*EquityPrice</f>
        <v>3424194.97162998</v>
      </c>
      <c r="D98" s="37" t="n">
        <f aca="false">'Sources &amp; Uses'!E$25*(B98*(1-LOM_LandPct)+LOM_RehabBasis)</f>
        <v>1260397.644096</v>
      </c>
      <c r="E98" s="37" t="n">
        <f aca="false">B98+0+LOM_RehabBasis+LOM_FinFees+'Sources &amp; Uses'!E$21+LOM_ConstrInt+'Sources &amp; Uses'!E$23+D98</f>
        <v>10751393.2352744</v>
      </c>
      <c r="F98" s="37" t="n">
        <f aca="false">LOM_SelProceeds+C98+MAX(0,LOM_BridgeCF)</f>
        <v>11368227.461854</v>
      </c>
      <c r="G98" s="37" t="n">
        <f aca="false">E98-F98</f>
        <v>-616834.226579605</v>
      </c>
      <c r="H98" s="37" t="n">
        <f aca="false">MIN(D98,MAX(0,G98))</f>
        <v>0</v>
      </c>
      <c r="I98" s="37" t="n">
        <f aca="false">G98-H98</f>
        <v>-616834.226579605</v>
      </c>
      <c r="J98" s="56" t="str">
        <f aca="false">IF(I98&lt;=SUBalanceTol,"YES","no")</f>
        <v>YES</v>
      </c>
    </row>
    <row r="99" customFormat="false" ht="15" hidden="false" customHeight="true" outlineLevel="0" collapsed="false">
      <c r="B99" s="37" t="n">
        <f aca="false">4*$C$93</f>
        <v>600000</v>
      </c>
      <c r="C99" s="37" t="n">
        <f aca="false">(B99*(1-LOM_LandPct)*'Tax Credit Calc'!E$12*LIHTCRate4+'Tax Credit Calc'!E$23)*10*(1-'Tax Credit Calc'!$C$5)*EquityPrice</f>
        <v>3464586.97162998</v>
      </c>
      <c r="D99" s="37" t="n">
        <f aca="false">'Sources &amp; Uses'!E$25*(B99*(1-LOM_LandPct)+LOM_RehabBasis)</f>
        <v>1279522.644096</v>
      </c>
      <c r="E99" s="37" t="n">
        <f aca="false">B99+0+LOM_RehabBasis+LOM_FinFees+'Sources &amp; Uses'!E$21+LOM_ConstrInt+'Sources &amp; Uses'!E$23+D99</f>
        <v>10920518.2352744</v>
      </c>
      <c r="F99" s="37" t="n">
        <f aca="false">LOM_SelProceeds+C99+MAX(0,LOM_BridgeCF)</f>
        <v>11408619.461854</v>
      </c>
      <c r="G99" s="37" t="n">
        <f aca="false">E99-F99</f>
        <v>-488101.226579605</v>
      </c>
      <c r="H99" s="37" t="n">
        <f aca="false">MIN(D99,MAX(0,G99))</f>
        <v>0</v>
      </c>
      <c r="I99" s="37" t="n">
        <f aca="false">G99-H99</f>
        <v>-488101.226579605</v>
      </c>
      <c r="J99" s="56" t="str">
        <f aca="false">IF(I99&lt;=SUBalanceTol,"YES","no")</f>
        <v>YES</v>
      </c>
    </row>
    <row r="100" customFormat="false" ht="15" hidden="false" customHeight="true" outlineLevel="0" collapsed="false">
      <c r="B100" s="37" t="n">
        <f aca="false">5*$C$93</f>
        <v>750000</v>
      </c>
      <c r="C100" s="37" t="n">
        <f aca="false">(B100*(1-LOM_LandPct)*'Tax Credit Calc'!E$12*LIHTCRate4+'Tax Credit Calc'!E$23)*10*(1-'Tax Credit Calc'!$C$5)*EquityPrice</f>
        <v>3504978.97162998</v>
      </c>
      <c r="D100" s="37" t="n">
        <f aca="false">'Sources &amp; Uses'!E$25*(B100*(1-LOM_LandPct)+LOM_RehabBasis)</f>
        <v>1298647.644096</v>
      </c>
      <c r="E100" s="37" t="n">
        <f aca="false">B100+0+LOM_RehabBasis+LOM_FinFees+'Sources &amp; Uses'!E$21+LOM_ConstrInt+'Sources &amp; Uses'!E$23+D100</f>
        <v>11089643.2352744</v>
      </c>
      <c r="F100" s="37" t="n">
        <f aca="false">LOM_SelProceeds+C100+MAX(0,LOM_BridgeCF)</f>
        <v>11449011.461854</v>
      </c>
      <c r="G100" s="37" t="n">
        <f aca="false">E100-F100</f>
        <v>-359368.226579605</v>
      </c>
      <c r="H100" s="37" t="n">
        <f aca="false">MIN(D100,MAX(0,G100))</f>
        <v>0</v>
      </c>
      <c r="I100" s="37" t="n">
        <f aca="false">G100-H100</f>
        <v>-359368.226579605</v>
      </c>
      <c r="J100" s="56" t="str">
        <f aca="false">IF(I100&lt;=SUBalanceTol,"YES","no")</f>
        <v>YES</v>
      </c>
    </row>
    <row r="101" customFormat="false" ht="15" hidden="false" customHeight="true" outlineLevel="0" collapsed="false">
      <c r="B101" s="37" t="n">
        <f aca="false">6*$C$93</f>
        <v>900000</v>
      </c>
      <c r="C101" s="37" t="n">
        <f aca="false">(B101*(1-LOM_LandPct)*'Tax Credit Calc'!E$12*LIHTCRate4+'Tax Credit Calc'!E$23)*10*(1-'Tax Credit Calc'!$C$5)*EquityPrice</f>
        <v>3545370.97162998</v>
      </c>
      <c r="D101" s="37" t="n">
        <f aca="false">'Sources &amp; Uses'!E$25*(B101*(1-LOM_LandPct)+LOM_RehabBasis)</f>
        <v>1317772.644096</v>
      </c>
      <c r="E101" s="37" t="n">
        <f aca="false">B101+0+LOM_RehabBasis+LOM_FinFees+'Sources &amp; Uses'!E$21+LOM_ConstrInt+'Sources &amp; Uses'!E$23+D101</f>
        <v>11258768.2352744</v>
      </c>
      <c r="F101" s="37" t="n">
        <f aca="false">LOM_SelProceeds+C101+MAX(0,LOM_BridgeCF)</f>
        <v>11489403.461854</v>
      </c>
      <c r="G101" s="37" t="n">
        <f aca="false">E101-F101</f>
        <v>-230635.226579605</v>
      </c>
      <c r="H101" s="37" t="n">
        <f aca="false">MIN(D101,MAX(0,G101))</f>
        <v>0</v>
      </c>
      <c r="I101" s="37" t="n">
        <f aca="false">G101-H101</f>
        <v>-230635.226579605</v>
      </c>
      <c r="J101" s="56" t="str">
        <f aca="false">IF(I101&lt;=SUBalanceTol,"YES","no")</f>
        <v>YES</v>
      </c>
    </row>
    <row r="102" customFormat="false" ht="15" hidden="false" customHeight="true" outlineLevel="0" collapsed="false">
      <c r="B102" s="37" t="n">
        <f aca="false">7*$C$93</f>
        <v>1050000</v>
      </c>
      <c r="C102" s="37" t="n">
        <f aca="false">(B102*(1-LOM_LandPct)*'Tax Credit Calc'!E$12*LIHTCRate4+'Tax Credit Calc'!E$23)*10*(1-'Tax Credit Calc'!$C$5)*EquityPrice</f>
        <v>3585762.97162998</v>
      </c>
      <c r="D102" s="37" t="n">
        <f aca="false">'Sources &amp; Uses'!E$25*(B102*(1-LOM_LandPct)+LOM_RehabBasis)</f>
        <v>1336897.644096</v>
      </c>
      <c r="E102" s="37" t="n">
        <f aca="false">B102+0+LOM_RehabBasis+LOM_FinFees+'Sources &amp; Uses'!E$21+LOM_ConstrInt+'Sources &amp; Uses'!E$23+D102</f>
        <v>11427893.2352744</v>
      </c>
      <c r="F102" s="37" t="n">
        <f aca="false">LOM_SelProceeds+C102+MAX(0,LOM_BridgeCF)</f>
        <v>11529795.461854</v>
      </c>
      <c r="G102" s="37" t="n">
        <f aca="false">E102-F102</f>
        <v>-101902.226579605</v>
      </c>
      <c r="H102" s="37" t="n">
        <f aca="false">MIN(D102,MAX(0,G102))</f>
        <v>0</v>
      </c>
      <c r="I102" s="37" t="n">
        <f aca="false">G102-H102</f>
        <v>-101902.226579605</v>
      </c>
      <c r="J102" s="56" t="str">
        <f aca="false">IF(I102&lt;=SUBalanceTol,"YES","no")</f>
        <v>YES</v>
      </c>
    </row>
    <row r="103" customFormat="false" ht="15" hidden="false" customHeight="true" outlineLevel="0" collapsed="false">
      <c r="B103" s="37" t="n">
        <f aca="false">8*$C$93</f>
        <v>1200000</v>
      </c>
      <c r="C103" s="37" t="n">
        <f aca="false">(B103*(1-LOM_LandPct)*'Tax Credit Calc'!E$12*LIHTCRate4+'Tax Credit Calc'!E$23)*10*(1-'Tax Credit Calc'!$C$5)*EquityPrice</f>
        <v>3626154.97162998</v>
      </c>
      <c r="D103" s="37" t="n">
        <f aca="false">'Sources &amp; Uses'!E$25*(B103*(1-LOM_LandPct)+LOM_RehabBasis)</f>
        <v>1356022.644096</v>
      </c>
      <c r="E103" s="37" t="n">
        <f aca="false">B103+0+LOM_RehabBasis+LOM_FinFees+'Sources &amp; Uses'!E$21+LOM_ConstrInt+'Sources &amp; Uses'!E$23+D103</f>
        <v>11597018.2352744</v>
      </c>
      <c r="F103" s="37" t="n">
        <f aca="false">LOM_SelProceeds+C103+MAX(0,LOM_BridgeCF)</f>
        <v>11570187.461854</v>
      </c>
      <c r="G103" s="37" t="n">
        <f aca="false">E103-F103</f>
        <v>26830.7734203953</v>
      </c>
      <c r="H103" s="37" t="n">
        <f aca="false">MIN(D103,MAX(0,G103))</f>
        <v>26830.7734203953</v>
      </c>
      <c r="I103" s="37" t="n">
        <f aca="false">G103-H103</f>
        <v>0</v>
      </c>
      <c r="J103" s="56" t="str">
        <f aca="false">IF(I103&lt;=SUBalanceTol,"YES","no")</f>
        <v>YES</v>
      </c>
    </row>
    <row r="104" customFormat="false" ht="15" hidden="false" customHeight="true" outlineLevel="0" collapsed="false">
      <c r="B104" s="37" t="n">
        <f aca="false">9*$C$93</f>
        <v>1350000</v>
      </c>
      <c r="C104" s="37" t="n">
        <f aca="false">(B104*(1-LOM_LandPct)*'Tax Credit Calc'!E$12*LIHTCRate4+'Tax Credit Calc'!E$23)*10*(1-'Tax Credit Calc'!$C$5)*EquityPrice</f>
        <v>3666546.97162998</v>
      </c>
      <c r="D104" s="37" t="n">
        <f aca="false">'Sources &amp; Uses'!E$25*(B104*(1-LOM_LandPct)+LOM_RehabBasis)</f>
        <v>1375147.644096</v>
      </c>
      <c r="E104" s="37" t="n">
        <f aca="false">B104+0+LOM_RehabBasis+LOM_FinFees+'Sources &amp; Uses'!E$21+LOM_ConstrInt+'Sources &amp; Uses'!E$23+D104</f>
        <v>11766143.2352744</v>
      </c>
      <c r="F104" s="37" t="n">
        <f aca="false">LOM_SelProceeds+C104+MAX(0,LOM_BridgeCF)</f>
        <v>11610579.461854</v>
      </c>
      <c r="G104" s="37" t="n">
        <f aca="false">E104-F104</f>
        <v>155563.773420395</v>
      </c>
      <c r="H104" s="37" t="n">
        <f aca="false">MIN(D104,MAX(0,G104))</f>
        <v>155563.773420395</v>
      </c>
      <c r="I104" s="37" t="n">
        <f aca="false">G104-H104</f>
        <v>0</v>
      </c>
      <c r="J104" s="56" t="str">
        <f aca="false">IF(I104&lt;=SUBalanceTol,"YES","no")</f>
        <v>YES</v>
      </c>
    </row>
    <row r="105" customFormat="false" ht="15" hidden="false" customHeight="true" outlineLevel="0" collapsed="false">
      <c r="B105" s="37" t="n">
        <f aca="false">10*$C$93</f>
        <v>1500000</v>
      </c>
      <c r="C105" s="37" t="n">
        <f aca="false">(B105*(1-LOM_LandPct)*'Tax Credit Calc'!E$12*LIHTCRate4+'Tax Credit Calc'!E$23)*10*(1-'Tax Credit Calc'!$C$5)*EquityPrice</f>
        <v>3706938.97162998</v>
      </c>
      <c r="D105" s="37" t="n">
        <f aca="false">'Sources &amp; Uses'!E$25*(B105*(1-LOM_LandPct)+LOM_RehabBasis)</f>
        <v>1394272.644096</v>
      </c>
      <c r="E105" s="37" t="n">
        <f aca="false">B105+0+LOM_RehabBasis+LOM_FinFees+'Sources &amp; Uses'!E$21+LOM_ConstrInt+'Sources &amp; Uses'!E$23+D105</f>
        <v>11935268.2352744</v>
      </c>
      <c r="F105" s="37" t="n">
        <f aca="false">LOM_SelProceeds+C105+MAX(0,LOM_BridgeCF)</f>
        <v>11650971.461854</v>
      </c>
      <c r="G105" s="37" t="n">
        <f aca="false">E105-F105</f>
        <v>284296.773420395</v>
      </c>
      <c r="H105" s="37" t="n">
        <f aca="false">MIN(D105,MAX(0,G105))</f>
        <v>284296.773420395</v>
      </c>
      <c r="I105" s="37" t="n">
        <f aca="false">G105-H105</f>
        <v>0</v>
      </c>
      <c r="J105" s="56" t="str">
        <f aca="false">IF(I105&lt;=SUBalanceTol,"YES","no")</f>
        <v>YES</v>
      </c>
    </row>
    <row r="106" customFormat="false" ht="15" hidden="false" customHeight="true" outlineLevel="0" collapsed="false">
      <c r="B106" s="37" t="n">
        <f aca="false">11*$C$93</f>
        <v>1650000</v>
      </c>
      <c r="C106" s="37" t="n">
        <f aca="false">(B106*(1-LOM_LandPct)*'Tax Credit Calc'!E$12*LIHTCRate4+'Tax Credit Calc'!E$23)*10*(1-'Tax Credit Calc'!$C$5)*EquityPrice</f>
        <v>3747330.97162998</v>
      </c>
      <c r="D106" s="37" t="n">
        <f aca="false">'Sources &amp; Uses'!E$25*(B106*(1-LOM_LandPct)+LOM_RehabBasis)</f>
        <v>1413397.644096</v>
      </c>
      <c r="E106" s="37" t="n">
        <f aca="false">B106+0+LOM_RehabBasis+LOM_FinFees+'Sources &amp; Uses'!E$21+LOM_ConstrInt+'Sources &amp; Uses'!E$23+D106</f>
        <v>12104393.2352744</v>
      </c>
      <c r="F106" s="37" t="n">
        <f aca="false">LOM_SelProceeds+C106+MAX(0,LOM_BridgeCF)</f>
        <v>11691363.461854</v>
      </c>
      <c r="G106" s="37" t="n">
        <f aca="false">E106-F106</f>
        <v>413029.773420395</v>
      </c>
      <c r="H106" s="37" t="n">
        <f aca="false">MIN(D106,MAX(0,G106))</f>
        <v>413029.773420395</v>
      </c>
      <c r="I106" s="37" t="n">
        <f aca="false">G106-H106</f>
        <v>0</v>
      </c>
      <c r="J106" s="56" t="str">
        <f aca="false">IF(I106&lt;=SUBalanceTol,"YES","no")</f>
        <v>YES</v>
      </c>
    </row>
    <row r="107" customFormat="false" ht="15" hidden="false" customHeight="true" outlineLevel="0" collapsed="false">
      <c r="B107" s="37" t="n">
        <f aca="false">12*$C$93</f>
        <v>1800000</v>
      </c>
      <c r="C107" s="37" t="n">
        <f aca="false">(B107*(1-LOM_LandPct)*'Tax Credit Calc'!E$12*LIHTCRate4+'Tax Credit Calc'!E$23)*10*(1-'Tax Credit Calc'!$C$5)*EquityPrice</f>
        <v>3787722.97162998</v>
      </c>
      <c r="D107" s="37" t="n">
        <f aca="false">'Sources &amp; Uses'!E$25*(B107*(1-LOM_LandPct)+LOM_RehabBasis)</f>
        <v>1432522.644096</v>
      </c>
      <c r="E107" s="37" t="n">
        <f aca="false">B107+0+LOM_RehabBasis+LOM_FinFees+'Sources &amp; Uses'!E$21+LOM_ConstrInt+'Sources &amp; Uses'!E$23+D107</f>
        <v>12273518.2352744</v>
      </c>
      <c r="F107" s="37" t="n">
        <f aca="false">LOM_SelProceeds+C107+MAX(0,LOM_BridgeCF)</f>
        <v>11731755.461854</v>
      </c>
      <c r="G107" s="37" t="n">
        <f aca="false">E107-F107</f>
        <v>541762.773420395</v>
      </c>
      <c r="H107" s="37" t="n">
        <f aca="false">MIN(D107,MAX(0,G107))</f>
        <v>541762.773420395</v>
      </c>
      <c r="I107" s="37" t="n">
        <f aca="false">G107-H107</f>
        <v>0</v>
      </c>
      <c r="J107" s="56" t="str">
        <f aca="false">IF(I107&lt;=SUBalanceTol,"YES","no")</f>
        <v>YES</v>
      </c>
    </row>
    <row r="108" customFormat="false" ht="15" hidden="false" customHeight="true" outlineLevel="0" collapsed="false">
      <c r="B108" s="37" t="n">
        <f aca="false">13*$C$93</f>
        <v>1950000</v>
      </c>
      <c r="C108" s="37" t="n">
        <f aca="false">(B108*(1-LOM_LandPct)*'Tax Credit Calc'!E$12*LIHTCRate4+'Tax Credit Calc'!E$23)*10*(1-'Tax Credit Calc'!$C$5)*EquityPrice</f>
        <v>3828114.97162998</v>
      </c>
      <c r="D108" s="37" t="n">
        <f aca="false">'Sources &amp; Uses'!E$25*(B108*(1-LOM_LandPct)+LOM_RehabBasis)</f>
        <v>1451647.644096</v>
      </c>
      <c r="E108" s="37" t="n">
        <f aca="false">B108+0+LOM_RehabBasis+LOM_FinFees+'Sources &amp; Uses'!E$21+LOM_ConstrInt+'Sources &amp; Uses'!E$23+D108</f>
        <v>12442643.2352744</v>
      </c>
      <c r="F108" s="37" t="n">
        <f aca="false">LOM_SelProceeds+C108+MAX(0,LOM_BridgeCF)</f>
        <v>11772147.461854</v>
      </c>
      <c r="G108" s="37" t="n">
        <f aca="false">E108-F108</f>
        <v>670495.773420395</v>
      </c>
      <c r="H108" s="37" t="n">
        <f aca="false">MIN(D108,MAX(0,G108))</f>
        <v>670495.773420395</v>
      </c>
      <c r="I108" s="37" t="n">
        <f aca="false">G108-H108</f>
        <v>0</v>
      </c>
      <c r="J108" s="56" t="str">
        <f aca="false">IF(I108&lt;=SUBalanceTol,"YES","no")</f>
        <v>YES</v>
      </c>
    </row>
    <row r="109" customFormat="false" ht="15" hidden="false" customHeight="true" outlineLevel="0" collapsed="false">
      <c r="B109" s="37" t="n">
        <f aca="false">14*$C$93</f>
        <v>2100000</v>
      </c>
      <c r="C109" s="37" t="n">
        <f aca="false">(B109*(1-LOM_LandPct)*'Tax Credit Calc'!E$12*LIHTCRate4+'Tax Credit Calc'!E$23)*10*(1-'Tax Credit Calc'!$C$5)*EquityPrice</f>
        <v>3868506.97162998</v>
      </c>
      <c r="D109" s="37" t="n">
        <f aca="false">'Sources &amp; Uses'!E$25*(B109*(1-LOM_LandPct)+LOM_RehabBasis)</f>
        <v>1470772.644096</v>
      </c>
      <c r="E109" s="37" t="n">
        <f aca="false">B109+0+LOM_RehabBasis+LOM_FinFees+'Sources &amp; Uses'!E$21+LOM_ConstrInt+'Sources &amp; Uses'!E$23+D109</f>
        <v>12611768.2352744</v>
      </c>
      <c r="F109" s="37" t="n">
        <f aca="false">LOM_SelProceeds+C109+MAX(0,LOM_BridgeCF)</f>
        <v>11812539.461854</v>
      </c>
      <c r="G109" s="37" t="n">
        <f aca="false">E109-F109</f>
        <v>799228.773420395</v>
      </c>
      <c r="H109" s="37" t="n">
        <f aca="false">MIN(D109,MAX(0,G109))</f>
        <v>799228.773420395</v>
      </c>
      <c r="I109" s="37" t="n">
        <f aca="false">G109-H109</f>
        <v>0</v>
      </c>
      <c r="J109" s="56" t="str">
        <f aca="false">IF(I109&lt;=SUBalanceTol,"YES","no")</f>
        <v>YES</v>
      </c>
    </row>
    <row r="110" customFormat="false" ht="15" hidden="false" customHeight="true" outlineLevel="0" collapsed="false">
      <c r="B110" s="37" t="n">
        <f aca="false">15*$C$93</f>
        <v>2250000</v>
      </c>
      <c r="C110" s="37" t="n">
        <f aca="false">(B110*(1-LOM_LandPct)*'Tax Credit Calc'!E$12*LIHTCRate4+'Tax Credit Calc'!E$23)*10*(1-'Tax Credit Calc'!$C$5)*EquityPrice</f>
        <v>3908898.97162998</v>
      </c>
      <c r="D110" s="37" t="n">
        <f aca="false">'Sources &amp; Uses'!E$25*(B110*(1-LOM_LandPct)+LOM_RehabBasis)</f>
        <v>1489897.644096</v>
      </c>
      <c r="E110" s="37" t="n">
        <f aca="false">B110+0+LOM_RehabBasis+LOM_FinFees+'Sources &amp; Uses'!E$21+LOM_ConstrInt+'Sources &amp; Uses'!E$23+D110</f>
        <v>12780893.2352744</v>
      </c>
      <c r="F110" s="37" t="n">
        <f aca="false">LOM_SelProceeds+C110+MAX(0,LOM_BridgeCF)</f>
        <v>11852931.461854</v>
      </c>
      <c r="G110" s="37" t="n">
        <f aca="false">E110-F110</f>
        <v>927961.773420395</v>
      </c>
      <c r="H110" s="37" t="n">
        <f aca="false">MIN(D110,MAX(0,G110))</f>
        <v>927961.773420395</v>
      </c>
      <c r="I110" s="37" t="n">
        <f aca="false">G110-H110</f>
        <v>0</v>
      </c>
      <c r="J110" s="56" t="str">
        <f aca="false">IF(I110&lt;=SUBalanceTol,"YES","no")</f>
        <v>YES</v>
      </c>
    </row>
    <row r="111" customFormat="false" ht="15" hidden="false" customHeight="true" outlineLevel="0" collapsed="false">
      <c r="B111" s="37" t="n">
        <f aca="false">16*$C$93</f>
        <v>2400000</v>
      </c>
      <c r="C111" s="37" t="n">
        <f aca="false">(B111*(1-LOM_LandPct)*'Tax Credit Calc'!E$12*LIHTCRate4+'Tax Credit Calc'!E$23)*10*(1-'Tax Credit Calc'!$C$5)*EquityPrice</f>
        <v>3949290.97162998</v>
      </c>
      <c r="D111" s="37" t="n">
        <f aca="false">'Sources &amp; Uses'!E$25*(B111*(1-LOM_LandPct)+LOM_RehabBasis)</f>
        <v>1509022.644096</v>
      </c>
      <c r="E111" s="37" t="n">
        <f aca="false">B111+0+LOM_RehabBasis+LOM_FinFees+'Sources &amp; Uses'!E$21+LOM_ConstrInt+'Sources &amp; Uses'!E$23+D111</f>
        <v>12950018.2352744</v>
      </c>
      <c r="F111" s="37" t="n">
        <f aca="false">LOM_SelProceeds+C111+MAX(0,LOM_BridgeCF)</f>
        <v>11893323.461854</v>
      </c>
      <c r="G111" s="37" t="n">
        <f aca="false">E111-F111</f>
        <v>1056694.7734204</v>
      </c>
      <c r="H111" s="37" t="n">
        <f aca="false">MIN(D111,MAX(0,G111))</f>
        <v>1056694.7734204</v>
      </c>
      <c r="I111" s="37" t="n">
        <f aca="false">G111-H111</f>
        <v>0</v>
      </c>
      <c r="J111" s="56" t="str">
        <f aca="false">IF(I111&lt;=SUBalanceTol,"YES","no")</f>
        <v>YES</v>
      </c>
    </row>
    <row r="112" customFormat="false" ht="15" hidden="false" customHeight="true" outlineLevel="0" collapsed="false">
      <c r="B112" s="37" t="n">
        <f aca="false">17*$C$93</f>
        <v>2550000</v>
      </c>
      <c r="C112" s="37" t="n">
        <f aca="false">(B112*(1-LOM_LandPct)*'Tax Credit Calc'!E$12*LIHTCRate4+'Tax Credit Calc'!E$23)*10*(1-'Tax Credit Calc'!$C$5)*EquityPrice</f>
        <v>3989682.97162998</v>
      </c>
      <c r="D112" s="37" t="n">
        <f aca="false">'Sources &amp; Uses'!E$25*(B112*(1-LOM_LandPct)+LOM_RehabBasis)</f>
        <v>1528147.644096</v>
      </c>
      <c r="E112" s="37" t="n">
        <f aca="false">B112+0+LOM_RehabBasis+LOM_FinFees+'Sources &amp; Uses'!E$21+LOM_ConstrInt+'Sources &amp; Uses'!E$23+D112</f>
        <v>13119143.2352744</v>
      </c>
      <c r="F112" s="37" t="n">
        <f aca="false">LOM_SelProceeds+C112+MAX(0,LOM_BridgeCF)</f>
        <v>11933715.461854</v>
      </c>
      <c r="G112" s="37" t="n">
        <f aca="false">E112-F112</f>
        <v>1185427.7734204</v>
      </c>
      <c r="H112" s="37" t="n">
        <f aca="false">MIN(D112,MAX(0,G112))</f>
        <v>1185427.7734204</v>
      </c>
      <c r="I112" s="37" t="n">
        <f aca="false">G112-H112</f>
        <v>0</v>
      </c>
      <c r="J112" s="56" t="str">
        <f aca="false">IF(I112&lt;=SUBalanceTol,"YES","no")</f>
        <v>YES</v>
      </c>
    </row>
    <row r="113" customFormat="false" ht="15" hidden="false" customHeight="true" outlineLevel="0" collapsed="false">
      <c r="B113" s="37" t="n">
        <f aca="false">18*$C$93</f>
        <v>2700000</v>
      </c>
      <c r="C113" s="37" t="n">
        <f aca="false">(B113*(1-LOM_LandPct)*'Tax Credit Calc'!E$12*LIHTCRate4+'Tax Credit Calc'!E$23)*10*(1-'Tax Credit Calc'!$C$5)*EquityPrice</f>
        <v>4030074.97162998</v>
      </c>
      <c r="D113" s="37" t="n">
        <f aca="false">'Sources &amp; Uses'!E$25*(B113*(1-LOM_LandPct)+LOM_RehabBasis)</f>
        <v>1547272.644096</v>
      </c>
      <c r="E113" s="37" t="n">
        <f aca="false">B113+0+LOM_RehabBasis+LOM_FinFees+'Sources &amp; Uses'!E$21+LOM_ConstrInt+'Sources &amp; Uses'!E$23+D113</f>
        <v>13288268.2352744</v>
      </c>
      <c r="F113" s="37" t="n">
        <f aca="false">LOM_SelProceeds+C113+MAX(0,LOM_BridgeCF)</f>
        <v>11974107.461854</v>
      </c>
      <c r="G113" s="37" t="n">
        <f aca="false">E113-F113</f>
        <v>1314160.7734204</v>
      </c>
      <c r="H113" s="37" t="n">
        <f aca="false">MIN(D113,MAX(0,G113))</f>
        <v>1314160.7734204</v>
      </c>
      <c r="I113" s="37" t="n">
        <f aca="false">G113-H113</f>
        <v>0</v>
      </c>
      <c r="J113" s="56" t="str">
        <f aca="false">IF(I113&lt;=SUBalanceTol,"YES","no")</f>
        <v>YES</v>
      </c>
    </row>
    <row r="114" customFormat="false" ht="15" hidden="false" customHeight="true" outlineLevel="0" collapsed="false">
      <c r="B114" s="37" t="n">
        <f aca="false">19*$C$93</f>
        <v>2850000</v>
      </c>
      <c r="C114" s="37" t="n">
        <f aca="false">(B114*(1-LOM_LandPct)*'Tax Credit Calc'!E$12*LIHTCRate4+'Tax Credit Calc'!E$23)*10*(1-'Tax Credit Calc'!$C$5)*EquityPrice</f>
        <v>4070466.97162998</v>
      </c>
      <c r="D114" s="37" t="n">
        <f aca="false">'Sources &amp; Uses'!E$25*(B114*(1-LOM_LandPct)+LOM_RehabBasis)</f>
        <v>1566397.644096</v>
      </c>
      <c r="E114" s="37" t="n">
        <f aca="false">B114+0+LOM_RehabBasis+LOM_FinFees+'Sources &amp; Uses'!E$21+LOM_ConstrInt+'Sources &amp; Uses'!E$23+D114</f>
        <v>13457393.2352744</v>
      </c>
      <c r="F114" s="37" t="n">
        <f aca="false">LOM_SelProceeds+C114+MAX(0,LOM_BridgeCF)</f>
        <v>12014499.461854</v>
      </c>
      <c r="G114" s="37" t="n">
        <f aca="false">E114-F114</f>
        <v>1442893.7734204</v>
      </c>
      <c r="H114" s="37" t="n">
        <f aca="false">MIN(D114,MAX(0,G114))</f>
        <v>1442893.7734204</v>
      </c>
      <c r="I114" s="37" t="n">
        <f aca="false">G114-H114</f>
        <v>0</v>
      </c>
      <c r="J114" s="56" t="str">
        <f aca="false">IF(I114&lt;=SUBalanceTol,"YES","no")</f>
        <v>YES</v>
      </c>
    </row>
    <row r="115" customFormat="false" ht="15" hidden="false" customHeight="true" outlineLevel="0" collapsed="false">
      <c r="B115" s="37" t="n">
        <f aca="false">20*$C$93</f>
        <v>3000000</v>
      </c>
      <c r="C115" s="37" t="n">
        <f aca="false">(B115*(1-LOM_LandPct)*'Tax Credit Calc'!E$12*LIHTCRate4+'Tax Credit Calc'!E$23)*10*(1-'Tax Credit Calc'!$C$5)*EquityPrice</f>
        <v>4110858.97162998</v>
      </c>
      <c r="D115" s="37" t="n">
        <f aca="false">'Sources &amp; Uses'!E$25*(B115*(1-LOM_LandPct)+LOM_RehabBasis)</f>
        <v>1585522.644096</v>
      </c>
      <c r="E115" s="37" t="n">
        <f aca="false">B115+0+LOM_RehabBasis+LOM_FinFees+'Sources &amp; Uses'!E$21+LOM_ConstrInt+'Sources &amp; Uses'!E$23+D115</f>
        <v>13626518.2352744</v>
      </c>
      <c r="F115" s="37" t="n">
        <f aca="false">LOM_SelProceeds+C115+MAX(0,LOM_BridgeCF)</f>
        <v>12054891.461854</v>
      </c>
      <c r="G115" s="37" t="n">
        <f aca="false">E115-F115</f>
        <v>1571626.7734204</v>
      </c>
      <c r="H115" s="37" t="n">
        <f aca="false">MIN(D115,MAX(0,G115))</f>
        <v>1571626.7734204</v>
      </c>
      <c r="I115" s="37" t="n">
        <f aca="false">G115-H115</f>
        <v>0</v>
      </c>
      <c r="J115" s="56" t="str">
        <f aca="false">IF(I115&lt;=SUBalanceTol,"YES","no")</f>
        <v>YES</v>
      </c>
    </row>
    <row r="116" customFormat="false" ht="15" hidden="false" customHeight="true" outlineLevel="0" collapsed="false">
      <c r="B116" s="37" t="n">
        <f aca="false">21*$C$93</f>
        <v>3150000</v>
      </c>
      <c r="C116" s="37" t="n">
        <f aca="false">(B116*(1-LOM_LandPct)*'Tax Credit Calc'!E$12*LIHTCRate4+'Tax Credit Calc'!E$23)*10*(1-'Tax Credit Calc'!$C$5)*EquityPrice</f>
        <v>4151250.97162998</v>
      </c>
      <c r="D116" s="37" t="n">
        <f aca="false">'Sources &amp; Uses'!E$25*(B116*(1-LOM_LandPct)+LOM_RehabBasis)</f>
        <v>1604647.644096</v>
      </c>
      <c r="E116" s="37" t="n">
        <f aca="false">B116+0+LOM_RehabBasis+LOM_FinFees+'Sources &amp; Uses'!E$21+LOM_ConstrInt+'Sources &amp; Uses'!E$23+D116</f>
        <v>13795643.2352744</v>
      </c>
      <c r="F116" s="37" t="n">
        <f aca="false">LOM_SelProceeds+C116+MAX(0,LOM_BridgeCF)</f>
        <v>12095283.461854</v>
      </c>
      <c r="G116" s="37" t="n">
        <f aca="false">E116-F116</f>
        <v>1700359.7734204</v>
      </c>
      <c r="H116" s="37" t="n">
        <f aca="false">MIN(D116,MAX(0,G116))</f>
        <v>1604647.644096</v>
      </c>
      <c r="I116" s="37" t="n">
        <f aca="false">G116-H116</f>
        <v>95712.1293243954</v>
      </c>
      <c r="J116" s="56" t="str">
        <f aca="false">IF(I116&lt;=SUBalanceTol,"YES","no")</f>
        <v>no</v>
      </c>
    </row>
    <row r="117" customFormat="false" ht="15" hidden="false" customHeight="true" outlineLevel="0" collapsed="false">
      <c r="B117" s="37" t="n">
        <f aca="false">22*$C$93</f>
        <v>3300000</v>
      </c>
      <c r="C117" s="37" t="n">
        <f aca="false">(B117*(1-LOM_LandPct)*'Tax Credit Calc'!E$12*LIHTCRate4+'Tax Credit Calc'!E$23)*10*(1-'Tax Credit Calc'!$C$5)*EquityPrice</f>
        <v>4191642.97162998</v>
      </c>
      <c r="D117" s="37" t="n">
        <f aca="false">'Sources &amp; Uses'!E$25*(B117*(1-LOM_LandPct)+LOM_RehabBasis)</f>
        <v>1623772.644096</v>
      </c>
      <c r="E117" s="37" t="n">
        <f aca="false">B117+0+LOM_RehabBasis+LOM_FinFees+'Sources &amp; Uses'!E$21+LOM_ConstrInt+'Sources &amp; Uses'!E$23+D117</f>
        <v>13964768.2352744</v>
      </c>
      <c r="F117" s="37" t="n">
        <f aca="false">LOM_SelProceeds+C117+MAX(0,LOM_BridgeCF)</f>
        <v>12135675.461854</v>
      </c>
      <c r="G117" s="37" t="n">
        <f aca="false">E117-F117</f>
        <v>1829092.7734204</v>
      </c>
      <c r="H117" s="37" t="n">
        <f aca="false">MIN(D117,MAX(0,G117))</f>
        <v>1623772.644096</v>
      </c>
      <c r="I117" s="37" t="n">
        <f aca="false">G117-H117</f>
        <v>205320.129324395</v>
      </c>
      <c r="J117" s="56" t="str">
        <f aca="false">IF(I117&lt;=SUBalanceTol,"YES","no")</f>
        <v>no</v>
      </c>
    </row>
    <row r="118" customFormat="false" ht="15" hidden="false" customHeight="true" outlineLevel="0" collapsed="false">
      <c r="B118" s="37" t="n">
        <f aca="false">23*$C$93</f>
        <v>3450000</v>
      </c>
      <c r="C118" s="37" t="n">
        <f aca="false">(B118*(1-LOM_LandPct)*'Tax Credit Calc'!E$12*LIHTCRate4+'Tax Credit Calc'!E$23)*10*(1-'Tax Credit Calc'!$C$5)*EquityPrice</f>
        <v>4232034.97162998</v>
      </c>
      <c r="D118" s="37" t="n">
        <f aca="false">'Sources &amp; Uses'!E$25*(B118*(1-LOM_LandPct)+LOM_RehabBasis)</f>
        <v>1642897.644096</v>
      </c>
      <c r="E118" s="37" t="n">
        <f aca="false">B118+0+LOM_RehabBasis+LOM_FinFees+'Sources &amp; Uses'!E$21+LOM_ConstrInt+'Sources &amp; Uses'!E$23+D118</f>
        <v>14133893.2352744</v>
      </c>
      <c r="F118" s="37" t="n">
        <f aca="false">LOM_SelProceeds+C118+MAX(0,LOM_BridgeCF)</f>
        <v>12176067.461854</v>
      </c>
      <c r="G118" s="37" t="n">
        <f aca="false">E118-F118</f>
        <v>1957825.7734204</v>
      </c>
      <c r="H118" s="37" t="n">
        <f aca="false">MIN(D118,MAX(0,G118))</f>
        <v>1642897.644096</v>
      </c>
      <c r="I118" s="37" t="n">
        <f aca="false">G118-H118</f>
        <v>314928.129324395</v>
      </c>
      <c r="J118" s="56" t="str">
        <f aca="false">IF(I118&lt;=SUBalanceTol,"YES","no")</f>
        <v>no</v>
      </c>
    </row>
    <row r="119" customFormat="false" ht="15" hidden="false" customHeight="true" outlineLevel="0" collapsed="false">
      <c r="B119" s="37" t="n">
        <f aca="false">24*$C$93</f>
        <v>3600000</v>
      </c>
      <c r="C119" s="37" t="n">
        <f aca="false">(B119*(1-LOM_LandPct)*'Tax Credit Calc'!E$12*LIHTCRate4+'Tax Credit Calc'!E$23)*10*(1-'Tax Credit Calc'!$C$5)*EquityPrice</f>
        <v>4272426.97162998</v>
      </c>
      <c r="D119" s="37" t="n">
        <f aca="false">'Sources &amp; Uses'!E$25*(B119*(1-LOM_LandPct)+LOM_RehabBasis)</f>
        <v>1662022.644096</v>
      </c>
      <c r="E119" s="37" t="n">
        <f aca="false">B119+0+LOM_RehabBasis+LOM_FinFees+'Sources &amp; Uses'!E$21+LOM_ConstrInt+'Sources &amp; Uses'!E$23+D119</f>
        <v>14303018.2352744</v>
      </c>
      <c r="F119" s="37" t="n">
        <f aca="false">LOM_SelProceeds+C119+MAX(0,LOM_BridgeCF)</f>
        <v>12216459.461854</v>
      </c>
      <c r="G119" s="37" t="n">
        <f aca="false">E119-F119</f>
        <v>2086558.7734204</v>
      </c>
      <c r="H119" s="37" t="n">
        <f aca="false">MIN(D119,MAX(0,G119))</f>
        <v>1662022.644096</v>
      </c>
      <c r="I119" s="37" t="n">
        <f aca="false">G119-H119</f>
        <v>424536.129324395</v>
      </c>
      <c r="J119" s="56" t="str">
        <f aca="false">IF(I119&lt;=SUBalanceTol,"YES","no")</f>
        <v>no</v>
      </c>
    </row>
    <row r="120" customFormat="false" ht="15" hidden="false" customHeight="true" outlineLevel="0" collapsed="false">
      <c r="B120" s="37" t="n">
        <f aca="false">25*$C$93</f>
        <v>3750000</v>
      </c>
      <c r="C120" s="37" t="n">
        <f aca="false">(B120*(1-LOM_LandPct)*'Tax Credit Calc'!E$12*LIHTCRate4+'Tax Credit Calc'!E$23)*10*(1-'Tax Credit Calc'!$C$5)*EquityPrice</f>
        <v>4312818.97162998</v>
      </c>
      <c r="D120" s="37" t="n">
        <f aca="false">'Sources &amp; Uses'!E$25*(B120*(1-LOM_LandPct)+LOM_RehabBasis)</f>
        <v>1681147.644096</v>
      </c>
      <c r="E120" s="37" t="n">
        <f aca="false">B120+0+LOM_RehabBasis+LOM_FinFees+'Sources &amp; Uses'!E$21+LOM_ConstrInt+'Sources &amp; Uses'!E$23+D120</f>
        <v>14472143.2352744</v>
      </c>
      <c r="F120" s="37" t="n">
        <f aca="false">LOM_SelProceeds+C120+MAX(0,LOM_BridgeCF)</f>
        <v>12256851.461854</v>
      </c>
      <c r="G120" s="37" t="n">
        <f aca="false">E120-F120</f>
        <v>2215291.7734204</v>
      </c>
      <c r="H120" s="37" t="n">
        <f aca="false">MIN(D120,MAX(0,G120))</f>
        <v>1681147.644096</v>
      </c>
      <c r="I120" s="37" t="n">
        <f aca="false">G120-H120</f>
        <v>534144.129324395</v>
      </c>
      <c r="J120" s="56" t="str">
        <f aca="false">IF(I120&lt;=SUBalanceTol,"YES","no")</f>
        <v>no</v>
      </c>
    </row>
    <row r="121" customFormat="false" ht="15" hidden="false" customHeight="true" outlineLevel="0" collapsed="false">
      <c r="B121" s="37" t="n">
        <f aca="false">26*$C$93</f>
        <v>3900000</v>
      </c>
      <c r="C121" s="37" t="n">
        <f aca="false">(B121*(1-LOM_LandPct)*'Tax Credit Calc'!E$12*LIHTCRate4+'Tax Credit Calc'!E$23)*10*(1-'Tax Credit Calc'!$C$5)*EquityPrice</f>
        <v>4353210.97162998</v>
      </c>
      <c r="D121" s="37" t="n">
        <f aca="false">'Sources &amp; Uses'!E$25*(B121*(1-LOM_LandPct)+LOM_RehabBasis)</f>
        <v>1700272.644096</v>
      </c>
      <c r="E121" s="37" t="n">
        <f aca="false">B121+0+LOM_RehabBasis+LOM_FinFees+'Sources &amp; Uses'!E$21+LOM_ConstrInt+'Sources &amp; Uses'!E$23+D121</f>
        <v>14641268.2352744</v>
      </c>
      <c r="F121" s="37" t="n">
        <f aca="false">LOM_SelProceeds+C121+MAX(0,LOM_BridgeCF)</f>
        <v>12297243.461854</v>
      </c>
      <c r="G121" s="37" t="n">
        <f aca="false">E121-F121</f>
        <v>2344024.7734204</v>
      </c>
      <c r="H121" s="37" t="n">
        <f aca="false">MIN(D121,MAX(0,G121))</f>
        <v>1700272.644096</v>
      </c>
      <c r="I121" s="37" t="n">
        <f aca="false">G121-H121</f>
        <v>643752.129324395</v>
      </c>
      <c r="J121" s="56" t="str">
        <f aca="false">IF(I121&lt;=SUBalanceTol,"YES","no")</f>
        <v>no</v>
      </c>
    </row>
    <row r="122" customFormat="false" ht="15" hidden="false" customHeight="true" outlineLevel="0" collapsed="false">
      <c r="B122" s="37" t="n">
        <f aca="false">27*$C$93</f>
        <v>4050000</v>
      </c>
      <c r="C122" s="37" t="n">
        <f aca="false">(B122*(1-LOM_LandPct)*'Tax Credit Calc'!E$12*LIHTCRate4+'Tax Credit Calc'!E$23)*10*(1-'Tax Credit Calc'!$C$5)*EquityPrice</f>
        <v>4393602.97162998</v>
      </c>
      <c r="D122" s="37" t="n">
        <f aca="false">'Sources &amp; Uses'!E$25*(B122*(1-LOM_LandPct)+LOM_RehabBasis)</f>
        <v>1719397.644096</v>
      </c>
      <c r="E122" s="37" t="n">
        <f aca="false">B122+0+LOM_RehabBasis+LOM_FinFees+'Sources &amp; Uses'!E$21+LOM_ConstrInt+'Sources &amp; Uses'!E$23+D122</f>
        <v>14810393.2352744</v>
      </c>
      <c r="F122" s="37" t="n">
        <f aca="false">LOM_SelProceeds+C122+MAX(0,LOM_BridgeCF)</f>
        <v>12337635.461854</v>
      </c>
      <c r="G122" s="37" t="n">
        <f aca="false">E122-F122</f>
        <v>2472757.7734204</v>
      </c>
      <c r="H122" s="37" t="n">
        <f aca="false">MIN(D122,MAX(0,G122))</f>
        <v>1719397.644096</v>
      </c>
      <c r="I122" s="37" t="n">
        <f aca="false">G122-H122</f>
        <v>753360.129324395</v>
      </c>
      <c r="J122" s="56" t="str">
        <f aca="false">IF(I122&lt;=SUBalanceTol,"YES","no")</f>
        <v>no</v>
      </c>
    </row>
    <row r="123" customFormat="false" ht="15" hidden="false" customHeight="true" outlineLevel="0" collapsed="false">
      <c r="B123" s="37" t="n">
        <f aca="false">28*$C$93</f>
        <v>4200000</v>
      </c>
      <c r="C123" s="37" t="n">
        <f aca="false">(B123*(1-LOM_LandPct)*'Tax Credit Calc'!E$12*LIHTCRate4+'Tax Credit Calc'!E$23)*10*(1-'Tax Credit Calc'!$C$5)*EquityPrice</f>
        <v>4433994.97162998</v>
      </c>
      <c r="D123" s="37" t="n">
        <f aca="false">'Sources &amp; Uses'!E$25*(B123*(1-LOM_LandPct)+LOM_RehabBasis)</f>
        <v>1738522.644096</v>
      </c>
      <c r="E123" s="37" t="n">
        <f aca="false">B123+0+LOM_RehabBasis+LOM_FinFees+'Sources &amp; Uses'!E$21+LOM_ConstrInt+'Sources &amp; Uses'!E$23+D123</f>
        <v>14979518.2352744</v>
      </c>
      <c r="F123" s="37" t="n">
        <f aca="false">LOM_SelProceeds+C123+MAX(0,LOM_BridgeCF)</f>
        <v>12378027.461854</v>
      </c>
      <c r="G123" s="37" t="n">
        <f aca="false">E123-F123</f>
        <v>2601490.7734204</v>
      </c>
      <c r="H123" s="37" t="n">
        <f aca="false">MIN(D123,MAX(0,G123))</f>
        <v>1738522.644096</v>
      </c>
      <c r="I123" s="37" t="n">
        <f aca="false">G123-H123</f>
        <v>862968.129324395</v>
      </c>
      <c r="J123" s="56" t="str">
        <f aca="false">IF(I123&lt;=SUBalanceTol,"YES","no")</f>
        <v>no</v>
      </c>
    </row>
    <row r="124" customFormat="false" ht="15" hidden="false" customHeight="true" outlineLevel="0" collapsed="false">
      <c r="B124" s="37" t="n">
        <f aca="false">29*$C$93</f>
        <v>4350000</v>
      </c>
      <c r="C124" s="37" t="n">
        <f aca="false">(B124*(1-LOM_LandPct)*'Tax Credit Calc'!E$12*LIHTCRate4+'Tax Credit Calc'!E$23)*10*(1-'Tax Credit Calc'!$C$5)*EquityPrice</f>
        <v>4474386.97162998</v>
      </c>
      <c r="D124" s="37" t="n">
        <f aca="false">'Sources &amp; Uses'!E$25*(B124*(1-LOM_LandPct)+LOM_RehabBasis)</f>
        <v>1757647.644096</v>
      </c>
      <c r="E124" s="37" t="n">
        <f aca="false">B124+0+LOM_RehabBasis+LOM_FinFees+'Sources &amp; Uses'!E$21+LOM_ConstrInt+'Sources &amp; Uses'!E$23+D124</f>
        <v>15148643.2352744</v>
      </c>
      <c r="F124" s="37" t="n">
        <f aca="false">LOM_SelProceeds+C124+MAX(0,LOM_BridgeCF)</f>
        <v>12418419.461854</v>
      </c>
      <c r="G124" s="37" t="n">
        <f aca="false">E124-F124</f>
        <v>2730223.7734204</v>
      </c>
      <c r="H124" s="37" t="n">
        <f aca="false">MIN(D124,MAX(0,G124))</f>
        <v>1757647.644096</v>
      </c>
      <c r="I124" s="37" t="n">
        <f aca="false">G124-H124</f>
        <v>972576.129324395</v>
      </c>
      <c r="J124" s="56" t="str">
        <f aca="false">IF(I124&lt;=SUBalanceTol,"YES","no")</f>
        <v>no</v>
      </c>
    </row>
    <row r="125" customFormat="false" ht="15" hidden="false" customHeight="true" outlineLevel="0" collapsed="false">
      <c r="B125" s="37" t="n">
        <f aca="false">30*$C$93</f>
        <v>4500000</v>
      </c>
      <c r="C125" s="37" t="n">
        <f aca="false">(B125*(1-LOM_LandPct)*'Tax Credit Calc'!E$12*LIHTCRate4+'Tax Credit Calc'!E$23)*10*(1-'Tax Credit Calc'!$C$5)*EquityPrice</f>
        <v>4514778.97162998</v>
      </c>
      <c r="D125" s="37" t="n">
        <f aca="false">'Sources &amp; Uses'!E$25*(B125*(1-LOM_LandPct)+LOM_RehabBasis)</f>
        <v>1776772.644096</v>
      </c>
      <c r="E125" s="37" t="n">
        <f aca="false">B125+0+LOM_RehabBasis+LOM_FinFees+'Sources &amp; Uses'!E$21+LOM_ConstrInt+'Sources &amp; Uses'!E$23+D125</f>
        <v>15317768.2352744</v>
      </c>
      <c r="F125" s="37" t="n">
        <f aca="false">LOM_SelProceeds+C125+MAX(0,LOM_BridgeCF)</f>
        <v>12458811.461854</v>
      </c>
      <c r="G125" s="37" t="n">
        <f aca="false">E125-F125</f>
        <v>2858956.7734204</v>
      </c>
      <c r="H125" s="37" t="n">
        <f aca="false">MIN(D125,MAX(0,G125))</f>
        <v>1776772.644096</v>
      </c>
      <c r="I125" s="37" t="n">
        <f aca="false">G125-H125</f>
        <v>1082184.1293244</v>
      </c>
      <c r="J125" s="56" t="str">
        <f aca="false">IF(I125&lt;=SUBalanceTol,"YES","no")</f>
        <v>no</v>
      </c>
    </row>
    <row r="126" customFormat="false" ht="15" hidden="false" customHeight="true" outlineLevel="0" collapsed="false">
      <c r="B126" s="37" t="n">
        <f aca="false">31*$C$93</f>
        <v>4650000</v>
      </c>
      <c r="C126" s="37" t="n">
        <f aca="false">(B126*(1-LOM_LandPct)*'Tax Credit Calc'!E$12*LIHTCRate4+'Tax Credit Calc'!E$23)*10*(1-'Tax Credit Calc'!$C$5)*EquityPrice</f>
        <v>4555170.97162998</v>
      </c>
      <c r="D126" s="37" t="n">
        <f aca="false">'Sources &amp; Uses'!E$25*(B126*(1-LOM_LandPct)+LOM_RehabBasis)</f>
        <v>1795897.644096</v>
      </c>
      <c r="E126" s="37" t="n">
        <f aca="false">B126+0+LOM_RehabBasis+LOM_FinFees+'Sources &amp; Uses'!E$21+LOM_ConstrInt+'Sources &amp; Uses'!E$23+D126</f>
        <v>15486893.2352744</v>
      </c>
      <c r="F126" s="37" t="n">
        <f aca="false">LOM_SelProceeds+C126+MAX(0,LOM_BridgeCF)</f>
        <v>12499203.461854</v>
      </c>
      <c r="G126" s="37" t="n">
        <f aca="false">E126-F126</f>
        <v>2987689.7734204</v>
      </c>
      <c r="H126" s="37" t="n">
        <f aca="false">MIN(D126,MAX(0,G126))</f>
        <v>1795897.644096</v>
      </c>
      <c r="I126" s="37" t="n">
        <f aca="false">G126-H126</f>
        <v>1191792.1293244</v>
      </c>
      <c r="J126" s="56" t="str">
        <f aca="false">IF(I126&lt;=SUBalanceTol,"YES","no")</f>
        <v>no</v>
      </c>
    </row>
    <row r="127" customFormat="false" ht="15" hidden="false" customHeight="true" outlineLevel="0" collapsed="false">
      <c r="B127" s="37" t="n">
        <f aca="false">32*$C$93</f>
        <v>4800000</v>
      </c>
      <c r="C127" s="37" t="n">
        <f aca="false">(B127*(1-LOM_LandPct)*'Tax Credit Calc'!E$12*LIHTCRate4+'Tax Credit Calc'!E$23)*10*(1-'Tax Credit Calc'!$C$5)*EquityPrice</f>
        <v>4595562.97162998</v>
      </c>
      <c r="D127" s="37" t="n">
        <f aca="false">'Sources &amp; Uses'!E$25*(B127*(1-LOM_LandPct)+LOM_RehabBasis)</f>
        <v>1815022.644096</v>
      </c>
      <c r="E127" s="37" t="n">
        <f aca="false">B127+0+LOM_RehabBasis+LOM_FinFees+'Sources &amp; Uses'!E$21+LOM_ConstrInt+'Sources &amp; Uses'!E$23+D127</f>
        <v>15656018.2352744</v>
      </c>
      <c r="F127" s="37" t="n">
        <f aca="false">LOM_SelProceeds+C127+MAX(0,LOM_BridgeCF)</f>
        <v>12539595.461854</v>
      </c>
      <c r="G127" s="37" t="n">
        <f aca="false">E127-F127</f>
        <v>3116422.7734204</v>
      </c>
      <c r="H127" s="37" t="n">
        <f aca="false">MIN(D127,MAX(0,G127))</f>
        <v>1815022.644096</v>
      </c>
      <c r="I127" s="37" t="n">
        <f aca="false">G127-H127</f>
        <v>1301400.1293244</v>
      </c>
      <c r="J127" s="56" t="str">
        <f aca="false">IF(I127&lt;=SUBalanceTol,"YES","no")</f>
        <v>no</v>
      </c>
    </row>
    <row r="128" customFormat="false" ht="15" hidden="false" customHeight="true" outlineLevel="0" collapsed="false">
      <c r="B128" s="37" t="n">
        <f aca="false">33*$C$93</f>
        <v>4950000</v>
      </c>
      <c r="C128" s="37" t="n">
        <f aca="false">(B128*(1-LOM_LandPct)*'Tax Credit Calc'!E$12*LIHTCRate4+'Tax Credit Calc'!E$23)*10*(1-'Tax Credit Calc'!$C$5)*EquityPrice</f>
        <v>4635954.97162998</v>
      </c>
      <c r="D128" s="37" t="n">
        <f aca="false">'Sources &amp; Uses'!E$25*(B128*(1-LOM_LandPct)+LOM_RehabBasis)</f>
        <v>1834147.644096</v>
      </c>
      <c r="E128" s="37" t="n">
        <f aca="false">B128+0+LOM_RehabBasis+LOM_FinFees+'Sources &amp; Uses'!E$21+LOM_ConstrInt+'Sources &amp; Uses'!E$23+D128</f>
        <v>15825143.2352744</v>
      </c>
      <c r="F128" s="37" t="n">
        <f aca="false">LOM_SelProceeds+C128+MAX(0,LOM_BridgeCF)</f>
        <v>12579987.461854</v>
      </c>
      <c r="G128" s="37" t="n">
        <f aca="false">E128-F128</f>
        <v>3245155.7734204</v>
      </c>
      <c r="H128" s="37" t="n">
        <f aca="false">MIN(D128,MAX(0,G128))</f>
        <v>1834147.644096</v>
      </c>
      <c r="I128" s="37" t="n">
        <f aca="false">G128-H128</f>
        <v>1411008.1293244</v>
      </c>
      <c r="J128" s="56" t="str">
        <f aca="false">IF(I128&lt;=SUBalanceTol,"YES","no")</f>
        <v>no</v>
      </c>
    </row>
    <row r="129" customFormat="false" ht="15" hidden="false" customHeight="true" outlineLevel="0" collapsed="false">
      <c r="B129" s="37" t="n">
        <f aca="false">34*$C$93</f>
        <v>5100000</v>
      </c>
      <c r="C129" s="37" t="n">
        <f aca="false">(B129*(1-LOM_LandPct)*'Tax Credit Calc'!E$12*LIHTCRate4+'Tax Credit Calc'!E$23)*10*(1-'Tax Credit Calc'!$C$5)*EquityPrice</f>
        <v>4676346.97162998</v>
      </c>
      <c r="D129" s="37" t="n">
        <f aca="false">'Sources &amp; Uses'!E$25*(B129*(1-LOM_LandPct)+LOM_RehabBasis)</f>
        <v>1853272.644096</v>
      </c>
      <c r="E129" s="37" t="n">
        <f aca="false">B129+0+LOM_RehabBasis+LOM_FinFees+'Sources &amp; Uses'!E$21+LOM_ConstrInt+'Sources &amp; Uses'!E$23+D129</f>
        <v>15994268.2352744</v>
      </c>
      <c r="F129" s="37" t="n">
        <f aca="false">LOM_SelProceeds+C129+MAX(0,LOM_BridgeCF)</f>
        <v>12620379.461854</v>
      </c>
      <c r="G129" s="37" t="n">
        <f aca="false">E129-F129</f>
        <v>3373888.7734204</v>
      </c>
      <c r="H129" s="37" t="n">
        <f aca="false">MIN(D129,MAX(0,G129))</f>
        <v>1853272.644096</v>
      </c>
      <c r="I129" s="37" t="n">
        <f aca="false">G129-H129</f>
        <v>1520616.1293244</v>
      </c>
      <c r="J129" s="56" t="str">
        <f aca="false">IF(I129&lt;=SUBalanceTol,"YES","no")</f>
        <v>no</v>
      </c>
    </row>
    <row r="130" customFormat="false" ht="15" hidden="false" customHeight="true" outlineLevel="0" collapsed="false">
      <c r="B130" s="37" t="n">
        <f aca="false">35*$C$93</f>
        <v>5250000</v>
      </c>
      <c r="C130" s="37" t="n">
        <f aca="false">(B130*(1-LOM_LandPct)*'Tax Credit Calc'!E$12*LIHTCRate4+'Tax Credit Calc'!E$23)*10*(1-'Tax Credit Calc'!$C$5)*EquityPrice</f>
        <v>4716738.97162998</v>
      </c>
      <c r="D130" s="37" t="n">
        <f aca="false">'Sources &amp; Uses'!E$25*(B130*(1-LOM_LandPct)+LOM_RehabBasis)</f>
        <v>1872397.644096</v>
      </c>
      <c r="E130" s="37" t="n">
        <f aca="false">B130+0+LOM_RehabBasis+LOM_FinFees+'Sources &amp; Uses'!E$21+LOM_ConstrInt+'Sources &amp; Uses'!E$23+D130</f>
        <v>16163393.2352744</v>
      </c>
      <c r="F130" s="37" t="n">
        <f aca="false">LOM_SelProceeds+C130+MAX(0,LOM_BridgeCF)</f>
        <v>12660771.461854</v>
      </c>
      <c r="G130" s="37" t="n">
        <f aca="false">E130-F130</f>
        <v>3502621.7734204</v>
      </c>
      <c r="H130" s="37" t="n">
        <f aca="false">MIN(D130,MAX(0,G130))</f>
        <v>1872397.644096</v>
      </c>
      <c r="I130" s="37" t="n">
        <f aca="false">G130-H130</f>
        <v>1630224.1293244</v>
      </c>
      <c r="J130" s="56" t="str">
        <f aca="false">IF(I130&lt;=SUBalanceTol,"YES","no")</f>
        <v>no</v>
      </c>
    </row>
    <row r="131" customFormat="false" ht="15" hidden="false" customHeight="true" outlineLevel="0" collapsed="false">
      <c r="B131" s="19" t="s">
        <v>848</v>
      </c>
      <c r="C131" s="21" t="n">
        <f aca="false">IFERROR(INDEX(B95:B130,COUNTIF(J95:J130,"YES")),0)</f>
        <v>3000000</v>
      </c>
      <c r="E131" s="13" t="s">
        <v>849</v>
      </c>
      <c r="F131" s="37" t="n">
        <f aca="false">C133/LOM_Units</f>
        <v>25210.0840336134</v>
      </c>
    </row>
    <row r="132" customFormat="false" ht="15" hidden="false" customHeight="true" outlineLevel="0" collapsed="false">
      <c r="B132" s="13" t="s">
        <v>850</v>
      </c>
      <c r="C132" s="66" t="n">
        <f aca="false">MIN(0,LOM_BridgeCF)</f>
        <v>0</v>
      </c>
      <c r="E132" s="13" t="s">
        <v>851</v>
      </c>
      <c r="F132" s="61" t="n">
        <v>71648</v>
      </c>
    </row>
    <row r="133" customFormat="false" ht="15" hidden="false" customHeight="true" outlineLevel="0" collapsed="false">
      <c r="B133" s="19" t="s">
        <v>852</v>
      </c>
      <c r="C133" s="99" t="n">
        <f aca="false">MAX(0,C131+C132)</f>
        <v>3000000</v>
      </c>
      <c r="E133" s="13" t="s">
        <v>853</v>
      </c>
      <c r="F133" s="73" t="n">
        <f aca="false">IF(C133=0,"n/a",677240/C133)</f>
        <v>0.225746666666667</v>
      </c>
      <c r="H133" s="13" t="s">
        <v>854</v>
      </c>
      <c r="J133" s="73" t="n">
        <f aca="false">IF(C133=0,"n/a",334272/C133)</f>
        <v>0.111424</v>
      </c>
    </row>
    <row r="136" customFormat="false" ht="15" hidden="false" customHeight="true" outlineLevel="0" collapsed="false">
      <c r="B136" s="3" t="s">
        <v>857</v>
      </c>
      <c r="C136" s="3"/>
      <c r="D136" s="3"/>
      <c r="E136" s="3"/>
      <c r="F136" s="3"/>
      <c r="G136" s="3"/>
      <c r="H136" s="3"/>
      <c r="I136" s="3"/>
      <c r="J136" s="3"/>
    </row>
    <row r="137" customFormat="false" ht="15" hidden="false" customHeight="true" outlineLevel="0" collapsed="false">
      <c r="B137" s="13" t="s">
        <v>838</v>
      </c>
      <c r="C137" s="61" t="n">
        <v>250000</v>
      </c>
    </row>
    <row r="138" customFormat="false" ht="15" hidden="false" customHeight="true" outlineLevel="0" collapsed="false">
      <c r="B138" s="40" t="s">
        <v>839</v>
      </c>
      <c r="C138" s="40" t="s">
        <v>840</v>
      </c>
      <c r="D138" s="40" t="s">
        <v>841</v>
      </c>
      <c r="E138" s="40" t="s">
        <v>842</v>
      </c>
      <c r="F138" s="40" t="s">
        <v>843</v>
      </c>
      <c r="G138" s="40" t="s">
        <v>844</v>
      </c>
      <c r="H138" s="40" t="s">
        <v>845</v>
      </c>
      <c r="I138" s="40" t="s">
        <v>846</v>
      </c>
      <c r="J138" s="40" t="s">
        <v>847</v>
      </c>
    </row>
    <row r="139" customFormat="false" ht="15" hidden="false" customHeight="true" outlineLevel="0" collapsed="false">
      <c r="B139" s="37" t="n">
        <f aca="false">0*$C$137</f>
        <v>0</v>
      </c>
      <c r="C139" s="37" t="n">
        <f aca="false">(B139*(1-SA_LandPct)*'Tax Credit Calc'!F$12*LIHTCRate4+'Tax Credit Calc'!F$23)*10*(1-'Tax Credit Calc'!$C$5)*EquityPrice</f>
        <v>4984449.24751488</v>
      </c>
      <c r="D139" s="37" t="n">
        <f aca="false">'Sources &amp; Uses'!F$25*(B139*(1-SA_LandPct)+SA_RehabBasis)</f>
        <v>1833399</v>
      </c>
      <c r="E139" s="37" t="n">
        <f aca="false">B139+0+SA_RehabBasis+SA_FinFees+'Sources &amp; Uses'!F$21+SA_ConstrInt+'Sources &amp; Uses'!F$23+D139</f>
        <v>15573158.5405037</v>
      </c>
      <c r="F139" s="37" t="n">
        <f aca="false">SA_SelProceeds+C139+MAX(0,SA_BridgeCF)</f>
        <v>14204260.1610514</v>
      </c>
      <c r="G139" s="37" t="n">
        <f aca="false">E139-F139</f>
        <v>1368898.37945224</v>
      </c>
      <c r="H139" s="37" t="n">
        <f aca="false">MIN(D139,MAX(0,G139))</f>
        <v>1368898.37945224</v>
      </c>
      <c r="I139" s="37" t="n">
        <f aca="false">G139-H139</f>
        <v>0</v>
      </c>
      <c r="J139" s="56" t="str">
        <f aca="false">IF(I139&lt;=SUBalanceTol,"YES","no")</f>
        <v>YES</v>
      </c>
    </row>
    <row r="140" customFormat="false" ht="15" hidden="false" customHeight="true" outlineLevel="0" collapsed="false">
      <c r="B140" s="37" t="n">
        <f aca="false">1*$C$137</f>
        <v>250000</v>
      </c>
      <c r="C140" s="37" t="n">
        <f aca="false">(B140*(1-SA_LandPct)*'Tax Credit Calc'!F$12*LIHTCRate4+'Tax Credit Calc'!F$23)*10*(1-'Tax Credit Calc'!$C$5)*EquityPrice</f>
        <v>5051109.51151488</v>
      </c>
      <c r="D140" s="37" t="n">
        <f aca="false">'Sources &amp; Uses'!F$25*(B140*(1-SA_LandPct)+SA_RehabBasis)</f>
        <v>1865274</v>
      </c>
      <c r="E140" s="37" t="n">
        <f aca="false">B140+0+SA_RehabBasis+SA_FinFees+'Sources &amp; Uses'!F$21+SA_ConstrInt+'Sources &amp; Uses'!F$23+D140</f>
        <v>15855033.5405037</v>
      </c>
      <c r="F140" s="37" t="n">
        <f aca="false">SA_SelProceeds+C140+MAX(0,SA_BridgeCF)</f>
        <v>14270920.4250514</v>
      </c>
      <c r="G140" s="37" t="n">
        <f aca="false">E140-F140</f>
        <v>1584113.11545224</v>
      </c>
      <c r="H140" s="37" t="n">
        <f aca="false">MIN(D140,MAX(0,G140))</f>
        <v>1584113.11545224</v>
      </c>
      <c r="I140" s="37" t="n">
        <f aca="false">G140-H140</f>
        <v>0</v>
      </c>
      <c r="J140" s="56" t="str">
        <f aca="false">IF(I140&lt;=SUBalanceTol,"YES","no")</f>
        <v>YES</v>
      </c>
    </row>
    <row r="141" customFormat="false" ht="15" hidden="false" customHeight="true" outlineLevel="0" collapsed="false">
      <c r="B141" s="37" t="n">
        <f aca="false">2*$C$137</f>
        <v>500000</v>
      </c>
      <c r="C141" s="37" t="n">
        <f aca="false">(B141*(1-SA_LandPct)*'Tax Credit Calc'!F$12*LIHTCRate4+'Tax Credit Calc'!F$23)*10*(1-'Tax Credit Calc'!$C$5)*EquityPrice</f>
        <v>5117769.77551488</v>
      </c>
      <c r="D141" s="37" t="n">
        <f aca="false">'Sources &amp; Uses'!F$25*(B141*(1-SA_LandPct)+SA_RehabBasis)</f>
        <v>1897149</v>
      </c>
      <c r="E141" s="37" t="n">
        <f aca="false">B141+0+SA_RehabBasis+SA_FinFees+'Sources &amp; Uses'!F$21+SA_ConstrInt+'Sources &amp; Uses'!F$23+D141</f>
        <v>16136908.5405037</v>
      </c>
      <c r="F141" s="37" t="n">
        <f aca="false">SA_SelProceeds+C141+MAX(0,SA_BridgeCF)</f>
        <v>14337580.6890514</v>
      </c>
      <c r="G141" s="37" t="n">
        <f aca="false">E141-F141</f>
        <v>1799327.85145224</v>
      </c>
      <c r="H141" s="37" t="n">
        <f aca="false">MIN(D141,MAX(0,G141))</f>
        <v>1799327.85145224</v>
      </c>
      <c r="I141" s="37" t="n">
        <f aca="false">G141-H141</f>
        <v>0</v>
      </c>
      <c r="J141" s="56" t="str">
        <f aca="false">IF(I141&lt;=SUBalanceTol,"YES","no")</f>
        <v>YES</v>
      </c>
    </row>
    <row r="142" customFormat="false" ht="15" hidden="false" customHeight="true" outlineLevel="0" collapsed="false">
      <c r="B142" s="37" t="n">
        <f aca="false">3*$C$137</f>
        <v>750000</v>
      </c>
      <c r="C142" s="37" t="n">
        <f aca="false">(B142*(1-SA_LandPct)*'Tax Credit Calc'!F$12*LIHTCRate4+'Tax Credit Calc'!F$23)*10*(1-'Tax Credit Calc'!$C$5)*EquityPrice</f>
        <v>5184430.03951488</v>
      </c>
      <c r="D142" s="37" t="n">
        <f aca="false">'Sources &amp; Uses'!F$25*(B142*(1-SA_LandPct)+SA_RehabBasis)</f>
        <v>1929024</v>
      </c>
      <c r="E142" s="37" t="n">
        <f aca="false">B142+0+SA_RehabBasis+SA_FinFees+'Sources &amp; Uses'!F$21+SA_ConstrInt+'Sources &amp; Uses'!F$23+D142</f>
        <v>16418783.5405037</v>
      </c>
      <c r="F142" s="37" t="n">
        <f aca="false">SA_SelProceeds+C142+MAX(0,SA_BridgeCF)</f>
        <v>14404240.9530514</v>
      </c>
      <c r="G142" s="37" t="n">
        <f aca="false">E142-F142</f>
        <v>2014542.58745223</v>
      </c>
      <c r="H142" s="37" t="n">
        <f aca="false">MIN(D142,MAX(0,G142))</f>
        <v>1929024</v>
      </c>
      <c r="I142" s="37" t="n">
        <f aca="false">G142-H142</f>
        <v>85518.5874522352</v>
      </c>
      <c r="J142" s="56" t="str">
        <f aca="false">IF(I142&lt;=SUBalanceTol,"YES","no")</f>
        <v>no</v>
      </c>
    </row>
    <row r="143" customFormat="false" ht="15" hidden="false" customHeight="true" outlineLevel="0" collapsed="false">
      <c r="B143" s="37" t="n">
        <f aca="false">4*$C$137</f>
        <v>1000000</v>
      </c>
      <c r="C143" s="37" t="n">
        <f aca="false">(B143*(1-SA_LandPct)*'Tax Credit Calc'!F$12*LIHTCRate4+'Tax Credit Calc'!F$23)*10*(1-'Tax Credit Calc'!$C$5)*EquityPrice</f>
        <v>5251090.30351488</v>
      </c>
      <c r="D143" s="37" t="n">
        <f aca="false">'Sources &amp; Uses'!F$25*(B143*(1-SA_LandPct)+SA_RehabBasis)</f>
        <v>1960899</v>
      </c>
      <c r="E143" s="37" t="n">
        <f aca="false">B143+0+SA_RehabBasis+SA_FinFees+'Sources &amp; Uses'!F$21+SA_ConstrInt+'Sources &amp; Uses'!F$23+D143</f>
        <v>16700658.5405037</v>
      </c>
      <c r="F143" s="37" t="n">
        <f aca="false">SA_SelProceeds+C143+MAX(0,SA_BridgeCF)</f>
        <v>14470901.2170514</v>
      </c>
      <c r="G143" s="37" t="n">
        <f aca="false">E143-F143</f>
        <v>2229757.32345224</v>
      </c>
      <c r="H143" s="37" t="n">
        <f aca="false">MIN(D143,MAX(0,G143))</f>
        <v>1960899</v>
      </c>
      <c r="I143" s="37" t="n">
        <f aca="false">G143-H143</f>
        <v>268858.323452237</v>
      </c>
      <c r="J143" s="56" t="str">
        <f aca="false">IF(I143&lt;=SUBalanceTol,"YES","no")</f>
        <v>no</v>
      </c>
    </row>
    <row r="144" customFormat="false" ht="15" hidden="false" customHeight="true" outlineLevel="0" collapsed="false">
      <c r="B144" s="37" t="n">
        <f aca="false">5*$C$137</f>
        <v>1250000</v>
      </c>
      <c r="C144" s="37" t="n">
        <f aca="false">(B144*(1-SA_LandPct)*'Tax Credit Calc'!F$12*LIHTCRate4+'Tax Credit Calc'!F$23)*10*(1-'Tax Credit Calc'!$C$5)*EquityPrice</f>
        <v>5317750.56751488</v>
      </c>
      <c r="D144" s="37" t="n">
        <f aca="false">'Sources &amp; Uses'!F$25*(B144*(1-SA_LandPct)+SA_RehabBasis)</f>
        <v>1992774</v>
      </c>
      <c r="E144" s="37" t="n">
        <f aca="false">B144+0+SA_RehabBasis+SA_FinFees+'Sources &amp; Uses'!F$21+SA_ConstrInt+'Sources &amp; Uses'!F$23+D144</f>
        <v>16982533.5405037</v>
      </c>
      <c r="F144" s="37" t="n">
        <f aca="false">SA_SelProceeds+C144+MAX(0,SA_BridgeCF)</f>
        <v>14537561.4810514</v>
      </c>
      <c r="G144" s="37" t="n">
        <f aca="false">E144-F144</f>
        <v>2444972.05945224</v>
      </c>
      <c r="H144" s="37" t="n">
        <f aca="false">MIN(D144,MAX(0,G144))</f>
        <v>1992774</v>
      </c>
      <c r="I144" s="37" t="n">
        <f aca="false">G144-H144</f>
        <v>452198.059452236</v>
      </c>
      <c r="J144" s="56" t="str">
        <f aca="false">IF(I144&lt;=SUBalanceTol,"YES","no")</f>
        <v>no</v>
      </c>
    </row>
    <row r="145" customFormat="false" ht="15" hidden="false" customHeight="true" outlineLevel="0" collapsed="false">
      <c r="B145" s="37" t="n">
        <f aca="false">6*$C$137</f>
        <v>1500000</v>
      </c>
      <c r="C145" s="37" t="n">
        <f aca="false">(B145*(1-SA_LandPct)*'Tax Credit Calc'!F$12*LIHTCRate4+'Tax Credit Calc'!F$23)*10*(1-'Tax Credit Calc'!$C$5)*EquityPrice</f>
        <v>5384410.83151488</v>
      </c>
      <c r="D145" s="37" t="n">
        <f aca="false">'Sources &amp; Uses'!F$25*(B145*(1-SA_LandPct)+SA_RehabBasis)</f>
        <v>2024649</v>
      </c>
      <c r="E145" s="37" t="n">
        <f aca="false">B145+0+SA_RehabBasis+SA_FinFees+'Sources &amp; Uses'!F$21+SA_ConstrInt+'Sources &amp; Uses'!F$23+D145</f>
        <v>17264408.5405037</v>
      </c>
      <c r="F145" s="37" t="n">
        <f aca="false">SA_SelProceeds+C145+MAX(0,SA_BridgeCF)</f>
        <v>14604221.7450514</v>
      </c>
      <c r="G145" s="37" t="n">
        <f aca="false">E145-F145</f>
        <v>2660186.79545224</v>
      </c>
      <c r="H145" s="37" t="n">
        <f aca="false">MIN(D145,MAX(0,G145))</f>
        <v>2024649</v>
      </c>
      <c r="I145" s="37" t="n">
        <f aca="false">G145-H145</f>
        <v>635537.795452238</v>
      </c>
      <c r="J145" s="56" t="str">
        <f aca="false">IF(I145&lt;=SUBalanceTol,"YES","no")</f>
        <v>no</v>
      </c>
    </row>
    <row r="146" customFormat="false" ht="15" hidden="false" customHeight="true" outlineLevel="0" collapsed="false">
      <c r="B146" s="37" t="n">
        <f aca="false">7*$C$137</f>
        <v>1750000</v>
      </c>
      <c r="C146" s="37" t="n">
        <f aca="false">(B146*(1-SA_LandPct)*'Tax Credit Calc'!F$12*LIHTCRate4+'Tax Credit Calc'!F$23)*10*(1-'Tax Credit Calc'!$C$5)*EquityPrice</f>
        <v>5451071.09551488</v>
      </c>
      <c r="D146" s="37" t="n">
        <f aca="false">'Sources &amp; Uses'!F$25*(B146*(1-SA_LandPct)+SA_RehabBasis)</f>
        <v>2056524</v>
      </c>
      <c r="E146" s="37" t="n">
        <f aca="false">B146+0+SA_RehabBasis+SA_FinFees+'Sources &amp; Uses'!F$21+SA_ConstrInt+'Sources &amp; Uses'!F$23+D146</f>
        <v>17546283.5405037</v>
      </c>
      <c r="F146" s="37" t="n">
        <f aca="false">SA_SelProceeds+C146+MAX(0,SA_BridgeCF)</f>
        <v>14670882.0090514</v>
      </c>
      <c r="G146" s="37" t="n">
        <f aca="false">E146-F146</f>
        <v>2875401.53145224</v>
      </c>
      <c r="H146" s="37" t="n">
        <f aca="false">MIN(D146,MAX(0,G146))</f>
        <v>2056524</v>
      </c>
      <c r="I146" s="37" t="n">
        <f aca="false">G146-H146</f>
        <v>818877.531452235</v>
      </c>
      <c r="J146" s="56" t="str">
        <f aca="false">IF(I146&lt;=SUBalanceTol,"YES","no")</f>
        <v>no</v>
      </c>
    </row>
    <row r="147" customFormat="false" ht="15" hidden="false" customHeight="true" outlineLevel="0" collapsed="false">
      <c r="B147" s="37" t="n">
        <f aca="false">8*$C$137</f>
        <v>2000000</v>
      </c>
      <c r="C147" s="37" t="n">
        <f aca="false">(B147*(1-SA_LandPct)*'Tax Credit Calc'!F$12*LIHTCRate4+'Tax Credit Calc'!F$23)*10*(1-'Tax Credit Calc'!$C$5)*EquityPrice</f>
        <v>5517731.35951488</v>
      </c>
      <c r="D147" s="37" t="n">
        <f aca="false">'Sources &amp; Uses'!F$25*(B147*(1-SA_LandPct)+SA_RehabBasis)</f>
        <v>2088399</v>
      </c>
      <c r="E147" s="37" t="n">
        <f aca="false">B147+0+SA_RehabBasis+SA_FinFees+'Sources &amp; Uses'!F$21+SA_ConstrInt+'Sources &amp; Uses'!F$23+D147</f>
        <v>17828158.5405037</v>
      </c>
      <c r="F147" s="37" t="n">
        <f aca="false">SA_SelProceeds+C147+MAX(0,SA_BridgeCF)</f>
        <v>14737542.2730514</v>
      </c>
      <c r="G147" s="37" t="n">
        <f aca="false">E147-F147</f>
        <v>3090616.26745224</v>
      </c>
      <c r="H147" s="37" t="n">
        <f aca="false">MIN(D147,MAX(0,G147))</f>
        <v>2088399</v>
      </c>
      <c r="I147" s="37" t="n">
        <f aca="false">G147-H147</f>
        <v>1002217.26745224</v>
      </c>
      <c r="J147" s="56" t="str">
        <f aca="false">IF(I147&lt;=SUBalanceTol,"YES","no")</f>
        <v>no</v>
      </c>
    </row>
    <row r="148" customFormat="false" ht="15" hidden="false" customHeight="true" outlineLevel="0" collapsed="false">
      <c r="B148" s="37" t="n">
        <f aca="false">9*$C$137</f>
        <v>2250000</v>
      </c>
      <c r="C148" s="37" t="n">
        <f aca="false">(B148*(1-SA_LandPct)*'Tax Credit Calc'!F$12*LIHTCRate4+'Tax Credit Calc'!F$23)*10*(1-'Tax Credit Calc'!$C$5)*EquityPrice</f>
        <v>5584391.62351488</v>
      </c>
      <c r="D148" s="37" t="n">
        <f aca="false">'Sources &amp; Uses'!F$25*(B148*(1-SA_LandPct)+SA_RehabBasis)</f>
        <v>2120274</v>
      </c>
      <c r="E148" s="37" t="n">
        <f aca="false">B148+0+SA_RehabBasis+SA_FinFees+'Sources &amp; Uses'!F$21+SA_ConstrInt+'Sources &amp; Uses'!F$23+D148</f>
        <v>18110033.5405037</v>
      </c>
      <c r="F148" s="37" t="n">
        <f aca="false">SA_SelProceeds+C148+MAX(0,SA_BridgeCF)</f>
        <v>14804202.5370514</v>
      </c>
      <c r="G148" s="37" t="n">
        <f aca="false">E148-F148</f>
        <v>3305831.00345224</v>
      </c>
      <c r="H148" s="37" t="n">
        <f aca="false">MIN(D148,MAX(0,G148))</f>
        <v>2120274</v>
      </c>
      <c r="I148" s="37" t="n">
        <f aca="false">G148-H148</f>
        <v>1185557.00345224</v>
      </c>
      <c r="J148" s="56" t="str">
        <f aca="false">IF(I148&lt;=SUBalanceTol,"YES","no")</f>
        <v>no</v>
      </c>
    </row>
    <row r="149" customFormat="false" ht="15" hidden="false" customHeight="true" outlineLevel="0" collapsed="false">
      <c r="B149" s="37" t="n">
        <f aca="false">10*$C$137</f>
        <v>2500000</v>
      </c>
      <c r="C149" s="37" t="n">
        <f aca="false">(B149*(1-SA_LandPct)*'Tax Credit Calc'!F$12*LIHTCRate4+'Tax Credit Calc'!F$23)*10*(1-'Tax Credit Calc'!$C$5)*EquityPrice</f>
        <v>5651051.88751488</v>
      </c>
      <c r="D149" s="37" t="n">
        <f aca="false">'Sources &amp; Uses'!F$25*(B149*(1-SA_LandPct)+SA_RehabBasis)</f>
        <v>2152149</v>
      </c>
      <c r="E149" s="37" t="n">
        <f aca="false">B149+0+SA_RehabBasis+SA_FinFees+'Sources &amp; Uses'!F$21+SA_ConstrInt+'Sources &amp; Uses'!F$23+D149</f>
        <v>18391908.5405037</v>
      </c>
      <c r="F149" s="37" t="n">
        <f aca="false">SA_SelProceeds+C149+MAX(0,SA_BridgeCF)</f>
        <v>14870862.8010514</v>
      </c>
      <c r="G149" s="37" t="n">
        <f aca="false">E149-F149</f>
        <v>3521045.73945224</v>
      </c>
      <c r="H149" s="37" t="n">
        <f aca="false">MIN(D149,MAX(0,G149))</f>
        <v>2152149</v>
      </c>
      <c r="I149" s="37" t="n">
        <f aca="false">G149-H149</f>
        <v>1368896.73945224</v>
      </c>
      <c r="J149" s="56" t="str">
        <f aca="false">IF(I149&lt;=SUBalanceTol,"YES","no")</f>
        <v>no</v>
      </c>
    </row>
    <row r="150" customFormat="false" ht="15" hidden="false" customHeight="true" outlineLevel="0" collapsed="false">
      <c r="B150" s="37" t="n">
        <f aca="false">11*$C$137</f>
        <v>2750000</v>
      </c>
      <c r="C150" s="37" t="n">
        <f aca="false">(B150*(1-SA_LandPct)*'Tax Credit Calc'!F$12*LIHTCRate4+'Tax Credit Calc'!F$23)*10*(1-'Tax Credit Calc'!$C$5)*EquityPrice</f>
        <v>5717712.15151488</v>
      </c>
      <c r="D150" s="37" t="n">
        <f aca="false">'Sources &amp; Uses'!F$25*(B150*(1-SA_LandPct)+SA_RehabBasis)</f>
        <v>2184024</v>
      </c>
      <c r="E150" s="37" t="n">
        <f aca="false">B150+0+SA_RehabBasis+SA_FinFees+'Sources &amp; Uses'!F$21+SA_ConstrInt+'Sources &amp; Uses'!F$23+D150</f>
        <v>18673783.5405037</v>
      </c>
      <c r="F150" s="37" t="n">
        <f aca="false">SA_SelProceeds+C150+MAX(0,SA_BridgeCF)</f>
        <v>14937523.0650514</v>
      </c>
      <c r="G150" s="37" t="n">
        <f aca="false">E150-F150</f>
        <v>3736260.47545224</v>
      </c>
      <c r="H150" s="37" t="n">
        <f aca="false">MIN(D150,MAX(0,G150))</f>
        <v>2184024</v>
      </c>
      <c r="I150" s="37" t="n">
        <f aca="false">G150-H150</f>
        <v>1552236.47545224</v>
      </c>
      <c r="J150" s="56" t="str">
        <f aca="false">IF(I150&lt;=SUBalanceTol,"YES","no")</f>
        <v>no</v>
      </c>
    </row>
    <row r="151" customFormat="false" ht="15" hidden="false" customHeight="true" outlineLevel="0" collapsed="false">
      <c r="B151" s="37" t="n">
        <f aca="false">12*$C$137</f>
        <v>3000000</v>
      </c>
      <c r="C151" s="37" t="n">
        <f aca="false">(B151*(1-SA_LandPct)*'Tax Credit Calc'!F$12*LIHTCRate4+'Tax Credit Calc'!F$23)*10*(1-'Tax Credit Calc'!$C$5)*EquityPrice</f>
        <v>5784372.41551488</v>
      </c>
      <c r="D151" s="37" t="n">
        <f aca="false">'Sources &amp; Uses'!F$25*(B151*(1-SA_LandPct)+SA_RehabBasis)</f>
        <v>2215899</v>
      </c>
      <c r="E151" s="37" t="n">
        <f aca="false">B151+0+SA_RehabBasis+SA_FinFees+'Sources &amp; Uses'!F$21+SA_ConstrInt+'Sources &amp; Uses'!F$23+D151</f>
        <v>18955658.5405037</v>
      </c>
      <c r="F151" s="37" t="n">
        <f aca="false">SA_SelProceeds+C151+MAX(0,SA_BridgeCF)</f>
        <v>15004183.3290514</v>
      </c>
      <c r="G151" s="37" t="n">
        <f aca="false">E151-F151</f>
        <v>3951475.21145223</v>
      </c>
      <c r="H151" s="37" t="n">
        <f aca="false">MIN(D151,MAX(0,G151))</f>
        <v>2215899</v>
      </c>
      <c r="I151" s="37" t="n">
        <f aca="false">G151-H151</f>
        <v>1735576.21145224</v>
      </c>
      <c r="J151" s="56" t="str">
        <f aca="false">IF(I151&lt;=SUBalanceTol,"YES","no")</f>
        <v>no</v>
      </c>
    </row>
    <row r="152" customFormat="false" ht="15" hidden="false" customHeight="true" outlineLevel="0" collapsed="false">
      <c r="B152" s="37" t="n">
        <f aca="false">13*$C$137</f>
        <v>3250000</v>
      </c>
      <c r="C152" s="37" t="n">
        <f aca="false">(B152*(1-SA_LandPct)*'Tax Credit Calc'!F$12*LIHTCRate4+'Tax Credit Calc'!F$23)*10*(1-'Tax Credit Calc'!$C$5)*EquityPrice</f>
        <v>5851032.67951488</v>
      </c>
      <c r="D152" s="37" t="n">
        <f aca="false">'Sources &amp; Uses'!F$25*(B152*(1-SA_LandPct)+SA_RehabBasis)</f>
        <v>2247774</v>
      </c>
      <c r="E152" s="37" t="n">
        <f aca="false">B152+0+SA_RehabBasis+SA_FinFees+'Sources &amp; Uses'!F$21+SA_ConstrInt+'Sources &amp; Uses'!F$23+D152</f>
        <v>19237533.5405037</v>
      </c>
      <c r="F152" s="37" t="n">
        <f aca="false">SA_SelProceeds+C152+MAX(0,SA_BridgeCF)</f>
        <v>15070843.5930514</v>
      </c>
      <c r="G152" s="37" t="n">
        <f aca="false">E152-F152</f>
        <v>4166689.94745224</v>
      </c>
      <c r="H152" s="37" t="n">
        <f aca="false">MIN(D152,MAX(0,G152))</f>
        <v>2247774</v>
      </c>
      <c r="I152" s="37" t="n">
        <f aca="false">G152-H152</f>
        <v>1918915.94745224</v>
      </c>
      <c r="J152" s="56" t="str">
        <f aca="false">IF(I152&lt;=SUBalanceTol,"YES","no")</f>
        <v>no</v>
      </c>
    </row>
    <row r="153" customFormat="false" ht="15" hidden="false" customHeight="true" outlineLevel="0" collapsed="false">
      <c r="B153" s="37" t="n">
        <f aca="false">14*$C$137</f>
        <v>3500000</v>
      </c>
      <c r="C153" s="37" t="n">
        <f aca="false">(B153*(1-SA_LandPct)*'Tax Credit Calc'!F$12*LIHTCRate4+'Tax Credit Calc'!F$23)*10*(1-'Tax Credit Calc'!$C$5)*EquityPrice</f>
        <v>5917692.94351488</v>
      </c>
      <c r="D153" s="37" t="n">
        <f aca="false">'Sources &amp; Uses'!F$25*(B153*(1-SA_LandPct)+SA_RehabBasis)</f>
        <v>2279649</v>
      </c>
      <c r="E153" s="37" t="n">
        <f aca="false">B153+0+SA_RehabBasis+SA_FinFees+'Sources &amp; Uses'!F$21+SA_ConstrInt+'Sources &amp; Uses'!F$23+D153</f>
        <v>19519408.5405037</v>
      </c>
      <c r="F153" s="37" t="n">
        <f aca="false">SA_SelProceeds+C153+MAX(0,SA_BridgeCF)</f>
        <v>15137503.8570514</v>
      </c>
      <c r="G153" s="37" t="n">
        <f aca="false">E153-F153</f>
        <v>4381904.68345224</v>
      </c>
      <c r="H153" s="37" t="n">
        <f aca="false">MIN(D153,MAX(0,G153))</f>
        <v>2279649</v>
      </c>
      <c r="I153" s="37" t="n">
        <f aca="false">G153-H153</f>
        <v>2102255.68345224</v>
      </c>
      <c r="J153" s="56" t="str">
        <f aca="false">IF(I153&lt;=SUBalanceTol,"YES","no")</f>
        <v>no</v>
      </c>
    </row>
    <row r="154" customFormat="false" ht="15" hidden="false" customHeight="true" outlineLevel="0" collapsed="false">
      <c r="B154" s="37" t="n">
        <f aca="false">15*$C$137</f>
        <v>3750000</v>
      </c>
      <c r="C154" s="37" t="n">
        <f aca="false">(B154*(1-SA_LandPct)*'Tax Credit Calc'!F$12*LIHTCRate4+'Tax Credit Calc'!F$23)*10*(1-'Tax Credit Calc'!$C$5)*EquityPrice</f>
        <v>5984353.20751488</v>
      </c>
      <c r="D154" s="37" t="n">
        <f aca="false">'Sources &amp; Uses'!F$25*(B154*(1-SA_LandPct)+SA_RehabBasis)</f>
        <v>2311524</v>
      </c>
      <c r="E154" s="37" t="n">
        <f aca="false">B154+0+SA_RehabBasis+SA_FinFees+'Sources &amp; Uses'!F$21+SA_ConstrInt+'Sources &amp; Uses'!F$23+D154</f>
        <v>19801283.5405037</v>
      </c>
      <c r="F154" s="37" t="n">
        <f aca="false">SA_SelProceeds+C154+MAX(0,SA_BridgeCF)</f>
        <v>15204164.1210514</v>
      </c>
      <c r="G154" s="37" t="n">
        <f aca="false">E154-F154</f>
        <v>4597119.41945224</v>
      </c>
      <c r="H154" s="37" t="n">
        <f aca="false">MIN(D154,MAX(0,G154))</f>
        <v>2311524</v>
      </c>
      <c r="I154" s="37" t="n">
        <f aca="false">G154-H154</f>
        <v>2285595.41945224</v>
      </c>
      <c r="J154" s="56" t="str">
        <f aca="false">IF(I154&lt;=SUBalanceTol,"YES","no")</f>
        <v>no</v>
      </c>
    </row>
    <row r="155" customFormat="false" ht="15" hidden="false" customHeight="true" outlineLevel="0" collapsed="false">
      <c r="B155" s="37" t="n">
        <f aca="false">16*$C$137</f>
        <v>4000000</v>
      </c>
      <c r="C155" s="37" t="n">
        <f aca="false">(B155*(1-SA_LandPct)*'Tax Credit Calc'!F$12*LIHTCRate4+'Tax Credit Calc'!F$23)*10*(1-'Tax Credit Calc'!$C$5)*EquityPrice</f>
        <v>6051013.47151488</v>
      </c>
      <c r="D155" s="37" t="n">
        <f aca="false">'Sources &amp; Uses'!F$25*(B155*(1-SA_LandPct)+SA_RehabBasis)</f>
        <v>2343399</v>
      </c>
      <c r="E155" s="37" t="n">
        <f aca="false">B155+0+SA_RehabBasis+SA_FinFees+'Sources &amp; Uses'!F$21+SA_ConstrInt+'Sources &amp; Uses'!F$23+D155</f>
        <v>20083158.5405037</v>
      </c>
      <c r="F155" s="37" t="n">
        <f aca="false">SA_SelProceeds+C155+MAX(0,SA_BridgeCF)</f>
        <v>15270824.3850514</v>
      </c>
      <c r="G155" s="37" t="n">
        <f aca="false">E155-F155</f>
        <v>4812334.15545224</v>
      </c>
      <c r="H155" s="37" t="n">
        <f aca="false">MIN(D155,MAX(0,G155))</f>
        <v>2343399</v>
      </c>
      <c r="I155" s="37" t="n">
        <f aca="false">G155-H155</f>
        <v>2468935.15545224</v>
      </c>
      <c r="J155" s="56" t="str">
        <f aca="false">IF(I155&lt;=SUBalanceTol,"YES","no")</f>
        <v>no</v>
      </c>
    </row>
    <row r="156" customFormat="false" ht="15" hidden="false" customHeight="true" outlineLevel="0" collapsed="false">
      <c r="B156" s="37" t="n">
        <f aca="false">17*$C$137</f>
        <v>4250000</v>
      </c>
      <c r="C156" s="37" t="n">
        <f aca="false">(B156*(1-SA_LandPct)*'Tax Credit Calc'!F$12*LIHTCRate4+'Tax Credit Calc'!F$23)*10*(1-'Tax Credit Calc'!$C$5)*EquityPrice</f>
        <v>6117673.73551488</v>
      </c>
      <c r="D156" s="37" t="n">
        <f aca="false">'Sources &amp; Uses'!F$25*(B156*(1-SA_LandPct)+SA_RehabBasis)</f>
        <v>2375274</v>
      </c>
      <c r="E156" s="37" t="n">
        <f aca="false">B156+0+SA_RehabBasis+SA_FinFees+'Sources &amp; Uses'!F$21+SA_ConstrInt+'Sources &amp; Uses'!F$23+D156</f>
        <v>20365033.5405037</v>
      </c>
      <c r="F156" s="37" t="n">
        <f aca="false">SA_SelProceeds+C156+MAX(0,SA_BridgeCF)</f>
        <v>15337484.6490514</v>
      </c>
      <c r="G156" s="37" t="n">
        <f aca="false">E156-F156</f>
        <v>5027548.89145224</v>
      </c>
      <c r="H156" s="37" t="n">
        <f aca="false">MIN(D156,MAX(0,G156))</f>
        <v>2375274</v>
      </c>
      <c r="I156" s="37" t="n">
        <f aca="false">G156-H156</f>
        <v>2652274.89145224</v>
      </c>
      <c r="J156" s="56" t="str">
        <f aca="false">IF(I156&lt;=SUBalanceTol,"YES","no")</f>
        <v>no</v>
      </c>
    </row>
    <row r="157" customFormat="false" ht="15" hidden="false" customHeight="true" outlineLevel="0" collapsed="false">
      <c r="B157" s="37" t="n">
        <f aca="false">18*$C$137</f>
        <v>4500000</v>
      </c>
      <c r="C157" s="37" t="n">
        <f aca="false">(B157*(1-SA_LandPct)*'Tax Credit Calc'!F$12*LIHTCRate4+'Tax Credit Calc'!F$23)*10*(1-'Tax Credit Calc'!$C$5)*EquityPrice</f>
        <v>6184333.99951488</v>
      </c>
      <c r="D157" s="37" t="n">
        <f aca="false">'Sources &amp; Uses'!F$25*(B157*(1-SA_LandPct)+SA_RehabBasis)</f>
        <v>2407149</v>
      </c>
      <c r="E157" s="37" t="n">
        <f aca="false">B157+0+SA_RehabBasis+SA_FinFees+'Sources &amp; Uses'!F$21+SA_ConstrInt+'Sources &amp; Uses'!F$23+D157</f>
        <v>20646908.5405037</v>
      </c>
      <c r="F157" s="37" t="n">
        <f aca="false">SA_SelProceeds+C157+MAX(0,SA_BridgeCF)</f>
        <v>15404144.9130514</v>
      </c>
      <c r="G157" s="37" t="n">
        <f aca="false">E157-F157</f>
        <v>5242763.62745224</v>
      </c>
      <c r="H157" s="37" t="n">
        <f aca="false">MIN(D157,MAX(0,G157))</f>
        <v>2407149</v>
      </c>
      <c r="I157" s="37" t="n">
        <f aca="false">G157-H157</f>
        <v>2835614.62745224</v>
      </c>
      <c r="J157" s="56" t="str">
        <f aca="false">IF(I157&lt;=SUBalanceTol,"YES","no")</f>
        <v>no</v>
      </c>
    </row>
    <row r="158" customFormat="false" ht="15" hidden="false" customHeight="true" outlineLevel="0" collapsed="false">
      <c r="B158" s="37" t="n">
        <f aca="false">19*$C$137</f>
        <v>4750000</v>
      </c>
      <c r="C158" s="37" t="n">
        <f aca="false">(B158*(1-SA_LandPct)*'Tax Credit Calc'!F$12*LIHTCRate4+'Tax Credit Calc'!F$23)*10*(1-'Tax Credit Calc'!$C$5)*EquityPrice</f>
        <v>6250994.26351488</v>
      </c>
      <c r="D158" s="37" t="n">
        <f aca="false">'Sources &amp; Uses'!F$25*(B158*(1-SA_LandPct)+SA_RehabBasis)</f>
        <v>2439024</v>
      </c>
      <c r="E158" s="37" t="n">
        <f aca="false">B158+0+SA_RehabBasis+SA_FinFees+'Sources &amp; Uses'!F$21+SA_ConstrInt+'Sources &amp; Uses'!F$23+D158</f>
        <v>20928783.5405037</v>
      </c>
      <c r="F158" s="37" t="n">
        <f aca="false">SA_SelProceeds+C158+MAX(0,SA_BridgeCF)</f>
        <v>15470805.1770514</v>
      </c>
      <c r="G158" s="37" t="n">
        <f aca="false">E158-F158</f>
        <v>5457978.36345224</v>
      </c>
      <c r="H158" s="37" t="n">
        <f aca="false">MIN(D158,MAX(0,G158))</f>
        <v>2439024</v>
      </c>
      <c r="I158" s="37" t="n">
        <f aca="false">G158-H158</f>
        <v>3018954.36345224</v>
      </c>
      <c r="J158" s="56" t="str">
        <f aca="false">IF(I158&lt;=SUBalanceTol,"YES","no")</f>
        <v>no</v>
      </c>
    </row>
    <row r="159" customFormat="false" ht="15" hidden="false" customHeight="true" outlineLevel="0" collapsed="false">
      <c r="B159" s="37" t="n">
        <f aca="false">20*$C$137</f>
        <v>5000000</v>
      </c>
      <c r="C159" s="37" t="n">
        <f aca="false">(B159*(1-SA_LandPct)*'Tax Credit Calc'!F$12*LIHTCRate4+'Tax Credit Calc'!F$23)*10*(1-'Tax Credit Calc'!$C$5)*EquityPrice</f>
        <v>6317654.52751488</v>
      </c>
      <c r="D159" s="37" t="n">
        <f aca="false">'Sources &amp; Uses'!F$25*(B159*(1-SA_LandPct)+SA_RehabBasis)</f>
        <v>2470899</v>
      </c>
      <c r="E159" s="37" t="n">
        <f aca="false">B159+0+SA_RehabBasis+SA_FinFees+'Sources &amp; Uses'!F$21+SA_ConstrInt+'Sources &amp; Uses'!F$23+D159</f>
        <v>21210658.5405037</v>
      </c>
      <c r="F159" s="37" t="n">
        <f aca="false">SA_SelProceeds+C159+MAX(0,SA_BridgeCF)</f>
        <v>15537465.4410514</v>
      </c>
      <c r="G159" s="37" t="n">
        <f aca="false">E159-F159</f>
        <v>5673193.09945224</v>
      </c>
      <c r="H159" s="37" t="n">
        <f aca="false">MIN(D159,MAX(0,G159))</f>
        <v>2470899</v>
      </c>
      <c r="I159" s="37" t="n">
        <f aca="false">G159-H159</f>
        <v>3202294.09945224</v>
      </c>
      <c r="J159" s="56" t="str">
        <f aca="false">IF(I159&lt;=SUBalanceTol,"YES","no")</f>
        <v>no</v>
      </c>
    </row>
    <row r="160" customFormat="false" ht="15" hidden="false" customHeight="true" outlineLevel="0" collapsed="false">
      <c r="B160" s="37" t="n">
        <f aca="false">21*$C$137</f>
        <v>5250000</v>
      </c>
      <c r="C160" s="37" t="n">
        <f aca="false">(B160*(1-SA_LandPct)*'Tax Credit Calc'!F$12*LIHTCRate4+'Tax Credit Calc'!F$23)*10*(1-'Tax Credit Calc'!$C$5)*EquityPrice</f>
        <v>6384314.79151488</v>
      </c>
      <c r="D160" s="37" t="n">
        <f aca="false">'Sources &amp; Uses'!F$25*(B160*(1-SA_LandPct)+SA_RehabBasis)</f>
        <v>2502774</v>
      </c>
      <c r="E160" s="37" t="n">
        <f aca="false">B160+0+SA_RehabBasis+SA_FinFees+'Sources &amp; Uses'!F$21+SA_ConstrInt+'Sources &amp; Uses'!F$23+D160</f>
        <v>21492533.5405037</v>
      </c>
      <c r="F160" s="37" t="n">
        <f aca="false">SA_SelProceeds+C160+MAX(0,SA_BridgeCF)</f>
        <v>15604125.7050514</v>
      </c>
      <c r="G160" s="37" t="n">
        <f aca="false">E160-F160</f>
        <v>5888407.83545224</v>
      </c>
      <c r="H160" s="37" t="n">
        <f aca="false">MIN(D160,MAX(0,G160))</f>
        <v>2502774</v>
      </c>
      <c r="I160" s="37" t="n">
        <f aca="false">G160-H160</f>
        <v>3385633.83545224</v>
      </c>
      <c r="J160" s="56" t="str">
        <f aca="false">IF(I160&lt;=SUBalanceTol,"YES","no")</f>
        <v>no</v>
      </c>
    </row>
    <row r="161" customFormat="false" ht="15" hidden="false" customHeight="true" outlineLevel="0" collapsed="false">
      <c r="B161" s="37" t="n">
        <f aca="false">22*$C$137</f>
        <v>5500000</v>
      </c>
      <c r="C161" s="37" t="n">
        <f aca="false">(B161*(1-SA_LandPct)*'Tax Credit Calc'!F$12*LIHTCRate4+'Tax Credit Calc'!F$23)*10*(1-'Tax Credit Calc'!$C$5)*EquityPrice</f>
        <v>6450975.05551488</v>
      </c>
      <c r="D161" s="37" t="n">
        <f aca="false">'Sources &amp; Uses'!F$25*(B161*(1-SA_LandPct)+SA_RehabBasis)</f>
        <v>2534649</v>
      </c>
      <c r="E161" s="37" t="n">
        <f aca="false">B161+0+SA_RehabBasis+SA_FinFees+'Sources &amp; Uses'!F$21+SA_ConstrInt+'Sources &amp; Uses'!F$23+D161</f>
        <v>21774408.5405037</v>
      </c>
      <c r="F161" s="37" t="n">
        <f aca="false">SA_SelProceeds+C161+MAX(0,SA_BridgeCF)</f>
        <v>15670785.9690514</v>
      </c>
      <c r="G161" s="37" t="n">
        <f aca="false">E161-F161</f>
        <v>6103622.57145224</v>
      </c>
      <c r="H161" s="37" t="n">
        <f aca="false">MIN(D161,MAX(0,G161))</f>
        <v>2534649</v>
      </c>
      <c r="I161" s="37" t="n">
        <f aca="false">G161-H161</f>
        <v>3568973.57145224</v>
      </c>
      <c r="J161" s="56" t="str">
        <f aca="false">IF(I161&lt;=SUBalanceTol,"YES","no")</f>
        <v>no</v>
      </c>
    </row>
    <row r="162" customFormat="false" ht="15" hidden="false" customHeight="true" outlineLevel="0" collapsed="false">
      <c r="B162" s="37" t="n">
        <f aca="false">23*$C$137</f>
        <v>5750000</v>
      </c>
      <c r="C162" s="37" t="n">
        <f aca="false">(B162*(1-SA_LandPct)*'Tax Credit Calc'!F$12*LIHTCRate4+'Tax Credit Calc'!F$23)*10*(1-'Tax Credit Calc'!$C$5)*EquityPrice</f>
        <v>6517635.31951488</v>
      </c>
      <c r="D162" s="37" t="n">
        <f aca="false">'Sources &amp; Uses'!F$25*(B162*(1-SA_LandPct)+SA_RehabBasis)</f>
        <v>2566524</v>
      </c>
      <c r="E162" s="37" t="n">
        <f aca="false">B162+0+SA_RehabBasis+SA_FinFees+'Sources &amp; Uses'!F$21+SA_ConstrInt+'Sources &amp; Uses'!F$23+D162</f>
        <v>22056283.5405037</v>
      </c>
      <c r="F162" s="37" t="n">
        <f aca="false">SA_SelProceeds+C162+MAX(0,SA_BridgeCF)</f>
        <v>15737446.2330514</v>
      </c>
      <c r="G162" s="37" t="n">
        <f aca="false">E162-F162</f>
        <v>6318837.30745224</v>
      </c>
      <c r="H162" s="37" t="n">
        <f aca="false">MIN(D162,MAX(0,G162))</f>
        <v>2566524</v>
      </c>
      <c r="I162" s="37" t="n">
        <f aca="false">G162-H162</f>
        <v>3752313.30745224</v>
      </c>
      <c r="J162" s="56" t="str">
        <f aca="false">IF(I162&lt;=SUBalanceTol,"YES","no")</f>
        <v>no</v>
      </c>
    </row>
    <row r="163" customFormat="false" ht="15" hidden="false" customHeight="true" outlineLevel="0" collapsed="false">
      <c r="B163" s="37" t="n">
        <f aca="false">24*$C$137</f>
        <v>6000000</v>
      </c>
      <c r="C163" s="37" t="n">
        <f aca="false">(B163*(1-SA_LandPct)*'Tax Credit Calc'!F$12*LIHTCRate4+'Tax Credit Calc'!F$23)*10*(1-'Tax Credit Calc'!$C$5)*EquityPrice</f>
        <v>6584295.58351488</v>
      </c>
      <c r="D163" s="37" t="n">
        <f aca="false">'Sources &amp; Uses'!F$25*(B163*(1-SA_LandPct)+SA_RehabBasis)</f>
        <v>2598399</v>
      </c>
      <c r="E163" s="37" t="n">
        <f aca="false">B163+0+SA_RehabBasis+SA_FinFees+'Sources &amp; Uses'!F$21+SA_ConstrInt+'Sources &amp; Uses'!F$23+D163</f>
        <v>22338158.5405037</v>
      </c>
      <c r="F163" s="37" t="n">
        <f aca="false">SA_SelProceeds+C163+MAX(0,SA_BridgeCF)</f>
        <v>15804106.4970514</v>
      </c>
      <c r="G163" s="37" t="n">
        <f aca="false">E163-F163</f>
        <v>6534052.04345224</v>
      </c>
      <c r="H163" s="37" t="n">
        <f aca="false">MIN(D163,MAX(0,G163))</f>
        <v>2598399</v>
      </c>
      <c r="I163" s="37" t="n">
        <f aca="false">G163-H163</f>
        <v>3935653.04345224</v>
      </c>
      <c r="J163" s="56" t="str">
        <f aca="false">IF(I163&lt;=SUBalanceTol,"YES","no")</f>
        <v>no</v>
      </c>
    </row>
    <row r="164" customFormat="false" ht="15" hidden="false" customHeight="true" outlineLevel="0" collapsed="false">
      <c r="B164" s="37" t="n">
        <f aca="false">25*$C$137</f>
        <v>6250000</v>
      </c>
      <c r="C164" s="37" t="n">
        <f aca="false">(B164*(1-SA_LandPct)*'Tax Credit Calc'!F$12*LIHTCRate4+'Tax Credit Calc'!F$23)*10*(1-'Tax Credit Calc'!$C$5)*EquityPrice</f>
        <v>6650955.84751488</v>
      </c>
      <c r="D164" s="37" t="n">
        <f aca="false">'Sources &amp; Uses'!F$25*(B164*(1-SA_LandPct)+SA_RehabBasis)</f>
        <v>2630274</v>
      </c>
      <c r="E164" s="37" t="n">
        <f aca="false">B164+0+SA_RehabBasis+SA_FinFees+'Sources &amp; Uses'!F$21+SA_ConstrInt+'Sources &amp; Uses'!F$23+D164</f>
        <v>22620033.5405037</v>
      </c>
      <c r="F164" s="37" t="n">
        <f aca="false">SA_SelProceeds+C164+MAX(0,SA_BridgeCF)</f>
        <v>15870766.7610514</v>
      </c>
      <c r="G164" s="37" t="n">
        <f aca="false">E164-F164</f>
        <v>6749266.77945223</v>
      </c>
      <c r="H164" s="37" t="n">
        <f aca="false">MIN(D164,MAX(0,G164))</f>
        <v>2630274</v>
      </c>
      <c r="I164" s="37" t="n">
        <f aca="false">G164-H164</f>
        <v>4118992.77945223</v>
      </c>
      <c r="J164" s="56" t="str">
        <f aca="false">IF(I164&lt;=SUBalanceTol,"YES","no")</f>
        <v>no</v>
      </c>
    </row>
    <row r="165" customFormat="false" ht="15" hidden="false" customHeight="true" outlineLevel="0" collapsed="false">
      <c r="B165" s="37" t="n">
        <f aca="false">26*$C$137</f>
        <v>6500000</v>
      </c>
      <c r="C165" s="37" t="n">
        <f aca="false">(B165*(1-SA_LandPct)*'Tax Credit Calc'!F$12*LIHTCRate4+'Tax Credit Calc'!F$23)*10*(1-'Tax Credit Calc'!$C$5)*EquityPrice</f>
        <v>6717616.11151488</v>
      </c>
      <c r="D165" s="37" t="n">
        <f aca="false">'Sources &amp; Uses'!F$25*(B165*(1-SA_LandPct)+SA_RehabBasis)</f>
        <v>2662149</v>
      </c>
      <c r="E165" s="37" t="n">
        <f aca="false">B165+0+SA_RehabBasis+SA_FinFees+'Sources &amp; Uses'!F$21+SA_ConstrInt+'Sources &amp; Uses'!F$23+D165</f>
        <v>22901908.5405037</v>
      </c>
      <c r="F165" s="37" t="n">
        <f aca="false">SA_SelProceeds+C165+MAX(0,SA_BridgeCF)</f>
        <v>15937427.0250514</v>
      </c>
      <c r="G165" s="37" t="n">
        <f aca="false">E165-F165</f>
        <v>6964481.51545224</v>
      </c>
      <c r="H165" s="37" t="n">
        <f aca="false">MIN(D165,MAX(0,G165))</f>
        <v>2662149</v>
      </c>
      <c r="I165" s="37" t="n">
        <f aca="false">G165-H165</f>
        <v>4302332.51545224</v>
      </c>
      <c r="J165" s="56" t="str">
        <f aca="false">IF(I165&lt;=SUBalanceTol,"YES","no")</f>
        <v>no</v>
      </c>
    </row>
    <row r="166" customFormat="false" ht="15" hidden="false" customHeight="true" outlineLevel="0" collapsed="false">
      <c r="B166" s="37" t="n">
        <f aca="false">27*$C$137</f>
        <v>6750000</v>
      </c>
      <c r="C166" s="37" t="n">
        <f aca="false">(B166*(1-SA_LandPct)*'Tax Credit Calc'!F$12*LIHTCRate4+'Tax Credit Calc'!F$23)*10*(1-'Tax Credit Calc'!$C$5)*EquityPrice</f>
        <v>6784276.37551488</v>
      </c>
      <c r="D166" s="37" t="n">
        <f aca="false">'Sources &amp; Uses'!F$25*(B166*(1-SA_LandPct)+SA_RehabBasis)</f>
        <v>2694024</v>
      </c>
      <c r="E166" s="37" t="n">
        <f aca="false">B166+0+SA_RehabBasis+SA_FinFees+'Sources &amp; Uses'!F$21+SA_ConstrInt+'Sources &amp; Uses'!F$23+D166</f>
        <v>23183783.5405037</v>
      </c>
      <c r="F166" s="37" t="n">
        <f aca="false">SA_SelProceeds+C166+MAX(0,SA_BridgeCF)</f>
        <v>16004087.2890514</v>
      </c>
      <c r="G166" s="37" t="n">
        <f aca="false">E166-F166</f>
        <v>7179696.25145224</v>
      </c>
      <c r="H166" s="37" t="n">
        <f aca="false">MIN(D166,MAX(0,G166))</f>
        <v>2694024</v>
      </c>
      <c r="I166" s="37" t="n">
        <f aca="false">G166-H166</f>
        <v>4485672.25145224</v>
      </c>
      <c r="J166" s="56" t="str">
        <f aca="false">IF(I166&lt;=SUBalanceTol,"YES","no")</f>
        <v>no</v>
      </c>
    </row>
    <row r="167" customFormat="false" ht="15" hidden="false" customHeight="true" outlineLevel="0" collapsed="false">
      <c r="B167" s="37" t="n">
        <f aca="false">28*$C$137</f>
        <v>7000000</v>
      </c>
      <c r="C167" s="37" t="n">
        <f aca="false">(B167*(1-SA_LandPct)*'Tax Credit Calc'!F$12*LIHTCRate4+'Tax Credit Calc'!F$23)*10*(1-'Tax Credit Calc'!$C$5)*EquityPrice</f>
        <v>6850936.63951488</v>
      </c>
      <c r="D167" s="37" t="n">
        <f aca="false">'Sources &amp; Uses'!F$25*(B167*(1-SA_LandPct)+SA_RehabBasis)</f>
        <v>2725899</v>
      </c>
      <c r="E167" s="37" t="n">
        <f aca="false">B167+0+SA_RehabBasis+SA_FinFees+'Sources &amp; Uses'!F$21+SA_ConstrInt+'Sources &amp; Uses'!F$23+D167</f>
        <v>23465658.5405037</v>
      </c>
      <c r="F167" s="37" t="n">
        <f aca="false">SA_SelProceeds+C167+MAX(0,SA_BridgeCF)</f>
        <v>16070747.5530514</v>
      </c>
      <c r="G167" s="37" t="n">
        <f aca="false">E167-F167</f>
        <v>7394910.98745224</v>
      </c>
      <c r="H167" s="37" t="n">
        <f aca="false">MIN(D167,MAX(0,G167))</f>
        <v>2725899</v>
      </c>
      <c r="I167" s="37" t="n">
        <f aca="false">G167-H167</f>
        <v>4669011.98745224</v>
      </c>
      <c r="J167" s="56" t="str">
        <f aca="false">IF(I167&lt;=SUBalanceTol,"YES","no")</f>
        <v>no</v>
      </c>
    </row>
    <row r="168" customFormat="false" ht="15" hidden="false" customHeight="true" outlineLevel="0" collapsed="false">
      <c r="B168" s="37" t="n">
        <f aca="false">29*$C$137</f>
        <v>7250000</v>
      </c>
      <c r="C168" s="37" t="n">
        <f aca="false">(B168*(1-SA_LandPct)*'Tax Credit Calc'!F$12*LIHTCRate4+'Tax Credit Calc'!F$23)*10*(1-'Tax Credit Calc'!$C$5)*EquityPrice</f>
        <v>6917596.90351488</v>
      </c>
      <c r="D168" s="37" t="n">
        <f aca="false">'Sources &amp; Uses'!F$25*(B168*(1-SA_LandPct)+SA_RehabBasis)</f>
        <v>2757774</v>
      </c>
      <c r="E168" s="37" t="n">
        <f aca="false">B168+0+SA_RehabBasis+SA_FinFees+'Sources &amp; Uses'!F$21+SA_ConstrInt+'Sources &amp; Uses'!F$23+D168</f>
        <v>23747533.5405037</v>
      </c>
      <c r="F168" s="37" t="n">
        <f aca="false">SA_SelProceeds+C168+MAX(0,SA_BridgeCF)</f>
        <v>16137407.8170514</v>
      </c>
      <c r="G168" s="37" t="n">
        <f aca="false">E168-F168</f>
        <v>7610125.72345224</v>
      </c>
      <c r="H168" s="37" t="n">
        <f aca="false">MIN(D168,MAX(0,G168))</f>
        <v>2757774</v>
      </c>
      <c r="I168" s="37" t="n">
        <f aca="false">G168-H168</f>
        <v>4852351.72345224</v>
      </c>
      <c r="J168" s="56" t="str">
        <f aca="false">IF(I168&lt;=SUBalanceTol,"YES","no")</f>
        <v>no</v>
      </c>
    </row>
    <row r="169" customFormat="false" ht="15" hidden="false" customHeight="true" outlineLevel="0" collapsed="false">
      <c r="B169" s="37" t="n">
        <f aca="false">30*$C$137</f>
        <v>7500000</v>
      </c>
      <c r="C169" s="37" t="n">
        <f aca="false">(B169*(1-SA_LandPct)*'Tax Credit Calc'!F$12*LIHTCRate4+'Tax Credit Calc'!F$23)*10*(1-'Tax Credit Calc'!$C$5)*EquityPrice</f>
        <v>6984257.16751488</v>
      </c>
      <c r="D169" s="37" t="n">
        <f aca="false">'Sources &amp; Uses'!F$25*(B169*(1-SA_LandPct)+SA_RehabBasis)</f>
        <v>2789649</v>
      </c>
      <c r="E169" s="37" t="n">
        <f aca="false">B169+0+SA_RehabBasis+SA_FinFees+'Sources &amp; Uses'!F$21+SA_ConstrInt+'Sources &amp; Uses'!F$23+D169</f>
        <v>24029408.5405037</v>
      </c>
      <c r="F169" s="37" t="n">
        <f aca="false">SA_SelProceeds+C169+MAX(0,SA_BridgeCF)</f>
        <v>16204068.0810514</v>
      </c>
      <c r="G169" s="37" t="n">
        <f aca="false">E169-F169</f>
        <v>7825340.45945223</v>
      </c>
      <c r="H169" s="37" t="n">
        <f aca="false">MIN(D169,MAX(0,G169))</f>
        <v>2789649</v>
      </c>
      <c r="I169" s="37" t="n">
        <f aca="false">G169-H169</f>
        <v>5035691.45945223</v>
      </c>
      <c r="J169" s="56" t="str">
        <f aca="false">IF(I169&lt;=SUBalanceTol,"YES","no")</f>
        <v>no</v>
      </c>
    </row>
    <row r="170" customFormat="false" ht="15" hidden="false" customHeight="true" outlineLevel="0" collapsed="false">
      <c r="B170" s="37" t="n">
        <f aca="false">31*$C$137</f>
        <v>7750000</v>
      </c>
      <c r="C170" s="37" t="n">
        <f aca="false">(B170*(1-SA_LandPct)*'Tax Credit Calc'!F$12*LIHTCRate4+'Tax Credit Calc'!F$23)*10*(1-'Tax Credit Calc'!$C$5)*EquityPrice</f>
        <v>7050917.43151488</v>
      </c>
      <c r="D170" s="37" t="n">
        <f aca="false">'Sources &amp; Uses'!F$25*(B170*(1-SA_LandPct)+SA_RehabBasis)</f>
        <v>2821524</v>
      </c>
      <c r="E170" s="37" t="n">
        <f aca="false">B170+0+SA_RehabBasis+SA_FinFees+'Sources &amp; Uses'!F$21+SA_ConstrInt+'Sources &amp; Uses'!F$23+D170</f>
        <v>24311283.5405037</v>
      </c>
      <c r="F170" s="37" t="n">
        <f aca="false">SA_SelProceeds+C170+MAX(0,SA_BridgeCF)</f>
        <v>16270728.3450514</v>
      </c>
      <c r="G170" s="37" t="n">
        <f aca="false">E170-F170</f>
        <v>8040555.19545224</v>
      </c>
      <c r="H170" s="37" t="n">
        <f aca="false">MIN(D170,MAX(0,G170))</f>
        <v>2821524</v>
      </c>
      <c r="I170" s="37" t="n">
        <f aca="false">G170-H170</f>
        <v>5219031.19545224</v>
      </c>
      <c r="J170" s="56" t="str">
        <f aca="false">IF(I170&lt;=SUBalanceTol,"YES","no")</f>
        <v>no</v>
      </c>
    </row>
    <row r="171" customFormat="false" ht="15" hidden="false" customHeight="true" outlineLevel="0" collapsed="false">
      <c r="B171" s="37" t="n">
        <f aca="false">32*$C$137</f>
        <v>8000000</v>
      </c>
      <c r="C171" s="37" t="n">
        <f aca="false">(B171*(1-SA_LandPct)*'Tax Credit Calc'!F$12*LIHTCRate4+'Tax Credit Calc'!F$23)*10*(1-'Tax Credit Calc'!$C$5)*EquityPrice</f>
        <v>7117577.69551488</v>
      </c>
      <c r="D171" s="37" t="n">
        <f aca="false">'Sources &amp; Uses'!F$25*(B171*(1-SA_LandPct)+SA_RehabBasis)</f>
        <v>2853399</v>
      </c>
      <c r="E171" s="37" t="n">
        <f aca="false">B171+0+SA_RehabBasis+SA_FinFees+'Sources &amp; Uses'!F$21+SA_ConstrInt+'Sources &amp; Uses'!F$23+D171</f>
        <v>24593158.5405037</v>
      </c>
      <c r="F171" s="37" t="n">
        <f aca="false">SA_SelProceeds+C171+MAX(0,SA_BridgeCF)</f>
        <v>16337388.6090514</v>
      </c>
      <c r="G171" s="37" t="n">
        <f aca="false">E171-F171</f>
        <v>8255769.93145224</v>
      </c>
      <c r="H171" s="37" t="n">
        <f aca="false">MIN(D171,MAX(0,G171))</f>
        <v>2853399</v>
      </c>
      <c r="I171" s="37" t="n">
        <f aca="false">G171-H171</f>
        <v>5402370.93145224</v>
      </c>
      <c r="J171" s="56" t="str">
        <f aca="false">IF(I171&lt;=SUBalanceTol,"YES","no")</f>
        <v>no</v>
      </c>
    </row>
    <row r="172" customFormat="false" ht="15" hidden="false" customHeight="true" outlineLevel="0" collapsed="false">
      <c r="B172" s="37" t="n">
        <f aca="false">33*$C$137</f>
        <v>8250000</v>
      </c>
      <c r="C172" s="37" t="n">
        <f aca="false">(B172*(1-SA_LandPct)*'Tax Credit Calc'!F$12*LIHTCRate4+'Tax Credit Calc'!F$23)*10*(1-'Tax Credit Calc'!$C$5)*EquityPrice</f>
        <v>7184237.95951488</v>
      </c>
      <c r="D172" s="37" t="n">
        <f aca="false">'Sources &amp; Uses'!F$25*(B172*(1-SA_LandPct)+SA_RehabBasis)</f>
        <v>2885274</v>
      </c>
      <c r="E172" s="37" t="n">
        <f aca="false">B172+0+SA_RehabBasis+SA_FinFees+'Sources &amp; Uses'!F$21+SA_ConstrInt+'Sources &amp; Uses'!F$23+D172</f>
        <v>24875033.5405037</v>
      </c>
      <c r="F172" s="37" t="n">
        <f aca="false">SA_SelProceeds+C172+MAX(0,SA_BridgeCF)</f>
        <v>16404048.8730514</v>
      </c>
      <c r="G172" s="37" t="n">
        <f aca="false">E172-F172</f>
        <v>8470984.66745224</v>
      </c>
      <c r="H172" s="37" t="n">
        <f aca="false">MIN(D172,MAX(0,G172))</f>
        <v>2885274</v>
      </c>
      <c r="I172" s="37" t="n">
        <f aca="false">G172-H172</f>
        <v>5585710.66745224</v>
      </c>
      <c r="J172" s="56" t="str">
        <f aca="false">IF(I172&lt;=SUBalanceTol,"YES","no")</f>
        <v>no</v>
      </c>
    </row>
    <row r="173" customFormat="false" ht="15" hidden="false" customHeight="true" outlineLevel="0" collapsed="false">
      <c r="B173" s="37" t="n">
        <f aca="false">34*$C$137</f>
        <v>8500000</v>
      </c>
      <c r="C173" s="37" t="n">
        <f aca="false">(B173*(1-SA_LandPct)*'Tax Credit Calc'!F$12*LIHTCRate4+'Tax Credit Calc'!F$23)*10*(1-'Tax Credit Calc'!$C$5)*EquityPrice</f>
        <v>7250898.22351488</v>
      </c>
      <c r="D173" s="37" t="n">
        <f aca="false">'Sources &amp; Uses'!F$25*(B173*(1-SA_LandPct)+SA_RehabBasis)</f>
        <v>2917149</v>
      </c>
      <c r="E173" s="37" t="n">
        <f aca="false">B173+0+SA_RehabBasis+SA_FinFees+'Sources &amp; Uses'!F$21+SA_ConstrInt+'Sources &amp; Uses'!F$23+D173</f>
        <v>25156908.5405037</v>
      </c>
      <c r="F173" s="37" t="n">
        <f aca="false">SA_SelProceeds+C173+MAX(0,SA_BridgeCF)</f>
        <v>16470709.1370514</v>
      </c>
      <c r="G173" s="37" t="n">
        <f aca="false">E173-F173</f>
        <v>8686199.40345224</v>
      </c>
      <c r="H173" s="37" t="n">
        <f aca="false">MIN(D173,MAX(0,G173))</f>
        <v>2917149</v>
      </c>
      <c r="I173" s="37" t="n">
        <f aca="false">G173-H173</f>
        <v>5769050.40345224</v>
      </c>
      <c r="J173" s="56" t="str">
        <f aca="false">IF(I173&lt;=SUBalanceTol,"YES","no")</f>
        <v>no</v>
      </c>
    </row>
    <row r="174" customFormat="false" ht="15" hidden="false" customHeight="true" outlineLevel="0" collapsed="false">
      <c r="B174" s="37" t="n">
        <f aca="false">35*$C$137</f>
        <v>8750000</v>
      </c>
      <c r="C174" s="37" t="n">
        <f aca="false">(B174*(1-SA_LandPct)*'Tax Credit Calc'!F$12*LIHTCRate4+'Tax Credit Calc'!F$23)*10*(1-'Tax Credit Calc'!$C$5)*EquityPrice</f>
        <v>7317558.48751488</v>
      </c>
      <c r="D174" s="37" t="n">
        <f aca="false">'Sources &amp; Uses'!F$25*(B174*(1-SA_LandPct)+SA_RehabBasis)</f>
        <v>2949024</v>
      </c>
      <c r="E174" s="37" t="n">
        <f aca="false">B174+0+SA_RehabBasis+SA_FinFees+'Sources &amp; Uses'!F$21+SA_ConstrInt+'Sources &amp; Uses'!F$23+D174</f>
        <v>25438783.5405037</v>
      </c>
      <c r="F174" s="37" t="n">
        <f aca="false">SA_SelProceeds+C174+MAX(0,SA_BridgeCF)</f>
        <v>16537369.4010514</v>
      </c>
      <c r="G174" s="37" t="n">
        <f aca="false">E174-F174</f>
        <v>8901414.13945224</v>
      </c>
      <c r="H174" s="37" t="n">
        <f aca="false">MIN(D174,MAX(0,G174))</f>
        <v>2949024</v>
      </c>
      <c r="I174" s="37" t="n">
        <f aca="false">G174-H174</f>
        <v>5952390.13945224</v>
      </c>
      <c r="J174" s="56" t="str">
        <f aca="false">IF(I174&lt;=SUBalanceTol,"YES","no")</f>
        <v>no</v>
      </c>
    </row>
    <row r="175" customFormat="false" ht="15" hidden="false" customHeight="true" outlineLevel="0" collapsed="false">
      <c r="B175" s="19" t="s">
        <v>848</v>
      </c>
      <c r="C175" s="21" t="n">
        <f aca="false">IFERROR(INDEX(B139:B174,COUNTIF(J139:J174,"YES")),0)</f>
        <v>500000</v>
      </c>
      <c r="E175" s="13" t="s">
        <v>849</v>
      </c>
      <c r="F175" s="37" t="n">
        <f aca="false">C177/SA_Units</f>
        <v>2450.98039215686</v>
      </c>
    </row>
    <row r="176" customFormat="false" ht="15" hidden="false" customHeight="true" outlineLevel="0" collapsed="false">
      <c r="B176" s="13" t="s">
        <v>850</v>
      </c>
      <c r="C176" s="66" t="n">
        <f aca="false">MIN(0,SA_BridgeCF)</f>
        <v>0</v>
      </c>
      <c r="E176" s="13" t="s">
        <v>851</v>
      </c>
      <c r="F176" s="61" t="n">
        <v>48821</v>
      </c>
    </row>
    <row r="177" customFormat="false" ht="15" hidden="false" customHeight="true" outlineLevel="0" collapsed="false">
      <c r="B177" s="19" t="s">
        <v>852</v>
      </c>
      <c r="C177" s="99" t="n">
        <f aca="false">MAX(0,C175+C176)</f>
        <v>500000</v>
      </c>
      <c r="E177" s="13" t="s">
        <v>853</v>
      </c>
      <c r="F177" s="73" t="n">
        <f aca="false">IF(C177=0,"n/a",738675/C177)</f>
        <v>1.47735</v>
      </c>
      <c r="H177" s="13" t="s">
        <v>854</v>
      </c>
      <c r="J177" s="73" t="n">
        <f aca="false">IF(C177=0,"n/a",423558/C177)</f>
        <v>0.847116</v>
      </c>
    </row>
    <row r="180" customFormat="false" ht="15" hidden="false" customHeight="true" outlineLevel="0" collapsed="false">
      <c r="B180" s="3" t="s">
        <v>858</v>
      </c>
      <c r="C180" s="3"/>
      <c r="D180" s="3"/>
      <c r="E180" s="3"/>
      <c r="F180" s="3"/>
      <c r="G180" s="3"/>
      <c r="H180" s="3"/>
      <c r="I180" s="3"/>
      <c r="J180" s="3"/>
    </row>
    <row r="181" customFormat="false" ht="15" hidden="false" customHeight="true" outlineLevel="0" collapsed="false">
      <c r="B181" s="19" t="s">
        <v>859</v>
      </c>
      <c r="C181" s="99" t="n">
        <f aca="false">CH_MaxPrice+NZ_MaxPrice+LOM_MaxPrice+SA_MaxPrice</f>
        <v>3500000</v>
      </c>
    </row>
    <row r="182" customFormat="false" ht="15" hidden="false" customHeight="true" outlineLevel="0" collapsed="false">
      <c r="B182" s="13" t="s">
        <v>860</v>
      </c>
      <c r="C182" s="37" t="n">
        <f aca="false">C181/507</f>
        <v>6903.35305719921</v>
      </c>
    </row>
    <row r="183" customFormat="false" ht="15" hidden="false" customHeight="true" outlineLevel="0" collapsed="false">
      <c r="B183" s="36" t="s">
        <v>861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77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.43"/>
    <col collapsed="false" customWidth="true" hidden="false" outlineLevel="0" max="2" min="2" style="1" width="30"/>
    <col collapsed="false" customWidth="true" hidden="false" outlineLevel="0" max="23" min="3" style="1" width="11.5"/>
  </cols>
  <sheetData>
    <row r="1" customFormat="false" ht="17.25" hidden="false" customHeight="true" outlineLevel="0" collapsed="false">
      <c r="A1" s="11" t="s">
        <v>862</v>
      </c>
    </row>
    <row r="2" customFormat="false" ht="15" hidden="false" customHeight="true" outlineLevel="0" collapsed="false">
      <c r="B2" s="36" t="s">
        <v>863</v>
      </c>
    </row>
    <row r="3" customFormat="false" ht="15" hidden="false" customHeight="true" outlineLevel="0" collapsed="false">
      <c r="B3" s="19" t="s">
        <v>764</v>
      </c>
      <c r="C3" s="110" t="n">
        <v>2026</v>
      </c>
      <c r="D3" s="110" t="n">
        <v>2027</v>
      </c>
      <c r="E3" s="110" t="n">
        <v>2028</v>
      </c>
      <c r="F3" s="110" t="n">
        <v>2029</v>
      </c>
      <c r="G3" s="110" t="n">
        <v>2030</v>
      </c>
      <c r="H3" s="110" t="n">
        <v>2031</v>
      </c>
      <c r="I3" s="110" t="n">
        <v>2032</v>
      </c>
      <c r="J3" s="110" t="n">
        <v>2033</v>
      </c>
      <c r="K3" s="110" t="n">
        <v>2034</v>
      </c>
      <c r="L3" s="110" t="n">
        <v>2035</v>
      </c>
      <c r="M3" s="110" t="n">
        <v>2036</v>
      </c>
      <c r="N3" s="110" t="n">
        <v>2037</v>
      </c>
      <c r="O3" s="110" t="n">
        <v>2038</v>
      </c>
      <c r="P3" s="110" t="n">
        <v>2039</v>
      </c>
      <c r="Q3" s="110" t="n">
        <v>2040</v>
      </c>
      <c r="R3" s="110" t="n">
        <v>2041</v>
      </c>
      <c r="S3" s="110" t="n">
        <v>2042</v>
      </c>
      <c r="T3" s="110" t="n">
        <v>2043</v>
      </c>
      <c r="U3" s="110" t="n">
        <v>2044</v>
      </c>
      <c r="V3" s="110" t="n">
        <v>2045</v>
      </c>
      <c r="W3" s="110" t="n">
        <v>2046</v>
      </c>
    </row>
    <row r="4" customFormat="false" ht="15" hidden="false" customHeight="true" outlineLevel="0" collapsed="false">
      <c r="B4" s="36" t="s">
        <v>864</v>
      </c>
    </row>
    <row r="5" customFormat="false" ht="15" hidden="false" customHeight="true" outlineLevel="0" collapsed="false">
      <c r="B5" s="63" t="s">
        <v>865</v>
      </c>
    </row>
    <row r="6" customFormat="false" ht="15" hidden="false" customHeight="true" outlineLevel="0" collapsed="false">
      <c r="B6" s="13" t="s">
        <v>20</v>
      </c>
      <c r="C6" s="37" t="n">
        <f aca="false">IF(C$3&lt;YEAR(CH_ResynDate),SUMPRODUCT((YEAR('Bridge Period'!$C$6:$K$6)=C$3)*'Bridge Period'!$C$10:$K$10),IF(AND(C$3&gt;=YEAR(CH_ResynDate),C$3-YEAR(CH_ResynDate)+1&lt;=20),INDEX('CH - Pro Forma'!$D$13:$W$13,C$3-YEAR(CH_ResynDate)+1),0))</f>
        <v>254238.6108</v>
      </c>
      <c r="D6" s="37" t="n">
        <f aca="false">IF(D$3&lt;YEAR(CH_ResynDate),SUMPRODUCT((YEAR('Bridge Period'!$C$6:$K$6)=D$3)*'Bridge Period'!$C$10:$K$10),IF(AND(D$3&gt;=YEAR(CH_ResynDate),D$3-YEAR(CH_ResynDate)+1&lt;=20),INDEX('CH - Pro Forma'!$D$13:$W$13,D$3-YEAR(CH_ResynDate)+1),0))</f>
        <v>853736.15752</v>
      </c>
      <c r="E6" s="37" t="n">
        <f aca="false">IF(E$3&lt;YEAR(CH_ResynDate),SUMPRODUCT((YEAR('Bridge Period'!$C$6:$K$6)=E$3)*'Bridge Period'!$C$10:$K$10),IF(AND(E$3&gt;=YEAR(CH_ResynDate),E$3-YEAR(CH_ResynDate)+1&lt;=20),INDEX('CH - Pro Forma'!$D$13:$W$13,E$3-YEAR(CH_ResynDate)+1),0))</f>
        <v>1088423.642036</v>
      </c>
      <c r="F6" s="37" t="n">
        <f aca="false">IF(F$3&lt;YEAR(CH_ResynDate),SUMPRODUCT((YEAR('Bridge Period'!$C$6:$K$6)=F$3)*'Bridge Period'!$C$10:$K$10),IF(AND(F$3&gt;=YEAR(CH_ResynDate),F$3-YEAR(CH_ResynDate)+1&lt;=20),INDEX('CH - Pro Forma'!$D$13:$W$13,F$3-YEAR(CH_ResynDate)+1),0))</f>
        <v>1158907.07510543</v>
      </c>
      <c r="G6" s="37" t="n">
        <f aca="false">IF(G$3&lt;YEAR(CH_ResynDate),SUMPRODUCT((YEAR('Bridge Period'!$C$6:$K$6)=G$3)*'Bridge Period'!$C$10:$K$10),IF(AND(G$3&gt;=YEAR(CH_ResynDate),G$3-YEAR(CH_ResynDate)+1&lt;=20),INDEX('CH - Pro Forma'!$D$13:$W$13,G$3-YEAR(CH_ResynDate)+1),0))</f>
        <v>1180636.58276365</v>
      </c>
      <c r="H6" s="37" t="n">
        <f aca="false">IF(H$3&lt;YEAR(CH_ResynDate),SUMPRODUCT((YEAR('Bridge Period'!$C$6:$K$6)=H$3)*'Bridge Period'!$C$10:$K$10),IF(AND(H$3&gt;=YEAR(CH_ResynDate),H$3-YEAR(CH_ResynDate)+1&lt;=20),INDEX('CH - Pro Forma'!$D$13:$W$13,H$3-YEAR(CH_ResynDate)+1),0))</f>
        <v>1202773.51869047</v>
      </c>
      <c r="I6" s="37" t="n">
        <f aca="false">IF(I$3&lt;YEAR(CH_ResynDate),SUMPRODUCT((YEAR('Bridge Period'!$C$6:$K$6)=I$3)*'Bridge Period'!$C$10:$K$10),IF(AND(I$3&gt;=YEAR(CH_ResynDate),I$3-YEAR(CH_ResynDate)+1&lt;=20),INDEX('CH - Pro Forma'!$D$13:$W$13,I$3-YEAR(CH_ResynDate)+1),0))</f>
        <v>1225325.52216592</v>
      </c>
      <c r="J6" s="37" t="n">
        <f aca="false">IF(J$3&lt;YEAR(CH_ResynDate),SUMPRODUCT((YEAR('Bridge Period'!$C$6:$K$6)=J$3)*'Bridge Period'!$C$10:$K$10),IF(AND(J$3&gt;=YEAR(CH_ResynDate),J$3-YEAR(CH_ResynDate)+1&lt;=20),INDEX('CH - Pro Forma'!$D$13:$W$13,J$3-YEAR(CH_ResynDate)+1),0))</f>
        <v>1248300.37570653</v>
      </c>
      <c r="K6" s="37" t="n">
        <f aca="false">IF(K$3&lt;YEAR(CH_ResynDate),SUMPRODUCT((YEAR('Bridge Period'!$C$6:$K$6)=K$3)*'Bridge Period'!$C$10:$K$10),IF(AND(K$3&gt;=YEAR(CH_ResynDate),K$3-YEAR(CH_ResynDate)+1&lt;=20),INDEX('CH - Pro Forma'!$D$13:$W$13,K$3-YEAR(CH_ResynDate)+1),0))</f>
        <v>1271706.00775103</v>
      </c>
      <c r="L6" s="37" t="n">
        <f aca="false">IF(L$3&lt;YEAR(CH_ResynDate),SUMPRODUCT((YEAR('Bridge Period'!$C$6:$K$6)=L$3)*'Bridge Period'!$C$10:$K$10),IF(AND(L$3&gt;=YEAR(CH_ResynDate),L$3-YEAR(CH_ResynDate)+1&lt;=20),INDEX('CH - Pro Forma'!$D$13:$W$13,L$3-YEAR(CH_ResynDate)+1),0))</f>
        <v>1295550.49539636</v>
      </c>
      <c r="M6" s="37" t="n">
        <f aca="false">IF(M$3&lt;YEAR(CH_ResynDate),SUMPRODUCT((YEAR('Bridge Period'!$C$6:$K$6)=M$3)*'Bridge Period'!$C$10:$K$10),IF(AND(M$3&gt;=YEAR(CH_ResynDate),M$3-YEAR(CH_ResynDate)+1&lt;=20),INDEX('CH - Pro Forma'!$D$13:$W$13,M$3-YEAR(CH_ResynDate)+1),0))</f>
        <v>1319842.06718504</v>
      </c>
      <c r="N6" s="37" t="n">
        <f aca="false">IF(N$3&lt;YEAR(CH_ResynDate),SUMPRODUCT((YEAR('Bridge Period'!$C$6:$K$6)=N$3)*'Bridge Period'!$C$10:$K$10),IF(AND(N$3&gt;=YEAR(CH_ResynDate),N$3-YEAR(CH_ResynDate)+1&lt;=20),INDEX('CH - Pro Forma'!$D$13:$W$13,N$3-YEAR(CH_ResynDate)+1),0))</f>
        <v>1344589.10594476</v>
      </c>
      <c r="O6" s="37" t="n">
        <f aca="false">IF(O$3&lt;YEAR(CH_ResynDate),SUMPRODUCT((YEAR('Bridge Period'!$C$6:$K$6)=O$3)*'Bridge Period'!$C$10:$K$10),IF(AND(O$3&gt;=YEAR(CH_ResynDate),O$3-YEAR(CH_ResynDate)+1&lt;=20),INDEX('CH - Pro Forma'!$D$13:$W$13,O$3-YEAR(CH_ResynDate)+1),0))</f>
        <v>1369800.15168122</v>
      </c>
      <c r="P6" s="37" t="n">
        <f aca="false">IF(P$3&lt;YEAR(CH_ResynDate),SUMPRODUCT((YEAR('Bridge Period'!$C$6:$K$6)=P$3)*'Bridge Period'!$C$10:$K$10),IF(AND(P$3&gt;=YEAR(CH_ResynDate),P$3-YEAR(CH_ResynDate)+1&lt;=20),INDEX('CH - Pro Forma'!$D$13:$W$13,P$3-YEAR(CH_ResynDate)+1),0))</f>
        <v>1395483.90452525</v>
      </c>
      <c r="Q6" s="37" t="n">
        <f aca="false">IF(Q$3&lt;YEAR(CH_ResynDate),SUMPRODUCT((YEAR('Bridge Period'!$C$6:$K$6)=Q$3)*'Bridge Period'!$C$10:$K$10),IF(AND(Q$3&gt;=YEAR(CH_ResynDate),Q$3-YEAR(CH_ResynDate)+1&lt;=20),INDEX('CH - Pro Forma'!$D$13:$W$13,Q$3-YEAR(CH_ResynDate)+1),0))</f>
        <v>1421649.22773509</v>
      </c>
      <c r="R6" s="37" t="n">
        <f aca="false">IF(R$3&lt;YEAR(CH_ResynDate),SUMPRODUCT((YEAR('Bridge Period'!$C$6:$K$6)=R$3)*'Bridge Period'!$C$10:$K$10),IF(AND(R$3&gt;=YEAR(CH_ResynDate),R$3-YEAR(CH_ResynDate)+1&lt;=20),INDEX('CH - Pro Forma'!$D$13:$W$13,R$3-YEAR(CH_ResynDate)+1),0))</f>
        <v>1448305.15075513</v>
      </c>
      <c r="S6" s="37" t="n">
        <f aca="false">IF(S$3&lt;YEAR(CH_ResynDate),SUMPRODUCT((YEAR('Bridge Period'!$C$6:$K$6)=S$3)*'Bridge Period'!$C$10:$K$10),IF(AND(S$3&gt;=YEAR(CH_ResynDate),S$3-YEAR(CH_ResynDate)+1&lt;=20),INDEX('CH - Pro Forma'!$D$13:$W$13,S$3-YEAR(CH_ResynDate)+1),0))</f>
        <v>1475460.87233179</v>
      </c>
      <c r="T6" s="37" t="n">
        <f aca="false">IF(T$3&lt;YEAR(CH_ResynDate),SUMPRODUCT((YEAR('Bridge Period'!$C$6:$K$6)=T$3)*'Bridge Period'!$C$10:$K$10),IF(AND(T$3&gt;=YEAR(CH_ResynDate),T$3-YEAR(CH_ResynDate)+1&lt;=20),INDEX('CH - Pro Forma'!$D$13:$W$13,T$3-YEAR(CH_ResynDate)+1),0))</f>
        <v>1503125.76368801</v>
      </c>
      <c r="U6" s="37" t="n">
        <f aca="false">IF(U$3&lt;YEAR(CH_ResynDate),SUMPRODUCT((YEAR('Bridge Period'!$C$6:$K$6)=U$3)*'Bridge Period'!$C$10:$K$10),IF(AND(U$3&gt;=YEAR(CH_ResynDate),U$3-YEAR(CH_ResynDate)+1&lt;=20),INDEX('CH - Pro Forma'!$D$13:$W$13,U$3-YEAR(CH_ResynDate)+1),0))</f>
        <v>1531309.37175716</v>
      </c>
      <c r="V6" s="37" t="n">
        <f aca="false">IF(V$3&lt;YEAR(CH_ResynDate),SUMPRODUCT((YEAR('Bridge Period'!$C$6:$K$6)=V$3)*'Bridge Period'!$C$10:$K$10),IF(AND(V$3&gt;=YEAR(CH_ResynDate),V$3-YEAR(CH_ResynDate)+1&lt;=20),INDEX('CH - Pro Forma'!$D$13:$W$13,V$3-YEAR(CH_ResynDate)+1),0))</f>
        <v>1560021.4224776</v>
      </c>
      <c r="W6" s="37" t="n">
        <f aca="false">IF(W$3&lt;YEAR(CH_ResynDate),SUMPRODUCT((YEAR('Bridge Period'!$C$6:$K$6)=W$3)*'Bridge Period'!$C$10:$K$10),IF(AND(W$3&gt;=YEAR(CH_ResynDate),W$3-YEAR(CH_ResynDate)+1&lt;=20),INDEX('CH - Pro Forma'!$D$13:$W$13,W$3-YEAR(CH_ResynDate)+1),0))</f>
        <v>1589271.82414906</v>
      </c>
    </row>
    <row r="7" customFormat="false" ht="15" hidden="false" customHeight="true" outlineLevel="0" collapsed="false">
      <c r="B7" s="13" t="s">
        <v>21</v>
      </c>
      <c r="C7" s="37" t="n">
        <f aca="false">IF(C$3&lt;YEAR(NZ_ResynDate),SUMPRODUCT((YEAR('Bridge Period'!$C$22:$K$22)=C$3)*'Bridge Period'!$C$26:$K$26),IF(AND(C$3&gt;=YEAR(NZ_ResynDate),C$3-YEAR(NZ_ResynDate)+1&lt;=20),INDEX('NZ - Pro Forma'!$D$13:$W$13,C$3-YEAR(NZ_ResynDate)+1),0))</f>
        <v>289094.73</v>
      </c>
      <c r="D7" s="37" t="n">
        <f aca="false">IF(D$3&lt;YEAR(NZ_ResynDate),SUMPRODUCT((YEAR('Bridge Period'!$C$22:$K$22)=D$3)*'Bridge Period'!$C$26:$K$26),IF(AND(D$3&gt;=YEAR(NZ_ResynDate),D$3-YEAR(NZ_ResynDate)+1&lt;=20),INDEX('NZ - Pro Forma'!$D$13:$W$13,D$3-YEAR(NZ_ResynDate)+1),0))</f>
        <v>1240301.36112</v>
      </c>
      <c r="E7" s="37" t="n">
        <f aca="false">IF(E$3&lt;YEAR(NZ_ResynDate),SUMPRODUCT((YEAR('Bridge Period'!$C$22:$K$22)=E$3)*'Bridge Period'!$C$26:$K$26),IF(AND(E$3&gt;=YEAR(NZ_ResynDate),E$3-YEAR(NZ_ResynDate)+1&lt;=20),INDEX('NZ - Pro Forma'!$D$13:$W$13,E$3-YEAR(NZ_ResynDate)+1),0))</f>
        <v>1052736.4107425</v>
      </c>
      <c r="F7" s="37" t="n">
        <f aca="false">IF(F$3&lt;YEAR(NZ_ResynDate),SUMPRODUCT((YEAR('Bridge Period'!$C$22:$K$22)=F$3)*'Bridge Period'!$C$26:$K$26),IF(AND(F$3&gt;=YEAR(NZ_ResynDate),F$3-YEAR(NZ_ResynDate)+1&lt;=20),INDEX('NZ - Pro Forma'!$D$13:$W$13,F$3-YEAR(NZ_ResynDate)+1),0))</f>
        <v>1348706.3947644</v>
      </c>
      <c r="G7" s="37" t="n">
        <f aca="false">IF(G$3&lt;YEAR(NZ_ResynDate),SUMPRODUCT((YEAR('Bridge Period'!$C$22:$K$22)=G$3)*'Bridge Period'!$C$26:$K$26),IF(AND(G$3&gt;=YEAR(NZ_ResynDate),G$3-YEAR(NZ_ResynDate)+1&lt;=20),INDEX('NZ - Pro Forma'!$D$13:$W$13,G$3-YEAR(NZ_ResynDate)+1),0))</f>
        <v>1440122.72392825</v>
      </c>
      <c r="H7" s="37" t="n">
        <f aca="false">IF(H$3&lt;YEAR(NZ_ResynDate),SUMPRODUCT((YEAR('Bridge Period'!$C$22:$K$22)=H$3)*'Bridge Period'!$C$26:$K$26),IF(AND(H$3&gt;=YEAR(NZ_ResynDate),H$3-YEAR(NZ_ResynDate)+1&lt;=20),INDEX('NZ - Pro Forma'!$D$13:$W$13,H$3-YEAR(NZ_ResynDate)+1),0))</f>
        <v>1467125.0250019</v>
      </c>
      <c r="I7" s="37" t="n">
        <f aca="false">IF(I$3&lt;YEAR(NZ_ResynDate),SUMPRODUCT((YEAR('Bridge Period'!$C$22:$K$22)=I$3)*'Bridge Period'!$C$26:$K$26),IF(AND(I$3&gt;=YEAR(NZ_ResynDate),I$3-YEAR(NZ_ResynDate)+1&lt;=20),INDEX('NZ - Pro Forma'!$D$13:$W$13,I$3-YEAR(NZ_ResynDate)+1),0))</f>
        <v>1494633.61922069</v>
      </c>
      <c r="J7" s="37" t="n">
        <f aca="false">IF(J$3&lt;YEAR(NZ_ResynDate),SUMPRODUCT((YEAR('Bridge Period'!$C$22:$K$22)=J$3)*'Bridge Period'!$C$26:$K$26),IF(AND(J$3&gt;=YEAR(NZ_ResynDate),J$3-YEAR(NZ_ResynDate)+1&lt;=20),INDEX('NZ - Pro Forma'!$D$13:$W$13,J$3-YEAR(NZ_ResynDate)+1),0))</f>
        <v>1522657.99958107</v>
      </c>
      <c r="K7" s="37" t="n">
        <f aca="false">IF(K$3&lt;YEAR(NZ_ResynDate),SUMPRODUCT((YEAR('Bridge Period'!$C$22:$K$22)=K$3)*'Bridge Period'!$C$26:$K$26),IF(AND(K$3&gt;=YEAR(NZ_ResynDate),K$3-YEAR(NZ_ResynDate)+1&lt;=20),INDEX('NZ - Pro Forma'!$D$13:$W$13,K$3-YEAR(NZ_ResynDate)+1),0))</f>
        <v>1551207.83707322</v>
      </c>
      <c r="L7" s="37" t="n">
        <f aca="false">IF(L$3&lt;YEAR(NZ_ResynDate),SUMPRODUCT((YEAR('Bridge Period'!$C$22:$K$22)=L$3)*'Bridge Period'!$C$26:$K$26),IF(AND(L$3&gt;=YEAR(NZ_ResynDate),L$3-YEAR(NZ_ResynDate)+1&lt;=20),INDEX('NZ - Pro Forma'!$D$13:$W$13,L$3-YEAR(NZ_ResynDate)+1),0))</f>
        <v>1580292.98401834</v>
      </c>
      <c r="M7" s="37" t="n">
        <f aca="false">IF(M$3&lt;YEAR(NZ_ResynDate),SUMPRODUCT((YEAR('Bridge Period'!$C$22:$K$22)=M$3)*'Bridge Period'!$C$26:$K$26),IF(AND(M$3&gt;=YEAR(NZ_ResynDate),M$3-YEAR(NZ_ResynDate)+1&lt;=20),INDEX('NZ - Pro Forma'!$D$13:$W$13,M$3-YEAR(NZ_ResynDate)+1),0))</f>
        <v>1609923.47746869</v>
      </c>
      <c r="N7" s="37" t="n">
        <f aca="false">IF(N$3&lt;YEAR(NZ_ResynDate),SUMPRODUCT((YEAR('Bridge Period'!$C$22:$K$22)=N$3)*'Bridge Period'!$C$26:$K$26),IF(AND(N$3&gt;=YEAR(NZ_ResynDate),N$3-YEAR(NZ_ResynDate)+1&lt;=20),INDEX('NZ - Pro Forma'!$D$13:$W$13,N$3-YEAR(NZ_ResynDate)+1),0))</f>
        <v>1640109.54267122</v>
      </c>
      <c r="O7" s="37" t="n">
        <f aca="false">IF(O$3&lt;YEAR(NZ_ResynDate),SUMPRODUCT((YEAR('Bridge Period'!$C$22:$K$22)=O$3)*'Bridge Period'!$C$26:$K$26),IF(AND(O$3&gt;=YEAR(NZ_ResynDate),O$3-YEAR(NZ_ResynDate)+1&lt;=20),INDEX('NZ - Pro Forma'!$D$13:$W$13,O$3-YEAR(NZ_ResynDate)+1),0))</f>
        <v>1670861.59659631</v>
      </c>
      <c r="P7" s="37" t="n">
        <f aca="false">IF(P$3&lt;YEAR(NZ_ResynDate),SUMPRODUCT((YEAR('Bridge Period'!$C$22:$K$22)=P$3)*'Bridge Period'!$C$26:$K$26),IF(AND(P$3&gt;=YEAR(NZ_ResynDate),P$3-YEAR(NZ_ResynDate)+1&lt;=20),INDEX('NZ - Pro Forma'!$D$13:$W$13,P$3-YEAR(NZ_ResynDate)+1),0))</f>
        <v>1702190.25153249</v>
      </c>
      <c r="Q7" s="37" t="n">
        <f aca="false">IF(Q$3&lt;YEAR(NZ_ResynDate),SUMPRODUCT((YEAR('Bridge Period'!$C$22:$K$22)=Q$3)*'Bridge Period'!$C$26:$K$26),IF(AND(Q$3&gt;=YEAR(NZ_ResynDate),Q$3-YEAR(NZ_ResynDate)+1&lt;=20),INDEX('NZ - Pro Forma'!$D$13:$W$13,Q$3-YEAR(NZ_ResynDate)+1),0))</f>
        <v>1734106.31874872</v>
      </c>
      <c r="R7" s="37" t="n">
        <f aca="false">IF(R$3&lt;YEAR(NZ_ResynDate),SUMPRODUCT((YEAR('Bridge Period'!$C$22:$K$22)=R$3)*'Bridge Period'!$C$26:$K$26),IF(AND(R$3&gt;=YEAR(NZ_ResynDate),R$3-YEAR(NZ_ResynDate)+1&lt;=20),INDEX('NZ - Pro Forma'!$D$13:$W$13,R$3-YEAR(NZ_ResynDate)+1),0))</f>
        <v>1766620.81222526</v>
      </c>
      <c r="S7" s="37" t="n">
        <f aca="false">IF(S$3&lt;YEAR(NZ_ResynDate),SUMPRODUCT((YEAR('Bridge Period'!$C$22:$K$22)=S$3)*'Bridge Period'!$C$26:$K$26),IF(AND(S$3&gt;=YEAR(NZ_ResynDate),S$3-YEAR(NZ_ResynDate)+1&lt;=20),INDEX('NZ - Pro Forma'!$D$13:$W$13,S$3-YEAR(NZ_ResynDate)+1),0))</f>
        <v>1799744.95245449</v>
      </c>
      <c r="T7" s="37" t="n">
        <f aca="false">IF(T$3&lt;YEAR(NZ_ResynDate),SUMPRODUCT((YEAR('Bridge Period'!$C$22:$K$22)=T$3)*'Bridge Period'!$C$26:$K$26),IF(AND(T$3&gt;=YEAR(NZ_ResynDate),T$3-YEAR(NZ_ResynDate)+1&lt;=20),INDEX('NZ - Pro Forma'!$D$13:$W$13,T$3-YEAR(NZ_ResynDate)+1),0))</f>
        <v>1833490.17031301</v>
      </c>
      <c r="U7" s="37" t="n">
        <f aca="false">IF(U$3&lt;YEAR(NZ_ResynDate),SUMPRODUCT((YEAR('Bridge Period'!$C$22:$K$22)=U$3)*'Bridge Period'!$C$26:$K$26),IF(AND(U$3&gt;=YEAR(NZ_ResynDate),U$3-YEAR(NZ_ResynDate)+1&lt;=20),INDEX('NZ - Pro Forma'!$D$13:$W$13,U$3-YEAR(NZ_ResynDate)+1),0))</f>
        <v>1867868.11100638</v>
      </c>
      <c r="V7" s="37" t="n">
        <f aca="false">IF(V$3&lt;YEAR(NZ_ResynDate),SUMPRODUCT((YEAR('Bridge Period'!$C$22:$K$22)=V$3)*'Bridge Period'!$C$26:$K$26),IF(AND(V$3&gt;=YEAR(NZ_ResynDate),V$3-YEAR(NZ_ResynDate)+1&lt;=20),INDEX('NZ - Pro Forma'!$D$13:$W$13,V$3-YEAR(NZ_ResynDate)+1),0))</f>
        <v>1902890.63808775</v>
      </c>
      <c r="W7" s="37" t="n">
        <f aca="false">IF(W$3&lt;YEAR(NZ_ResynDate),SUMPRODUCT((YEAR('Bridge Period'!$C$22:$K$22)=W$3)*'Bridge Period'!$C$26:$K$26),IF(AND(W$3&gt;=YEAR(NZ_ResynDate),W$3-YEAR(NZ_ResynDate)+1&lt;=20),INDEX('NZ - Pro Forma'!$D$13:$W$13,W$3-YEAR(NZ_ResynDate)+1),0))</f>
        <v>1938569.83755189</v>
      </c>
    </row>
    <row r="8" customFormat="false" ht="15" hidden="false" customHeight="true" outlineLevel="0" collapsed="false">
      <c r="B8" s="13" t="s">
        <v>22</v>
      </c>
      <c r="C8" s="37" t="n">
        <f aca="false">IF(C$3&lt;YEAR(LOM_ResynDate),SUMPRODUCT((YEAR('Bridge Period'!$C$38:$K$38)=C$3)*'Bridge Period'!$C$42:$K$42),IF(AND(C$3&gt;=YEAR(LOM_ResynDate),C$3-YEAR(LOM_ResynDate)+1&lt;=20),INDEX('LOM - Pro Forma'!$D$13:$W$13,C$3-YEAR(LOM_ResynDate)+1),0))</f>
        <v>365887.0548</v>
      </c>
      <c r="D8" s="37" t="n">
        <f aca="false">IF(D$3&lt;YEAR(LOM_ResynDate),SUMPRODUCT((YEAR('Bridge Period'!$C$38:$K$38)=D$3)*'Bridge Period'!$C$42:$K$42),IF(AND(D$3&gt;=YEAR(LOM_ResynDate),D$3-YEAR(LOM_ResynDate)+1&lt;=20),INDEX('LOM - Pro Forma'!$D$13:$W$13,D$3-YEAR(LOM_ResynDate)+1),0))</f>
        <v>1483950.3222825</v>
      </c>
      <c r="E8" s="37" t="n">
        <f aca="false">IF(E$3&lt;YEAR(LOM_ResynDate),SUMPRODUCT((YEAR('Bridge Period'!$C$38:$K$38)=E$3)*'Bridge Period'!$C$42:$K$42),IF(AND(E$3&gt;=YEAR(LOM_ResynDate),E$3-YEAR(LOM_ResynDate)+1&lt;=20),INDEX('LOM - Pro Forma'!$D$13:$W$13,E$3-YEAR(LOM_ResynDate)+1),0))</f>
        <v>1258458.35249245</v>
      </c>
      <c r="F8" s="37" t="n">
        <f aca="false">IF(F$3&lt;YEAR(LOM_ResynDate),SUMPRODUCT((YEAR('Bridge Period'!$C$38:$K$38)=F$3)*'Bridge Period'!$C$42:$K$42),IF(AND(F$3&gt;=YEAR(LOM_ResynDate),F$3-YEAR(LOM_ResynDate)+1&lt;=20),INDEX('LOM - Pro Forma'!$D$13:$W$13,F$3-YEAR(LOM_ResynDate)+1),0))</f>
        <v>1607419.25828574</v>
      </c>
      <c r="G8" s="37" t="n">
        <f aca="false">IF(G$3&lt;YEAR(LOM_ResynDate),SUMPRODUCT((YEAR('Bridge Period'!$C$38:$K$38)=G$3)*'Bridge Period'!$C$42:$K$42),IF(AND(G$3&gt;=YEAR(LOM_ResynDate),G$3-YEAR(LOM_ResynDate)+1&lt;=20),INDEX('LOM - Pro Forma'!$D$13:$W$13,G$3-YEAR(LOM_ResynDate)+1),0))</f>
        <v>1683902.78700343</v>
      </c>
      <c r="H8" s="37" t="n">
        <f aca="false">IF(H$3&lt;YEAR(LOM_ResynDate),SUMPRODUCT((YEAR('Bridge Period'!$C$38:$K$38)=H$3)*'Bridge Period'!$C$42:$K$42),IF(AND(H$3&gt;=YEAR(LOM_ResynDate),H$3-YEAR(LOM_ResynDate)+1&lt;=20),INDEX('LOM - Pro Forma'!$D$13:$W$13,H$3-YEAR(LOM_ResynDate)+1),0))</f>
        <v>1731213.75607818</v>
      </c>
      <c r="I8" s="37" t="n">
        <f aca="false">IF(I$3&lt;YEAR(LOM_ResynDate),SUMPRODUCT((YEAR('Bridge Period'!$C$38:$K$38)=I$3)*'Bridge Period'!$C$42:$K$42),IF(AND(I$3&gt;=YEAR(LOM_ResynDate),I$3-YEAR(LOM_ResynDate)+1&lt;=20),INDEX('LOM - Pro Forma'!$D$13:$W$13,I$3-YEAR(LOM_ResynDate)+1),0))</f>
        <v>1763674.01400464</v>
      </c>
      <c r="J8" s="37" t="n">
        <f aca="false">IF(J$3&lt;YEAR(LOM_ResynDate),SUMPRODUCT((YEAR('Bridge Period'!$C$38:$K$38)=J$3)*'Bridge Period'!$C$42:$K$42),IF(AND(J$3&gt;=YEAR(LOM_ResynDate),J$3-YEAR(LOM_ResynDate)+1&lt;=20),INDEX('LOM - Pro Forma'!$D$13:$W$13,J$3-YEAR(LOM_ResynDate)+1),0))</f>
        <v>1796742.90176723</v>
      </c>
      <c r="K8" s="37" t="n">
        <f aca="false">IF(K$3&lt;YEAR(LOM_ResynDate),SUMPRODUCT((YEAR('Bridge Period'!$C$38:$K$38)=K$3)*'Bridge Period'!$C$42:$K$42),IF(AND(K$3&gt;=YEAR(LOM_ResynDate),K$3-YEAR(LOM_ResynDate)+1&lt;=20),INDEX('LOM - Pro Forma'!$D$13:$W$13,K$3-YEAR(LOM_ResynDate)+1),0))</f>
        <v>1830431.83117537</v>
      </c>
      <c r="L8" s="37" t="n">
        <f aca="false">IF(L$3&lt;YEAR(LOM_ResynDate),SUMPRODUCT((YEAR('Bridge Period'!$C$38:$K$38)=L$3)*'Bridge Period'!$C$42:$K$42),IF(AND(L$3&gt;=YEAR(LOM_ResynDate),L$3-YEAR(LOM_ResynDate)+1&lt;=20),INDEX('LOM - Pro Forma'!$D$13:$W$13,L$3-YEAR(LOM_ResynDate)+1),0))</f>
        <v>1864752.4280099</v>
      </c>
      <c r="M8" s="37" t="n">
        <f aca="false">IF(M$3&lt;YEAR(LOM_ResynDate),SUMPRODUCT((YEAR('Bridge Period'!$C$38:$K$38)=M$3)*'Bridge Period'!$C$42:$K$42),IF(AND(M$3&gt;=YEAR(LOM_ResynDate),M$3-YEAR(LOM_ResynDate)+1&lt;=20),INDEX('LOM - Pro Forma'!$D$13:$W$13,M$3-YEAR(LOM_ResynDate)+1),0))</f>
        <v>1899716.53603509</v>
      </c>
      <c r="N8" s="37" t="n">
        <f aca="false">IF(N$3&lt;YEAR(LOM_ResynDate),SUMPRODUCT((YEAR('Bridge Period'!$C$38:$K$38)=N$3)*'Bridge Period'!$C$42:$K$42),IF(AND(N$3&gt;=YEAR(LOM_ResynDate),N$3-YEAR(LOM_ResynDate)+1&lt;=20),INDEX('LOM - Pro Forma'!$D$13:$W$13,N$3-YEAR(LOM_ResynDate)+1),0))</f>
        <v>1935336.22108575</v>
      </c>
      <c r="O8" s="37" t="n">
        <f aca="false">IF(O$3&lt;YEAR(LOM_ResynDate),SUMPRODUCT((YEAR('Bridge Period'!$C$38:$K$38)=O$3)*'Bridge Period'!$C$42:$K$42),IF(AND(O$3&gt;=YEAR(LOM_ResynDate),O$3-YEAR(LOM_ResynDate)+1&lt;=20),INDEX('LOM - Pro Forma'!$D$13:$W$13,O$3-YEAR(LOM_ResynDate)+1),0))</f>
        <v>1971623.77523111</v>
      </c>
      <c r="P8" s="37" t="n">
        <f aca="false">IF(P$3&lt;YEAR(LOM_ResynDate),SUMPRODUCT((YEAR('Bridge Period'!$C$38:$K$38)=P$3)*'Bridge Period'!$C$42:$K$42),IF(AND(P$3&gt;=YEAR(LOM_ResynDate),P$3-YEAR(LOM_ResynDate)+1&lt;=20),INDEX('LOM - Pro Forma'!$D$13:$W$13,P$3-YEAR(LOM_ResynDate)+1),0))</f>
        <v>2008591.72101669</v>
      </c>
      <c r="Q8" s="37" t="n">
        <f aca="false">IF(Q$3&lt;YEAR(LOM_ResynDate),SUMPRODUCT((YEAR('Bridge Period'!$C$38:$K$38)=Q$3)*'Bridge Period'!$C$42:$K$42),IF(AND(Q$3&gt;=YEAR(LOM_ResynDate),Q$3-YEAR(LOM_ResynDate)+1&lt;=20),INDEX('LOM - Pro Forma'!$D$13:$W$13,Q$3-YEAR(LOM_ResynDate)+1),0))</f>
        <v>2046252.81578575</v>
      </c>
      <c r="R8" s="37" t="n">
        <f aca="false">IF(R$3&lt;YEAR(LOM_ResynDate),SUMPRODUCT((YEAR('Bridge Period'!$C$38:$K$38)=R$3)*'Bridge Period'!$C$42:$K$42),IF(AND(R$3&gt;=YEAR(LOM_ResynDate),R$3-YEAR(LOM_ResynDate)+1&lt;=20),INDEX('LOM - Pro Forma'!$D$13:$W$13,R$3-YEAR(LOM_ResynDate)+1),0))</f>
        <v>2084620.05608174</v>
      </c>
      <c r="S8" s="37" t="n">
        <f aca="false">IF(S$3&lt;YEAR(LOM_ResynDate),SUMPRODUCT((YEAR('Bridge Period'!$C$38:$K$38)=S$3)*'Bridge Period'!$C$42:$K$42),IF(AND(S$3&gt;=YEAR(LOM_ResynDate),S$3-YEAR(LOM_ResynDate)+1&lt;=20),INDEX('LOM - Pro Forma'!$D$13:$W$13,S$3-YEAR(LOM_ResynDate)+1),0))</f>
        <v>2123706.68213327</v>
      </c>
      <c r="T8" s="37" t="n">
        <f aca="false">IF(T$3&lt;YEAR(LOM_ResynDate),SUMPRODUCT((YEAR('Bridge Period'!$C$38:$K$38)=T$3)*'Bridge Period'!$C$42:$K$42),IF(AND(T$3&gt;=YEAR(LOM_ResynDate),T$3-YEAR(LOM_ResynDate)+1&lt;=20),INDEX('LOM - Pro Forma'!$D$13:$W$13,T$3-YEAR(LOM_ResynDate)+1),0))</f>
        <v>2163526.18242327</v>
      </c>
      <c r="U8" s="37" t="n">
        <f aca="false">IF(U$3&lt;YEAR(LOM_ResynDate),SUMPRODUCT((YEAR('Bridge Period'!$C$38:$K$38)=U$3)*'Bridge Period'!$C$42:$K$42),IF(AND(U$3&gt;=YEAR(LOM_ResynDate),U$3-YEAR(LOM_ResynDate)+1&lt;=20),INDEX('LOM - Pro Forma'!$D$13:$W$13,U$3-YEAR(LOM_ResynDate)+1),0))</f>
        <v>2204092.2983437</v>
      </c>
      <c r="V8" s="37" t="n">
        <f aca="false">IF(V$3&lt;YEAR(LOM_ResynDate),SUMPRODUCT((YEAR('Bridge Period'!$C$38:$K$38)=V$3)*'Bridge Period'!$C$42:$K$42),IF(AND(V$3&gt;=YEAR(LOM_ResynDate),V$3-YEAR(LOM_ResynDate)+1&lt;=20),INDEX('LOM - Pro Forma'!$D$13:$W$13,V$3-YEAR(LOM_ResynDate)+1),0))</f>
        <v>2245419.02893765</v>
      </c>
      <c r="W8" s="37" t="n">
        <f aca="false">IF(W$3&lt;YEAR(LOM_ResynDate),SUMPRODUCT((YEAR('Bridge Period'!$C$38:$K$38)=W$3)*'Bridge Period'!$C$42:$K$42),IF(AND(W$3&gt;=YEAR(LOM_ResynDate),W$3-YEAR(LOM_ResynDate)+1&lt;=20),INDEX('LOM - Pro Forma'!$D$13:$W$13,W$3-YEAR(LOM_ResynDate)+1),0))</f>
        <v>2287520.63573023</v>
      </c>
    </row>
    <row r="9" customFormat="false" ht="15" hidden="false" customHeight="true" outlineLevel="0" collapsed="false">
      <c r="B9" s="13" t="s">
        <v>23</v>
      </c>
      <c r="C9" s="37" t="n">
        <f aca="false">IF(C$3&lt;YEAR(SA_ResynDate),SUMPRODUCT((YEAR('Bridge Period'!$C$54:$K$54)=C$3)*'Bridge Period'!$C$58:$K$58),IF(AND(C$3&gt;=YEAR(SA_ResynDate),C$3-YEAR(SA_ResynDate)+1&lt;=20),INDEX('SA - Pro Forma'!$D$13:$W$13,C$3-YEAR(SA_ResynDate)+1),0))</f>
        <v>2121716.26233544</v>
      </c>
      <c r="D9" s="37" t="n">
        <f aca="false">IF(D$3&lt;YEAR(SA_ResynDate),SUMPRODUCT((YEAR('Bridge Period'!$C$54:$K$54)=D$3)*'Bridge Period'!$C$58:$K$58),IF(AND(D$3&gt;=YEAR(SA_ResynDate),D$3-YEAR(SA_ResynDate)+1&lt;=20),INDEX('SA - Pro Forma'!$D$13:$W$13,D$3-YEAR(SA_ResynDate)+1),0))</f>
        <v>2197723.13509834</v>
      </c>
      <c r="E9" s="37" t="n">
        <f aca="false">IF(E$3&lt;YEAR(SA_ResynDate),SUMPRODUCT((YEAR('Bridge Period'!$C$54:$K$54)=E$3)*'Bridge Period'!$C$58:$K$58),IF(AND(E$3&gt;=YEAR(SA_ResynDate),E$3-YEAR(SA_ResynDate)+1&lt;=20),INDEX('SA - Pro Forma'!$D$13:$W$13,E$3-YEAR(SA_ResynDate)+1),0))</f>
        <v>2275834.34971638</v>
      </c>
      <c r="F9" s="37" t="n">
        <f aca="false">IF(F$3&lt;YEAR(SA_ResynDate),SUMPRODUCT((YEAR('Bridge Period'!$C$54:$K$54)=F$3)*'Bridge Period'!$C$58:$K$58),IF(AND(F$3&gt;=YEAR(SA_ResynDate),F$3-YEAR(SA_ResynDate)+1&lt;=20),INDEX('SA - Pro Forma'!$D$13:$W$13,F$3-YEAR(SA_ResynDate)+1),0))</f>
        <v>2318506.24377356</v>
      </c>
      <c r="G9" s="37" t="n">
        <f aca="false">IF(G$3&lt;YEAR(SA_ResynDate),SUMPRODUCT((YEAR('Bridge Period'!$C$54:$K$54)=G$3)*'Bridge Period'!$C$58:$K$58),IF(AND(G$3&gt;=YEAR(SA_ResynDate),G$3-YEAR(SA_ResynDate)+1&lt;=20),INDEX('SA - Pro Forma'!$D$13:$W$13,G$3-YEAR(SA_ResynDate)+1),0))</f>
        <v>2361978.23584432</v>
      </c>
      <c r="H9" s="37" t="n">
        <f aca="false">IF(H$3&lt;YEAR(SA_ResynDate),SUMPRODUCT((YEAR('Bridge Period'!$C$54:$K$54)=H$3)*'Bridge Period'!$C$58:$K$58),IF(AND(H$3&gt;=YEAR(SA_ResynDate),H$3-YEAR(SA_ResynDate)+1&lt;=20),INDEX('SA - Pro Forma'!$D$13:$W$13,H$3-YEAR(SA_ResynDate)+1),0))</f>
        <v>2406265.3277664</v>
      </c>
      <c r="I9" s="37" t="n">
        <f aca="false">IF(I$3&lt;YEAR(SA_ResynDate),SUMPRODUCT((YEAR('Bridge Period'!$C$54:$K$54)=I$3)*'Bridge Period'!$C$58:$K$58),IF(AND(I$3&gt;=YEAR(SA_ResynDate),I$3-YEAR(SA_ResynDate)+1&lt;=20),INDEX('SA - Pro Forma'!$D$13:$W$13,I$3-YEAR(SA_ResynDate)+1),0))</f>
        <v>2451382.80266202</v>
      </c>
      <c r="J9" s="37" t="n">
        <f aca="false">IF(J$3&lt;YEAR(SA_ResynDate),SUMPRODUCT((YEAR('Bridge Period'!$C$54:$K$54)=J$3)*'Bridge Period'!$C$58:$K$58),IF(AND(J$3&gt;=YEAR(SA_ResynDate),J$3-YEAR(SA_ResynDate)+1&lt;=20),INDEX('SA - Pro Forma'!$D$13:$W$13,J$3-YEAR(SA_ResynDate)+1),0))</f>
        <v>2497346.23021193</v>
      </c>
      <c r="K9" s="37" t="n">
        <f aca="false">IF(K$3&lt;YEAR(SA_ResynDate),SUMPRODUCT((YEAR('Bridge Period'!$C$54:$K$54)=K$3)*'Bridge Period'!$C$58:$K$58),IF(AND(K$3&gt;=YEAR(SA_ResynDate),K$3-YEAR(SA_ResynDate)+1&lt;=20),INDEX('SA - Pro Forma'!$D$13:$W$13,K$3-YEAR(SA_ResynDate)+1),0))</f>
        <v>2544171.47202841</v>
      </c>
      <c r="L9" s="37" t="n">
        <f aca="false">IF(L$3&lt;YEAR(SA_ResynDate),SUMPRODUCT((YEAR('Bridge Period'!$C$54:$K$54)=L$3)*'Bridge Period'!$C$58:$K$58),IF(AND(L$3&gt;=YEAR(SA_ResynDate),L$3-YEAR(SA_ResynDate)+1&lt;=20),INDEX('SA - Pro Forma'!$D$13:$W$13,L$3-YEAR(SA_ResynDate)+1),0))</f>
        <v>2591874.68712894</v>
      </c>
      <c r="M9" s="37" t="n">
        <f aca="false">IF(M$3&lt;YEAR(SA_ResynDate),SUMPRODUCT((YEAR('Bridge Period'!$C$54:$K$54)=M$3)*'Bridge Period'!$C$58:$K$58),IF(AND(M$3&gt;=YEAR(SA_ResynDate),M$3-YEAR(SA_ResynDate)+1&lt;=20),INDEX('SA - Pro Forma'!$D$13:$W$13,M$3-YEAR(SA_ResynDate)+1),0))</f>
        <v>2640472.33751261</v>
      </c>
      <c r="N9" s="37" t="n">
        <f aca="false">IF(N$3&lt;YEAR(SA_ResynDate),SUMPRODUCT((YEAR('Bridge Period'!$C$54:$K$54)=N$3)*'Bridge Period'!$C$58:$K$58),IF(AND(N$3&gt;=YEAR(SA_ResynDate),N$3-YEAR(SA_ResynDate)+1&lt;=20),INDEX('SA - Pro Forma'!$D$13:$W$13,N$3-YEAR(SA_ResynDate)+1),0))</f>
        <v>2689981.19384097</v>
      </c>
      <c r="O9" s="37" t="n">
        <f aca="false">IF(O$3&lt;YEAR(SA_ResynDate),SUMPRODUCT((YEAR('Bridge Period'!$C$54:$K$54)=O$3)*'Bridge Period'!$C$58:$K$58),IF(AND(O$3&gt;=YEAR(SA_ResynDate),O$3-YEAR(SA_ResynDate)+1&lt;=20),INDEX('SA - Pro Forma'!$D$13:$W$13,O$3-YEAR(SA_ResynDate)+1),0))</f>
        <v>2740418.34122549</v>
      </c>
      <c r="P9" s="37" t="n">
        <f aca="false">IF(P$3&lt;YEAR(SA_ResynDate),SUMPRODUCT((YEAR('Bridge Period'!$C$54:$K$54)=P$3)*'Bridge Period'!$C$58:$K$58),IF(AND(P$3&gt;=YEAR(SA_ResynDate),P$3-YEAR(SA_ResynDate)+1&lt;=20),INDEX('SA - Pro Forma'!$D$13:$W$13,P$3-YEAR(SA_ResynDate)+1),0))</f>
        <v>2791801.18512346</v>
      </c>
      <c r="Q9" s="37" t="n">
        <f aca="false">IF(Q$3&lt;YEAR(SA_ResynDate),SUMPRODUCT((YEAR('Bridge Period'!$C$54:$K$54)=Q$3)*'Bridge Period'!$C$58:$K$58),IF(AND(Q$3&gt;=YEAR(SA_ResynDate),Q$3-YEAR(SA_ResynDate)+1&lt;=20),INDEX('SA - Pro Forma'!$D$13:$W$13,Q$3-YEAR(SA_ResynDate)+1),0))</f>
        <v>2844147.45734453</v>
      </c>
      <c r="R9" s="37" t="n">
        <f aca="false">IF(R$3&lt;YEAR(SA_ResynDate),SUMPRODUCT((YEAR('Bridge Period'!$C$54:$K$54)=R$3)*'Bridge Period'!$C$58:$K$58),IF(AND(R$3&gt;=YEAR(SA_ResynDate),R$3-YEAR(SA_ResynDate)+1&lt;=20),INDEX('SA - Pro Forma'!$D$13:$W$13,R$3-YEAR(SA_ResynDate)+1),0))</f>
        <v>2897475.22216974</v>
      </c>
      <c r="S9" s="37" t="n">
        <f aca="false">IF(S$3&lt;YEAR(SA_ResynDate),SUMPRODUCT((YEAR('Bridge Period'!$C$54:$K$54)=S$3)*'Bridge Period'!$C$58:$K$58),IF(AND(S$3&gt;=YEAR(SA_ResynDate),S$3-YEAR(SA_ResynDate)+1&lt;=20),INDEX('SA - Pro Forma'!$D$13:$W$13,S$3-YEAR(SA_ResynDate)+1),0))</f>
        <v>2951802.88258542</v>
      </c>
      <c r="T9" s="37" t="n">
        <f aca="false">IF(T$3&lt;YEAR(SA_ResynDate),SUMPRODUCT((YEAR('Bridge Period'!$C$54:$K$54)=T$3)*'Bridge Period'!$C$58:$K$58),IF(AND(T$3&gt;=YEAR(SA_ResynDate),T$3-YEAR(SA_ResynDate)+1&lt;=20),INDEX('SA - Pro Forma'!$D$13:$W$13,T$3-YEAR(SA_ResynDate)+1),0))</f>
        <v>3007149.1866339</v>
      </c>
      <c r="U9" s="37" t="n">
        <f aca="false">IF(U$3&lt;YEAR(SA_ResynDate),SUMPRODUCT((YEAR('Bridge Period'!$C$54:$K$54)=U$3)*'Bridge Period'!$C$58:$K$58),IF(AND(U$3&gt;=YEAR(SA_ResynDate),U$3-YEAR(SA_ResynDate)+1&lt;=20),INDEX('SA - Pro Forma'!$D$13:$W$13,U$3-YEAR(SA_ResynDate)+1),0))</f>
        <v>3063533.23388328</v>
      </c>
      <c r="V9" s="37" t="n">
        <f aca="false">IF(V$3&lt;YEAR(SA_ResynDate),SUMPRODUCT((YEAR('Bridge Period'!$C$54:$K$54)=V$3)*'Bridge Period'!$C$58:$K$58),IF(AND(V$3&gt;=YEAR(SA_ResynDate),V$3-YEAR(SA_ResynDate)+1&lt;=20),INDEX('SA - Pro Forma'!$D$13:$W$13,V$3-YEAR(SA_ResynDate)+1),0))</f>
        <v>3120974.4820186</v>
      </c>
      <c r="W9" s="37" t="n">
        <f aca="false">IF(W$3&lt;YEAR(SA_ResynDate),SUMPRODUCT((YEAR('Bridge Period'!$C$54:$K$54)=W$3)*'Bridge Period'!$C$58:$K$58),IF(AND(W$3&gt;=YEAR(SA_ResynDate),W$3-YEAR(SA_ResynDate)+1&lt;=20),INDEX('SA - Pro Forma'!$D$13:$W$13,W$3-YEAR(SA_ResynDate)+1),0))</f>
        <v>0</v>
      </c>
    </row>
    <row r="10" customFormat="false" ht="15" hidden="false" customHeight="true" outlineLevel="0" collapsed="false">
      <c r="B10" s="19" t="s">
        <v>858</v>
      </c>
      <c r="C10" s="84" t="n">
        <f aca="false">SUM(C6:C9)</f>
        <v>3030936.65793544</v>
      </c>
      <c r="D10" s="84" t="n">
        <f aca="false">SUM(D6:D9)</f>
        <v>5775710.97602084</v>
      </c>
      <c r="E10" s="84" t="n">
        <f aca="false">SUM(E6:E9)</f>
        <v>5675452.75498734</v>
      </c>
      <c r="F10" s="84" t="n">
        <f aca="false">SUM(F6:F9)</f>
        <v>6433538.97192913</v>
      </c>
      <c r="G10" s="84" t="n">
        <f aca="false">SUM(G6:G9)</f>
        <v>6666640.32953965</v>
      </c>
      <c r="H10" s="84" t="n">
        <f aca="false">SUM(H6:H9)</f>
        <v>6807377.62753695</v>
      </c>
      <c r="I10" s="84" t="n">
        <f aca="false">SUM(I6:I9)</f>
        <v>6935015.95805327</v>
      </c>
      <c r="J10" s="84" t="n">
        <f aca="false">SUM(J6:J9)</f>
        <v>7065047.50726676</v>
      </c>
      <c r="K10" s="84" t="n">
        <f aca="false">SUM(K6:K9)</f>
        <v>7197517.14802802</v>
      </c>
      <c r="L10" s="84" t="n">
        <f aca="false">SUM(L6:L9)</f>
        <v>7332470.59455354</v>
      </c>
      <c r="M10" s="84" t="n">
        <f aca="false">SUM(M6:M9)</f>
        <v>7469954.41820142</v>
      </c>
      <c r="N10" s="84" t="n">
        <f aca="false">SUM(N6:N9)</f>
        <v>7610016.0635427</v>
      </c>
      <c r="O10" s="84" t="n">
        <f aca="false">SUM(O6:O9)</f>
        <v>7752703.86473412</v>
      </c>
      <c r="P10" s="84" t="n">
        <f aca="false">SUM(P6:P9)</f>
        <v>7898067.06219789</v>
      </c>
      <c r="Q10" s="84" t="n">
        <f aca="false">SUM(Q6:Q9)</f>
        <v>8046155.8196141</v>
      </c>
      <c r="R10" s="84" t="n">
        <f aca="false">SUM(R6:R9)</f>
        <v>8197021.24123186</v>
      </c>
      <c r="S10" s="84" t="n">
        <f aca="false">SUM(S6:S9)</f>
        <v>8350715.38950496</v>
      </c>
      <c r="T10" s="84" t="n">
        <f aca="false">SUM(T6:T9)</f>
        <v>8507291.30305818</v>
      </c>
      <c r="U10" s="84" t="n">
        <f aca="false">SUM(U6:U9)</f>
        <v>8666803.01499052</v>
      </c>
      <c r="V10" s="84" t="n">
        <f aca="false">SUM(V6:V9)</f>
        <v>8829305.5715216</v>
      </c>
      <c r="W10" s="84" t="n">
        <f aca="false">SUM(W6:W9)</f>
        <v>5815362.29743118</v>
      </c>
    </row>
    <row r="12" customFormat="false" ht="15" hidden="false" customHeight="true" outlineLevel="0" collapsed="false">
      <c r="B12" s="63" t="s">
        <v>866</v>
      </c>
    </row>
    <row r="13" customFormat="false" ht="15" hidden="false" customHeight="true" outlineLevel="0" collapsed="false">
      <c r="B13" s="13" t="s">
        <v>20</v>
      </c>
      <c r="C13" s="37" t="n">
        <f aca="false">IF(C$3&lt;YEAR(CH_ResynDate),SUMPRODUCT((YEAR('Bridge Period'!$C$6:$K$6)=C$3)*'Bridge Period'!$C$11:$K$11)+SUMPRODUCT((YEAR('Bridge Period'!$C$6:$K$6)=C$3)*'Bridge Period'!$C$12:$K$12),-(IF(AND(C$3&gt;=YEAR(CH_ResynDate),C$3-YEAR(CH_ResynDate)+1&lt;=20),INDEX('CH - Pro Forma'!$D$23:$W$23,C$3-YEAR(CH_ResynDate)+1),0))-(IF(AND(C$3&gt;=YEAR(CH_ResynDate),C$3-YEAR(CH_ResynDate)+1&lt;=20),INDEX('CH - Pro Forma'!$D$27:$W$27,C$3-YEAR(CH_ResynDate)+1),0)))</f>
        <v>-238150.25</v>
      </c>
      <c r="D13" s="37" t="n">
        <f aca="false">IF(D$3&lt;YEAR(CH_ResynDate),SUMPRODUCT((YEAR('Bridge Period'!$C$6:$K$6)=D$3)*'Bridge Period'!$C$11:$K$11)+SUMPRODUCT((YEAR('Bridge Period'!$C$6:$K$6)=D$3)*'Bridge Period'!$C$12:$K$12),-(IF(AND(D$3&gt;=YEAR(CH_ResynDate),D$3-YEAR(CH_ResynDate)+1&lt;=20),INDEX('CH - Pro Forma'!$D$23:$W$23,D$3-YEAR(CH_ResynDate)+1),0))-(IF(AND(D$3&gt;=YEAR(CH_ResynDate),D$3-YEAR(CH_ResynDate)+1&lt;=20),INDEX('CH - Pro Forma'!$D$27:$W$27,D$3-YEAR(CH_ResynDate)+1),0)))</f>
        <v>-806607.364879454</v>
      </c>
      <c r="E13" s="37" t="n">
        <f aca="false">IF(E$3&lt;YEAR(CH_ResynDate),SUMPRODUCT((YEAR('Bridge Period'!$C$6:$K$6)=E$3)*'Bridge Period'!$C$11:$K$11)+SUMPRODUCT((YEAR('Bridge Period'!$C$6:$K$6)=E$3)*'Bridge Period'!$C$12:$K$12),-(IF(AND(E$3&gt;=YEAR(CH_ResynDate),E$3-YEAR(CH_ResynDate)+1&lt;=20),INDEX('CH - Pro Forma'!$D$23:$W$23,E$3-YEAR(CH_ResynDate)+1),0))-(IF(AND(E$3&gt;=YEAR(CH_ResynDate),E$3-YEAR(CH_ResynDate)+1&lt;=20),INDEX('CH - Pro Forma'!$D$27:$W$27,E$3-YEAR(CH_ResynDate)+1),0)))</f>
        <v>-898902.99478144</v>
      </c>
      <c r="F13" s="37" t="n">
        <f aca="false">IF(F$3&lt;YEAR(CH_ResynDate),SUMPRODUCT((YEAR('Bridge Period'!$C$6:$K$6)=F$3)*'Bridge Period'!$C$11:$K$11)+SUMPRODUCT((YEAR('Bridge Period'!$C$6:$K$6)=F$3)*'Bridge Period'!$C$12:$K$12),-(IF(AND(F$3&gt;=YEAR(CH_ResynDate),F$3-YEAR(CH_ResynDate)+1&lt;=20),INDEX('CH - Pro Forma'!$D$23:$W$23,F$3-YEAR(CH_ResynDate)+1),0))-(IF(AND(F$3&gt;=YEAR(CH_ResynDate),F$3-YEAR(CH_ResynDate)+1&lt;=20),INDEX('CH - Pro Forma'!$D$27:$W$27,F$3-YEAR(CH_ResynDate)+1),0)))</f>
        <v>-930345.437785217</v>
      </c>
      <c r="G13" s="37" t="n">
        <f aca="false">IF(G$3&lt;YEAR(CH_ResynDate),SUMPRODUCT((YEAR('Bridge Period'!$C$6:$K$6)=G$3)*'Bridge Period'!$C$11:$K$11)+SUMPRODUCT((YEAR('Bridge Period'!$C$6:$K$6)=G$3)*'Bridge Period'!$C$12:$K$12),-(IF(AND(G$3&gt;=YEAR(CH_ResynDate),G$3-YEAR(CH_ResynDate)+1&lt;=20),INDEX('CH - Pro Forma'!$D$23:$W$23,G$3-YEAR(CH_ResynDate)+1),0))-(IF(AND(G$3&gt;=YEAR(CH_ResynDate),G$3-YEAR(CH_ResynDate)+1&lt;=20),INDEX('CH - Pro Forma'!$D$27:$W$27,G$3-YEAR(CH_ResynDate)+1),0)))</f>
        <v>-960874.144395456</v>
      </c>
      <c r="H13" s="37" t="n">
        <f aca="false">IF(H$3&lt;YEAR(CH_ResynDate),SUMPRODUCT((YEAR('Bridge Period'!$C$6:$K$6)=H$3)*'Bridge Period'!$C$11:$K$11)+SUMPRODUCT((YEAR('Bridge Period'!$C$6:$K$6)=H$3)*'Bridge Period'!$C$12:$K$12),-(IF(AND(H$3&gt;=YEAR(CH_ResynDate),H$3-YEAR(CH_ResynDate)+1&lt;=20),INDEX('CH - Pro Forma'!$D$23:$W$23,H$3-YEAR(CH_ResynDate)+1),0))-(IF(AND(H$3&gt;=YEAR(CH_ResynDate),H$3-YEAR(CH_ResynDate)+1&lt;=20),INDEX('CH - Pro Forma'!$D$27:$W$27,H$3-YEAR(CH_ResynDate)+1),0)))</f>
        <v>-992497.325025185</v>
      </c>
      <c r="I13" s="37" t="n">
        <f aca="false">IF(I$3&lt;YEAR(CH_ResynDate),SUMPRODUCT((YEAR('Bridge Period'!$C$6:$K$6)=I$3)*'Bridge Period'!$C$11:$K$11)+SUMPRODUCT((YEAR('Bridge Period'!$C$6:$K$6)=I$3)*'Bridge Period'!$C$12:$K$12),-(IF(AND(I$3&gt;=YEAR(CH_ResynDate),I$3-YEAR(CH_ResynDate)+1&lt;=20),INDEX('CH - Pro Forma'!$D$23:$W$23,I$3-YEAR(CH_ResynDate)+1),0))-(IF(AND(I$3&gt;=YEAR(CH_ResynDate),I$3-YEAR(CH_ResynDate)+1&lt;=20),INDEX('CH - Pro Forma'!$D$27:$W$27,I$3-YEAR(CH_ResynDate)+1),0)))</f>
        <v>-1025258.93401825</v>
      </c>
      <c r="J13" s="37" t="n">
        <f aca="false">IF(J$3&lt;YEAR(CH_ResynDate),SUMPRODUCT((YEAR('Bridge Period'!$C$6:$K$6)=J$3)*'Bridge Period'!$C$11:$K$11)+SUMPRODUCT((YEAR('Bridge Period'!$C$6:$K$6)=J$3)*'Bridge Period'!$C$12:$K$12),-(IF(AND(J$3&gt;=YEAR(CH_ResynDate),J$3-YEAR(CH_ResynDate)+1&lt;=20),INDEX('CH - Pro Forma'!$D$23:$W$23,J$3-YEAR(CH_ResynDate)+1),0))-(IF(AND(J$3&gt;=YEAR(CH_ResynDate),J$3-YEAR(CH_ResynDate)+1&lt;=20),INDEX('CH - Pro Forma'!$D$27:$W$27,J$3-YEAR(CH_ResynDate)+1),0)))</f>
        <v>-1059204.91911908</v>
      </c>
      <c r="K13" s="37" t="n">
        <f aca="false">IF(K$3&lt;YEAR(CH_ResynDate),SUMPRODUCT((YEAR('Bridge Period'!$C$6:$K$6)=K$3)*'Bridge Period'!$C$11:$K$11)+SUMPRODUCT((YEAR('Bridge Period'!$C$6:$K$6)=K$3)*'Bridge Period'!$C$12:$K$12),-(IF(AND(K$3&gt;=YEAR(CH_ResynDate),K$3-YEAR(CH_ResynDate)+1&lt;=20),INDEX('CH - Pro Forma'!$D$23:$W$23,K$3-YEAR(CH_ResynDate)+1),0))-(IF(AND(K$3&gt;=YEAR(CH_ResynDate),K$3-YEAR(CH_ResynDate)+1&lt;=20),INDEX('CH - Pro Forma'!$D$27:$W$27,K$3-YEAR(CH_ResynDate)+1),0)))</f>
        <v>-1094383.32190275</v>
      </c>
      <c r="L13" s="37" t="n">
        <f aca="false">IF(L$3&lt;YEAR(CH_ResynDate),SUMPRODUCT((YEAR('Bridge Period'!$C$6:$K$6)=L$3)*'Bridge Period'!$C$11:$K$11)+SUMPRODUCT((YEAR('Bridge Period'!$C$6:$K$6)=L$3)*'Bridge Period'!$C$12:$K$12),-(IF(AND(L$3&gt;=YEAR(CH_ResynDate),L$3-YEAR(CH_ResynDate)+1&lt;=20),INDEX('CH - Pro Forma'!$D$23:$W$23,L$3-YEAR(CH_ResynDate)+1),0))-(IF(AND(L$3&gt;=YEAR(CH_ResynDate),L$3-YEAR(CH_ResynDate)+1&lt;=20),INDEX('CH - Pro Forma'!$D$27:$W$27,L$3-YEAR(CH_ResynDate)+1),0)))</f>
        <v>-1130844.38365827</v>
      </c>
      <c r="M13" s="37" t="n">
        <f aca="false">IF(M$3&lt;YEAR(CH_ResynDate),SUMPRODUCT((YEAR('Bridge Period'!$C$6:$K$6)=M$3)*'Bridge Period'!$C$11:$K$11)+SUMPRODUCT((YEAR('Bridge Period'!$C$6:$K$6)=M$3)*'Bridge Period'!$C$12:$K$12),-(IF(AND(M$3&gt;=YEAR(CH_ResynDate),M$3-YEAR(CH_ResynDate)+1&lt;=20),INDEX('CH - Pro Forma'!$D$23:$W$23,M$3-YEAR(CH_ResynDate)+1),0))-(IF(AND(M$3&gt;=YEAR(CH_ResynDate),M$3-YEAR(CH_ResynDate)+1&lt;=20),INDEX('CH - Pro Forma'!$D$27:$W$27,M$3-YEAR(CH_ResynDate)+1),0)))</f>
        <v>-1168640.65703513</v>
      </c>
      <c r="N13" s="37" t="n">
        <f aca="false">IF(N$3&lt;YEAR(CH_ResynDate),SUMPRODUCT((YEAR('Bridge Period'!$C$6:$K$6)=N$3)*'Bridge Period'!$C$11:$K$11)+SUMPRODUCT((YEAR('Bridge Period'!$C$6:$K$6)=N$3)*'Bridge Period'!$C$12:$K$12),-(IF(AND(N$3&gt;=YEAR(CH_ResynDate),N$3-YEAR(CH_ResynDate)+1&lt;=20),INDEX('CH - Pro Forma'!$D$23:$W$23,N$3-YEAR(CH_ResynDate)+1),0))-(IF(AND(N$3&gt;=YEAR(CH_ResynDate),N$3-YEAR(CH_ResynDate)+1&lt;=20),INDEX('CH - Pro Forma'!$D$27:$W$27,N$3-YEAR(CH_ResynDate)+1),0)))</f>
        <v>-1207827.1237814</v>
      </c>
      <c r="O13" s="37" t="n">
        <f aca="false">IF(O$3&lt;YEAR(CH_ResynDate),SUMPRODUCT((YEAR('Bridge Period'!$C$6:$K$6)=O$3)*'Bridge Period'!$C$11:$K$11)+SUMPRODUCT((YEAR('Bridge Period'!$C$6:$K$6)=O$3)*'Bridge Period'!$C$12:$K$12),-(IF(AND(O$3&gt;=YEAR(CH_ResynDate),O$3-YEAR(CH_ResynDate)+1&lt;=20),INDEX('CH - Pro Forma'!$D$23:$W$23,O$3-YEAR(CH_ResynDate)+1),0))-(IF(AND(O$3&gt;=YEAR(CH_ResynDate),O$3-YEAR(CH_ResynDate)+1&lt;=20),INDEX('CH - Pro Forma'!$D$27:$W$27,O$3-YEAR(CH_ResynDate)+1),0)))</f>
        <v>-1248461.31892053</v>
      </c>
      <c r="P13" s="37" t="n">
        <f aca="false">IF(P$3&lt;YEAR(CH_ResynDate),SUMPRODUCT((YEAR('Bridge Period'!$C$6:$K$6)=P$3)*'Bridge Period'!$C$11:$K$11)+SUMPRODUCT((YEAR('Bridge Period'!$C$6:$K$6)=P$3)*'Bridge Period'!$C$12:$K$12),-(IF(AND(P$3&gt;=YEAR(CH_ResynDate),P$3-YEAR(CH_ResynDate)+1&lt;=20),INDEX('CH - Pro Forma'!$D$23:$W$23,P$3-YEAR(CH_ResynDate)+1),0))-(IF(AND(P$3&gt;=YEAR(CH_ResynDate),P$3-YEAR(CH_ResynDate)+1&lt;=20),INDEX('CH - Pro Forma'!$D$27:$W$27,P$3-YEAR(CH_ResynDate)+1),0)))</f>
        <v>-1290603.46173466</v>
      </c>
      <c r="Q13" s="37" t="n">
        <f aca="false">IF(Q$3&lt;YEAR(CH_ResynDate),SUMPRODUCT((YEAR('Bridge Period'!$C$6:$K$6)=Q$3)*'Bridge Period'!$C$11:$K$11)+SUMPRODUCT((YEAR('Bridge Period'!$C$6:$K$6)=Q$3)*'Bridge Period'!$C$12:$K$12),-(IF(AND(Q$3&gt;=YEAR(CH_ResynDate),Q$3-YEAR(CH_ResynDate)+1&lt;=20),INDEX('CH - Pro Forma'!$D$23:$W$23,Q$3-YEAR(CH_ResynDate)+1),0))-(IF(AND(Q$3&gt;=YEAR(CH_ResynDate),Q$3-YEAR(CH_ResynDate)+1&lt;=20),INDEX('CH - Pro Forma'!$D$27:$W$27,Q$3-YEAR(CH_ResynDate)+1),0)))</f>
        <v>-1334316.59394332</v>
      </c>
      <c r="R13" s="37" t="n">
        <f aca="false">IF(R$3&lt;YEAR(CH_ResynDate),SUMPRODUCT((YEAR('Bridge Period'!$C$6:$K$6)=R$3)*'Bridge Period'!$C$11:$K$11)+SUMPRODUCT((YEAR('Bridge Period'!$C$6:$K$6)=R$3)*'Bridge Period'!$C$12:$K$12),-(IF(AND(R$3&gt;=YEAR(CH_ResynDate),R$3-YEAR(CH_ResynDate)+1&lt;=20),INDEX('CH - Pro Forma'!$D$23:$W$23,R$3-YEAR(CH_ResynDate)+1),0))-(IF(AND(R$3&gt;=YEAR(CH_ResynDate),R$3-YEAR(CH_ResynDate)+1&lt;=20),INDEX('CH - Pro Forma'!$D$27:$W$27,R$3-YEAR(CH_ResynDate)+1),0)))</f>
        <v>-1379666.72548962</v>
      </c>
      <c r="S13" s="37" t="n">
        <f aca="false">IF(S$3&lt;YEAR(CH_ResynDate),SUMPRODUCT((YEAR('Bridge Period'!$C$6:$K$6)=S$3)*'Bridge Period'!$C$11:$K$11)+SUMPRODUCT((YEAR('Bridge Period'!$C$6:$K$6)=S$3)*'Bridge Period'!$C$12:$K$12),-(IF(AND(S$3&gt;=YEAR(CH_ResynDate),S$3-YEAR(CH_ResynDate)+1&lt;=20),INDEX('CH - Pro Forma'!$D$23:$W$23,S$3-YEAR(CH_ResynDate)+1),0))-(IF(AND(S$3&gt;=YEAR(CH_ResynDate),S$3-YEAR(CH_ResynDate)+1&lt;=20),INDEX('CH - Pro Forma'!$D$27:$W$27,S$3-YEAR(CH_ResynDate)+1),0)))</f>
        <v>-1426722.98836977</v>
      </c>
      <c r="T13" s="37" t="n">
        <f aca="false">IF(T$3&lt;YEAR(CH_ResynDate),SUMPRODUCT((YEAR('Bridge Period'!$C$6:$K$6)=T$3)*'Bridge Period'!$C$11:$K$11)+SUMPRODUCT((YEAR('Bridge Period'!$C$6:$K$6)=T$3)*'Bridge Period'!$C$12:$K$12),-(IF(AND(T$3&gt;=YEAR(CH_ResynDate),T$3-YEAR(CH_ResynDate)+1&lt;=20),INDEX('CH - Pro Forma'!$D$23:$W$23,T$3-YEAR(CH_ResynDate)+1),0))-(IF(AND(T$3&gt;=YEAR(CH_ResynDate),T$3-YEAR(CH_ResynDate)+1&lt;=20),INDEX('CH - Pro Forma'!$D$27:$W$27,T$3-YEAR(CH_ResynDate)+1),0)))</f>
        <v>-1475557.79896762</v>
      </c>
      <c r="U13" s="37" t="n">
        <f aca="false">IF(U$3&lt;YEAR(CH_ResynDate),SUMPRODUCT((YEAR('Bridge Period'!$C$6:$K$6)=U$3)*'Bridge Period'!$C$11:$K$11)+SUMPRODUCT((YEAR('Bridge Period'!$C$6:$K$6)=U$3)*'Bridge Period'!$C$12:$K$12),-(IF(AND(U$3&gt;=YEAR(CH_ResynDate),U$3-YEAR(CH_ResynDate)+1&lt;=20),INDEX('CH - Pro Forma'!$D$23:$W$23,U$3-YEAR(CH_ResynDate)+1),0))-(IF(AND(U$3&gt;=YEAR(CH_ResynDate),U$3-YEAR(CH_ResynDate)+1&lt;=20),INDEX('CH - Pro Forma'!$D$27:$W$27,U$3-YEAR(CH_ResynDate)+1),0)))</f>
        <v>-1526247.02938265</v>
      </c>
      <c r="V13" s="37" t="n">
        <f aca="false">IF(V$3&lt;YEAR(CH_ResynDate),SUMPRODUCT((YEAR('Bridge Period'!$C$6:$K$6)=V$3)*'Bridge Period'!$C$11:$K$11)+SUMPRODUCT((YEAR('Bridge Period'!$C$6:$K$6)=V$3)*'Bridge Period'!$C$12:$K$12),-(IF(AND(V$3&gt;=YEAR(CH_ResynDate),V$3-YEAR(CH_ResynDate)+1&lt;=20),INDEX('CH - Pro Forma'!$D$23:$W$23,V$3-YEAR(CH_ResynDate)+1),0))-(IF(AND(V$3&gt;=YEAR(CH_ResynDate),V$3-YEAR(CH_ResynDate)+1&lt;=20),INDEX('CH - Pro Forma'!$D$27:$W$27,V$3-YEAR(CH_ResynDate)+1),0)))</f>
        <v>-1578870.18826888</v>
      </c>
      <c r="W13" s="37" t="n">
        <f aca="false">IF(W$3&lt;YEAR(CH_ResynDate),SUMPRODUCT((YEAR('Bridge Period'!$C$6:$K$6)=W$3)*'Bridge Period'!$C$11:$K$11)+SUMPRODUCT((YEAR('Bridge Period'!$C$6:$K$6)=W$3)*'Bridge Period'!$C$12:$K$12),-(IF(AND(W$3&gt;=YEAR(CH_ResynDate),W$3-YEAR(CH_ResynDate)+1&lt;=20),INDEX('CH - Pro Forma'!$D$23:$W$23,W$3-YEAR(CH_ResynDate)+1),0))-(IF(AND(W$3&gt;=YEAR(CH_ResynDate),W$3-YEAR(CH_ResynDate)+1&lt;=20),INDEX('CH - Pro Forma'!$D$27:$W$27,W$3-YEAR(CH_ResynDate)+1),0)))</f>
        <v>-1633510.61173219</v>
      </c>
    </row>
    <row r="14" customFormat="false" ht="15" hidden="false" customHeight="true" outlineLevel="0" collapsed="false">
      <c r="B14" s="13" t="s">
        <v>21</v>
      </c>
      <c r="C14" s="37" t="n">
        <f aca="false">IF(C$3&lt;YEAR(NZ_ResynDate),SUMPRODUCT((YEAR('Bridge Period'!$C$22:$K$22)=C$3)*'Bridge Period'!$C$27:$K$27)+SUMPRODUCT((YEAR('Bridge Period'!$C$22:$K$22)=C$3)*'Bridge Period'!$C$28:$K$28),-(IF(AND(C$3&gt;=YEAR(NZ_ResynDate),C$3-YEAR(NZ_ResynDate)+1&lt;=20),INDEX('NZ - Pro Forma'!$D$23:$W$23,C$3-YEAR(NZ_ResynDate)+1),0))-(IF(AND(C$3&gt;=YEAR(NZ_ResynDate),C$3-YEAR(NZ_ResynDate)+1&lt;=20),INDEX('NZ - Pro Forma'!$D$27:$W$27,C$3-YEAR(NZ_ResynDate)+1),0)))</f>
        <v>-235467</v>
      </c>
      <c r="D14" s="37" t="n">
        <f aca="false">IF(D$3&lt;YEAR(NZ_ResynDate),SUMPRODUCT((YEAR('Bridge Period'!$C$22:$K$22)=D$3)*'Bridge Period'!$C$27:$K$27)+SUMPRODUCT((YEAR('Bridge Period'!$C$22:$K$22)=D$3)*'Bridge Period'!$C$28:$K$28),-(IF(AND(D$3&gt;=YEAR(NZ_ResynDate),D$3-YEAR(NZ_ResynDate)+1&lt;=20),INDEX('NZ - Pro Forma'!$D$23:$W$23,D$3-YEAR(NZ_ResynDate)+1),0))-(IF(AND(D$3&gt;=YEAR(NZ_ResynDate),D$3-YEAR(NZ_ResynDate)+1&lt;=20),INDEX('NZ - Pro Forma'!$D$27:$W$27,D$3-YEAR(NZ_ResynDate)+1),0)))</f>
        <v>-958893.386435501</v>
      </c>
      <c r="E14" s="37" t="n">
        <f aca="false">IF(E$3&lt;YEAR(NZ_ResynDate),SUMPRODUCT((YEAR('Bridge Period'!$C$22:$K$22)=E$3)*'Bridge Period'!$C$27:$K$27)+SUMPRODUCT((YEAR('Bridge Period'!$C$22:$K$22)=E$3)*'Bridge Period'!$C$28:$K$28),-(IF(AND(E$3&gt;=YEAR(NZ_ResynDate),E$3-YEAR(NZ_ResynDate)+1&lt;=20),INDEX('NZ - Pro Forma'!$D$23:$W$23,E$3-YEAR(NZ_ResynDate)+1),0))-(IF(AND(E$3&gt;=YEAR(NZ_ResynDate),E$3-YEAR(NZ_ResynDate)+1&lt;=20),INDEX('NZ - Pro Forma'!$D$27:$W$27,E$3-YEAR(NZ_ResynDate)+1),0)))</f>
        <v>-820517.199828566</v>
      </c>
      <c r="F14" s="37" t="n">
        <f aca="false">IF(F$3&lt;YEAR(NZ_ResynDate),SUMPRODUCT((YEAR('Bridge Period'!$C$22:$K$22)=F$3)*'Bridge Period'!$C$27:$K$27)+SUMPRODUCT((YEAR('Bridge Period'!$C$22:$K$22)=F$3)*'Bridge Period'!$C$28:$K$28),-(IF(AND(F$3&gt;=YEAR(NZ_ResynDate),F$3-YEAR(NZ_ResynDate)+1&lt;=20),INDEX('NZ - Pro Forma'!$D$23:$W$23,F$3-YEAR(NZ_ResynDate)+1),0))-(IF(AND(F$3&gt;=YEAR(NZ_ResynDate),F$3-YEAR(NZ_ResynDate)+1&lt;=20),INDEX('NZ - Pro Forma'!$D$27:$W$27,F$3-YEAR(NZ_ResynDate)+1),0)))</f>
        <v>-939249.793675576</v>
      </c>
      <c r="G14" s="37" t="n">
        <f aca="false">IF(G$3&lt;YEAR(NZ_ResynDate),SUMPRODUCT((YEAR('Bridge Period'!$C$22:$K$22)=G$3)*'Bridge Period'!$C$27:$K$27)+SUMPRODUCT((YEAR('Bridge Period'!$C$22:$K$22)=G$3)*'Bridge Period'!$C$28:$K$28),-(IF(AND(G$3&gt;=YEAR(NZ_ResynDate),G$3-YEAR(NZ_ResynDate)+1&lt;=20),INDEX('NZ - Pro Forma'!$D$23:$W$23,G$3-YEAR(NZ_ResynDate)+1),0))-(IF(AND(G$3&gt;=YEAR(NZ_ResynDate),G$3-YEAR(NZ_ResynDate)+1&lt;=20),INDEX('NZ - Pro Forma'!$D$27:$W$27,G$3-YEAR(NZ_ResynDate)+1),0)))</f>
        <v>-972621.63773804</v>
      </c>
      <c r="H14" s="37" t="n">
        <f aca="false">IF(H$3&lt;YEAR(NZ_ResynDate),SUMPRODUCT((YEAR('Bridge Period'!$C$22:$K$22)=H$3)*'Bridge Period'!$C$27:$K$27)+SUMPRODUCT((YEAR('Bridge Period'!$C$22:$K$22)=H$3)*'Bridge Period'!$C$28:$K$28),-(IF(AND(H$3&gt;=YEAR(NZ_ResynDate),H$3-YEAR(NZ_ResynDate)+1&lt;=20),INDEX('NZ - Pro Forma'!$D$23:$W$23,H$3-YEAR(NZ_ResynDate)+1),0))-(IF(AND(H$3&gt;=YEAR(NZ_ResynDate),H$3-YEAR(NZ_ResynDate)+1&lt;=20),INDEX('NZ - Pro Forma'!$D$27:$W$27,H$3-YEAR(NZ_ResynDate)+1),0)))</f>
        <v>-1004497.74508934</v>
      </c>
      <c r="I14" s="37" t="n">
        <f aca="false">IF(I$3&lt;YEAR(NZ_ResynDate),SUMPRODUCT((YEAR('Bridge Period'!$C$22:$K$22)=I$3)*'Bridge Period'!$C$27:$K$27)+SUMPRODUCT((YEAR('Bridge Period'!$C$22:$K$22)=I$3)*'Bridge Period'!$C$28:$K$28),-(IF(AND(I$3&gt;=YEAR(NZ_ResynDate),I$3-YEAR(NZ_ResynDate)+1&lt;=20),INDEX('NZ - Pro Forma'!$D$23:$W$23,I$3-YEAR(NZ_ResynDate)+1),0))-(IF(AND(I$3&gt;=YEAR(NZ_ResynDate),I$3-YEAR(NZ_ResynDate)+1&lt;=20),INDEX('NZ - Pro Forma'!$D$27:$W$27,I$3-YEAR(NZ_ResynDate)+1),0)))</f>
        <v>-1037518.71543238</v>
      </c>
      <c r="J14" s="37" t="n">
        <f aca="false">IF(J$3&lt;YEAR(NZ_ResynDate),SUMPRODUCT((YEAR('Bridge Period'!$C$22:$K$22)=J$3)*'Bridge Period'!$C$27:$K$27)+SUMPRODUCT((YEAR('Bridge Period'!$C$22:$K$22)=J$3)*'Bridge Period'!$C$28:$K$28),-(IF(AND(J$3&gt;=YEAR(NZ_ResynDate),J$3-YEAR(NZ_ResynDate)+1&lt;=20),INDEX('NZ - Pro Forma'!$D$23:$W$23,J$3-YEAR(NZ_ResynDate)+1),0))-(IF(AND(J$3&gt;=YEAR(NZ_ResynDate),J$3-YEAR(NZ_ResynDate)+1&lt;=20),INDEX('NZ - Pro Forma'!$D$27:$W$27,J$3-YEAR(NZ_ResynDate)+1),0)))</f>
        <v>-1071730.71067342</v>
      </c>
      <c r="K14" s="37" t="n">
        <f aca="false">IF(K$3&lt;YEAR(NZ_ResynDate),SUMPRODUCT((YEAR('Bridge Period'!$C$22:$K$22)=K$3)*'Bridge Period'!$C$27:$K$27)+SUMPRODUCT((YEAR('Bridge Period'!$C$22:$K$22)=K$3)*'Bridge Period'!$C$28:$K$28),-(IF(AND(K$3&gt;=YEAR(NZ_ResynDate),K$3-YEAR(NZ_ResynDate)+1&lt;=20),INDEX('NZ - Pro Forma'!$D$23:$W$23,K$3-YEAR(NZ_ResynDate)+1),0))-(IF(AND(K$3&gt;=YEAR(NZ_ResynDate),K$3-YEAR(NZ_ResynDate)+1&lt;=20),INDEX('NZ - Pro Forma'!$D$27:$W$27,K$3-YEAR(NZ_ResynDate)+1),0)))</f>
        <v>-1107181.99593492</v>
      </c>
      <c r="L14" s="37" t="n">
        <f aca="false">IF(L$3&lt;YEAR(NZ_ResynDate),SUMPRODUCT((YEAR('Bridge Period'!$C$22:$K$22)=L$3)*'Bridge Period'!$C$27:$K$27)+SUMPRODUCT((YEAR('Bridge Period'!$C$22:$K$22)=L$3)*'Bridge Period'!$C$28:$K$28),-(IF(AND(L$3&gt;=YEAR(NZ_ResynDate),L$3-YEAR(NZ_ResynDate)+1&lt;=20),INDEX('NZ - Pro Forma'!$D$23:$W$23,L$3-YEAR(NZ_ResynDate)+1),0))-(IF(AND(L$3&gt;=YEAR(NZ_ResynDate),L$3-YEAR(NZ_ResynDate)+1&lt;=20),INDEX('NZ - Pro Forma'!$D$27:$W$27,L$3-YEAR(NZ_ResynDate)+1),0)))</f>
        <v>-1143923.04592987</v>
      </c>
      <c r="M14" s="37" t="n">
        <f aca="false">IF(M$3&lt;YEAR(NZ_ResynDate),SUMPRODUCT((YEAR('Bridge Period'!$C$22:$K$22)=M$3)*'Bridge Period'!$C$27:$K$27)+SUMPRODUCT((YEAR('Bridge Period'!$C$22:$K$22)=M$3)*'Bridge Period'!$C$28:$K$28),-(IF(AND(M$3&gt;=YEAR(NZ_ResynDate),M$3-YEAR(NZ_ResynDate)+1&lt;=20),INDEX('NZ - Pro Forma'!$D$23:$W$23,M$3-YEAR(NZ_ResynDate)+1),0))-(IF(AND(M$3&gt;=YEAR(NZ_ResynDate),M$3-YEAR(NZ_ResynDate)+1&lt;=20),INDEX('NZ - Pro Forma'!$D$27:$W$27,M$3-YEAR(NZ_ResynDate)+1),0)))</f>
        <v>-1182006.65712716</v>
      </c>
      <c r="N14" s="37" t="n">
        <f aca="false">IF(N$3&lt;YEAR(NZ_ResynDate),SUMPRODUCT((YEAR('Bridge Period'!$C$22:$K$22)=N$3)*'Bridge Period'!$C$27:$K$27)+SUMPRODUCT((YEAR('Bridge Period'!$C$22:$K$22)=N$3)*'Bridge Period'!$C$28:$K$28),-(IF(AND(N$3&gt;=YEAR(NZ_ResynDate),N$3-YEAR(NZ_ResynDate)+1&lt;=20),INDEX('NZ - Pro Forma'!$D$23:$W$23,N$3-YEAR(NZ_ResynDate)+1),0))-(IF(AND(N$3&gt;=YEAR(NZ_ResynDate),N$3-YEAR(NZ_ResynDate)+1&lt;=20),INDEX('NZ - Pro Forma'!$D$27:$W$27,N$3-YEAR(NZ_ResynDate)+1),0)))</f>
        <v>-1221488.06603805</v>
      </c>
      <c r="O14" s="37" t="n">
        <f aca="false">IF(O$3&lt;YEAR(NZ_ResynDate),SUMPRODUCT((YEAR('Bridge Period'!$C$22:$K$22)=O$3)*'Bridge Period'!$C$27:$K$27)+SUMPRODUCT((YEAR('Bridge Period'!$C$22:$K$22)=O$3)*'Bridge Period'!$C$28:$K$28),-(IF(AND(O$3&gt;=YEAR(NZ_ResynDate),O$3-YEAR(NZ_ResynDate)+1&lt;=20),INDEX('NZ - Pro Forma'!$D$23:$W$23,O$3-YEAR(NZ_ResynDate)+1),0))-(IF(AND(O$3&gt;=YEAR(NZ_ResynDate),O$3-YEAR(NZ_ResynDate)+1&lt;=20),INDEX('NZ - Pro Forma'!$D$27:$W$27,O$3-YEAR(NZ_ResynDate)+1),0)))</f>
        <v>-1262425.07397263</v>
      </c>
      <c r="P14" s="37" t="n">
        <f aca="false">IF(P$3&lt;YEAR(NZ_ResynDate),SUMPRODUCT((YEAR('Bridge Period'!$C$22:$K$22)=P$3)*'Bridge Period'!$C$27:$K$27)+SUMPRODUCT((YEAR('Bridge Period'!$C$22:$K$22)=P$3)*'Bridge Period'!$C$28:$K$28),-(IF(AND(P$3&gt;=YEAR(NZ_ResynDate),P$3-YEAR(NZ_ResynDate)+1&lt;=20),INDEX('NZ - Pro Forma'!$D$23:$W$23,P$3-YEAR(NZ_ResynDate)+1),0))-(IF(AND(P$3&gt;=YEAR(NZ_ResynDate),P$3-YEAR(NZ_ResynDate)+1&lt;=20),INDEX('NZ - Pro Forma'!$D$27:$W$27,P$3-YEAR(NZ_ResynDate)+1),0)))</f>
        <v>-1304878.17863585</v>
      </c>
      <c r="Q14" s="37" t="n">
        <f aca="false">IF(Q$3&lt;YEAR(NZ_ResynDate),SUMPRODUCT((YEAR('Bridge Period'!$C$22:$K$22)=Q$3)*'Bridge Period'!$C$27:$K$27)+SUMPRODUCT((YEAR('Bridge Period'!$C$22:$K$22)=Q$3)*'Bridge Period'!$C$28:$K$28),-(IF(AND(Q$3&gt;=YEAR(NZ_ResynDate),Q$3-YEAR(NZ_ResynDate)+1&lt;=20),INDEX('NZ - Pro Forma'!$D$23:$W$23,Q$3-YEAR(NZ_ResynDate)+1),0))-(IF(AND(Q$3&gt;=YEAR(NZ_ResynDate),Q$3-YEAR(NZ_ResynDate)+1&lt;=20),INDEX('NZ - Pro Forma'!$D$27:$W$27,Q$3-YEAR(NZ_ResynDate)+1),0)))</f>
        <v>-1348910.71295399</v>
      </c>
      <c r="R14" s="37" t="n">
        <f aca="false">IF(R$3&lt;YEAR(NZ_ResynDate),SUMPRODUCT((YEAR('Bridge Period'!$C$22:$K$22)=R$3)*'Bridge Period'!$C$27:$K$27)+SUMPRODUCT((YEAR('Bridge Period'!$C$22:$K$22)=R$3)*'Bridge Period'!$C$28:$K$28),-(IF(AND(R$3&gt;=YEAR(NZ_ResynDate),R$3-YEAR(NZ_ResynDate)+1&lt;=20),INDEX('NZ - Pro Forma'!$D$23:$W$23,R$3-YEAR(NZ_ResynDate)+1),0))-(IF(AND(R$3&gt;=YEAR(NZ_ResynDate),R$3-YEAR(NZ_ResynDate)+1&lt;=20),INDEX('NZ - Pro Forma'!$D$27:$W$27,R$3-YEAR(NZ_ResynDate)+1),0)))</f>
        <v>-1394588.99154576</v>
      </c>
      <c r="S14" s="37" t="n">
        <f aca="false">IF(S$3&lt;YEAR(NZ_ResynDate),SUMPRODUCT((YEAR('Bridge Period'!$C$22:$K$22)=S$3)*'Bridge Period'!$C$27:$K$27)+SUMPRODUCT((YEAR('Bridge Period'!$C$22:$K$22)=S$3)*'Bridge Period'!$C$28:$K$28),-(IF(AND(S$3&gt;=YEAR(NZ_ResynDate),S$3-YEAR(NZ_ResynDate)+1&lt;=20),INDEX('NZ - Pro Forma'!$D$23:$W$23,S$3-YEAR(NZ_ResynDate)+1),0))-(IF(AND(S$3&gt;=YEAR(NZ_ResynDate),S$3-YEAR(NZ_ResynDate)+1&lt;=20),INDEX('NZ - Pro Forma'!$D$27:$W$27,S$3-YEAR(NZ_ResynDate)+1),0)))</f>
        <v>-1441982.46527602</v>
      </c>
      <c r="T14" s="37" t="n">
        <f aca="false">IF(T$3&lt;YEAR(NZ_ResynDate),SUMPRODUCT((YEAR('Bridge Period'!$C$22:$K$22)=T$3)*'Bridge Period'!$C$27:$K$27)+SUMPRODUCT((YEAR('Bridge Period'!$C$22:$K$22)=T$3)*'Bridge Period'!$C$28:$K$28),-(IF(AND(T$3&gt;=YEAR(NZ_ResynDate),T$3-YEAR(NZ_ResynDate)+1&lt;=20),INDEX('NZ - Pro Forma'!$D$23:$W$23,T$3-YEAR(NZ_ResynDate)+1),0))-(IF(AND(T$3&gt;=YEAR(NZ_ResynDate),T$3-YEAR(NZ_ResynDate)+1&lt;=20),INDEX('NZ - Pro Forma'!$D$27:$W$27,T$3-YEAR(NZ_ResynDate)+1),0)))</f>
        <v>-1491163.88435605</v>
      </c>
      <c r="U14" s="37" t="n">
        <f aca="false">IF(U$3&lt;YEAR(NZ_ResynDate),SUMPRODUCT((YEAR('Bridge Period'!$C$22:$K$22)=U$3)*'Bridge Period'!$C$27:$K$27)+SUMPRODUCT((YEAR('Bridge Period'!$C$22:$K$22)=U$3)*'Bridge Period'!$C$28:$K$28),-(IF(AND(U$3&gt;=YEAR(NZ_ResynDate),U$3-YEAR(NZ_ResynDate)+1&lt;=20),INDEX('NZ - Pro Forma'!$D$23:$W$23,U$3-YEAR(NZ_ResynDate)+1),0))-(IF(AND(U$3&gt;=YEAR(NZ_ResynDate),U$3-YEAR(NZ_ResynDate)+1&lt;=20),INDEX('NZ - Pro Forma'!$D$27:$W$27,U$3-YEAR(NZ_ResynDate)+1),0)))</f>
        <v>-1542209.47048146</v>
      </c>
      <c r="V14" s="37" t="n">
        <f aca="false">IF(V$3&lt;YEAR(NZ_ResynDate),SUMPRODUCT((YEAR('Bridge Period'!$C$22:$K$22)=V$3)*'Bridge Period'!$C$27:$K$27)+SUMPRODUCT((YEAR('Bridge Period'!$C$22:$K$22)=V$3)*'Bridge Period'!$C$28:$K$28),-(IF(AND(V$3&gt;=YEAR(NZ_ResynDate),V$3-YEAR(NZ_ResynDate)+1&lt;=20),INDEX('NZ - Pro Forma'!$D$23:$W$23,V$3-YEAR(NZ_ResynDate)+1),0))-(IF(AND(V$3&gt;=YEAR(NZ_ResynDate),V$3-YEAR(NZ_ResynDate)+1&lt;=20),INDEX('NZ - Pro Forma'!$D$27:$W$27,V$3-YEAR(NZ_ResynDate)+1),0)))</f>
        <v>-1595199.0985276</v>
      </c>
      <c r="W14" s="37" t="n">
        <f aca="false">IF(W$3&lt;YEAR(NZ_ResynDate),SUMPRODUCT((YEAR('Bridge Period'!$C$22:$K$22)=W$3)*'Bridge Period'!$C$27:$K$27)+SUMPRODUCT((YEAR('Bridge Period'!$C$22:$K$22)=W$3)*'Bridge Period'!$C$28:$K$28),-(IF(AND(W$3&gt;=YEAR(NZ_ResynDate),W$3-YEAR(NZ_ResynDate)+1&lt;=20),INDEX('NZ - Pro Forma'!$D$23:$W$23,W$3-YEAR(NZ_ResynDate)+1),0))-(IF(AND(W$3&gt;=YEAR(NZ_ResynDate),W$3-YEAR(NZ_ResynDate)+1&lt;=20),INDEX('NZ - Pro Forma'!$D$27:$W$27,W$3-YEAR(NZ_ResynDate)+1),0)))</f>
        <v>-1650216.48835284</v>
      </c>
    </row>
    <row r="15" customFormat="false" ht="15" hidden="false" customHeight="true" outlineLevel="0" collapsed="false">
      <c r="B15" s="13" t="s">
        <v>22</v>
      </c>
      <c r="C15" s="37" t="n">
        <f aca="false">IF(C$3&lt;YEAR(LOM_ResynDate),SUMPRODUCT((YEAR('Bridge Period'!$C$38:$K$38)=C$3)*'Bridge Period'!$C$43:$K$43)+SUMPRODUCT((YEAR('Bridge Period'!$C$38:$K$38)=C$3)*'Bridge Period'!$C$44:$K$44),-(IF(AND(C$3&gt;=YEAR(LOM_ResynDate),C$3-YEAR(LOM_ResynDate)+1&lt;=20),INDEX('LOM - Pro Forma'!$D$23:$W$23,C$3-YEAR(LOM_ResynDate)+1),0))-(IF(AND(C$3&gt;=YEAR(LOM_ResynDate),C$3-YEAR(LOM_ResynDate)+1&lt;=20),INDEX('LOM - Pro Forma'!$D$27:$W$27,C$3-YEAR(LOM_ResynDate)+1),0)))</f>
        <v>-275644.5</v>
      </c>
      <c r="D15" s="37" t="n">
        <f aca="false">IF(D$3&lt;YEAR(LOM_ResynDate),SUMPRODUCT((YEAR('Bridge Period'!$C$38:$K$38)=D$3)*'Bridge Period'!$C$43:$K$43)+SUMPRODUCT((YEAR('Bridge Period'!$C$38:$K$38)=D$3)*'Bridge Period'!$C$44:$K$44),-(IF(AND(D$3&gt;=YEAR(LOM_ResynDate),D$3-YEAR(LOM_ResynDate)+1&lt;=20),INDEX('LOM - Pro Forma'!$D$23:$W$23,D$3-YEAR(LOM_ResynDate)+1),0))-(IF(AND(D$3&gt;=YEAR(LOM_ResynDate),D$3-YEAR(LOM_ResynDate)+1&lt;=20),INDEX('LOM - Pro Forma'!$D$27:$W$27,D$3-YEAR(LOM_ResynDate)+1),0)))</f>
        <v>-1122957.28601489</v>
      </c>
      <c r="E15" s="37" t="n">
        <f aca="false">IF(E$3&lt;YEAR(LOM_ResynDate),SUMPRODUCT((YEAR('Bridge Period'!$C$38:$K$38)=E$3)*'Bridge Period'!$C$43:$K$43)+SUMPRODUCT((YEAR('Bridge Period'!$C$38:$K$38)=E$3)*'Bridge Period'!$C$44:$K$44),-(IF(AND(E$3&gt;=YEAR(LOM_ResynDate),E$3-YEAR(LOM_ResynDate)+1&lt;=20),INDEX('LOM - Pro Forma'!$D$23:$W$23,E$3-YEAR(LOM_ResynDate)+1),0))-(IF(AND(E$3&gt;=YEAR(LOM_ResynDate),E$3-YEAR(LOM_ResynDate)+1&lt;=20),INDEX('LOM - Pro Forma'!$D$27:$W$27,E$3-YEAR(LOM_ResynDate)+1),0)))</f>
        <v>-961460.545695333</v>
      </c>
      <c r="F15" s="37" t="n">
        <f aca="false">IF(F$3&lt;YEAR(LOM_ResynDate),SUMPRODUCT((YEAR('Bridge Period'!$C$38:$K$38)=F$3)*'Bridge Period'!$C$43:$K$43)+SUMPRODUCT((YEAR('Bridge Period'!$C$38:$K$38)=F$3)*'Bridge Period'!$C$44:$K$44),-(IF(AND(F$3&gt;=YEAR(LOM_ResynDate),F$3-YEAR(LOM_ResynDate)+1&lt;=20),INDEX('LOM - Pro Forma'!$D$23:$W$23,F$3-YEAR(LOM_ResynDate)+1),0))-(IF(AND(F$3&gt;=YEAR(LOM_ResynDate),F$3-YEAR(LOM_ResynDate)+1&lt;=20),INDEX('LOM - Pro Forma'!$D$27:$W$27,F$3-YEAR(LOM_ResynDate)+1),0)))</f>
        <v>-1098988.56718643</v>
      </c>
      <c r="G15" s="37" t="n">
        <f aca="false">IF(G$3&lt;YEAR(LOM_ResynDate),SUMPRODUCT((YEAR('Bridge Period'!$C$38:$K$38)=G$3)*'Bridge Period'!$C$43:$K$43)+SUMPRODUCT((YEAR('Bridge Period'!$C$38:$K$38)=G$3)*'Bridge Period'!$C$44:$K$44),-(IF(AND(G$3&gt;=YEAR(LOM_ResynDate),G$3-YEAR(LOM_ResynDate)+1&lt;=20),INDEX('LOM - Pro Forma'!$D$23:$W$23,G$3-YEAR(LOM_ResynDate)+1),0))-(IF(AND(G$3&gt;=YEAR(LOM_ResynDate),G$3-YEAR(LOM_ResynDate)+1&lt;=20),INDEX('LOM - Pro Forma'!$D$27:$W$27,G$3-YEAR(LOM_ResynDate)+1),0)))</f>
        <v>-1139247.98957463</v>
      </c>
      <c r="H15" s="37" t="n">
        <f aca="false">IF(H$3&lt;YEAR(LOM_ResynDate),SUMPRODUCT((YEAR('Bridge Period'!$C$38:$K$38)=H$3)*'Bridge Period'!$C$43:$K$43)+SUMPRODUCT((YEAR('Bridge Period'!$C$38:$K$38)=H$3)*'Bridge Period'!$C$44:$K$44),-(IF(AND(H$3&gt;=YEAR(LOM_ResynDate),H$3-YEAR(LOM_ResynDate)+1&lt;=20),INDEX('LOM - Pro Forma'!$D$23:$W$23,H$3-YEAR(LOM_ResynDate)+1),0))-(IF(AND(H$3&gt;=YEAR(LOM_ResynDate),H$3-YEAR(LOM_ResynDate)+1&lt;=20),INDEX('LOM - Pro Forma'!$D$27:$W$27,H$3-YEAR(LOM_ResynDate)+1),0)))</f>
        <v>-1179826.07165432</v>
      </c>
      <c r="I15" s="37" t="n">
        <f aca="false">IF(I$3&lt;YEAR(LOM_ResynDate),SUMPRODUCT((YEAR('Bridge Period'!$C$38:$K$38)=I$3)*'Bridge Period'!$C$43:$K$43)+SUMPRODUCT((YEAR('Bridge Period'!$C$38:$K$38)=I$3)*'Bridge Period'!$C$44:$K$44),-(IF(AND(I$3&gt;=YEAR(LOM_ResynDate),I$3-YEAR(LOM_ResynDate)+1&lt;=20),INDEX('LOM - Pro Forma'!$D$23:$W$23,I$3-YEAR(LOM_ResynDate)+1),0))-(IF(AND(I$3&gt;=YEAR(LOM_ResynDate),I$3-YEAR(LOM_ResynDate)+1&lt;=20),INDEX('LOM - Pro Forma'!$D$27:$W$27,I$3-YEAR(LOM_ResynDate)+1),0)))</f>
        <v>-1221362.42780602</v>
      </c>
      <c r="J15" s="37" t="n">
        <f aca="false">IF(J$3&lt;YEAR(LOM_ResynDate),SUMPRODUCT((YEAR('Bridge Period'!$C$38:$K$38)=J$3)*'Bridge Period'!$C$43:$K$43)+SUMPRODUCT((YEAR('Bridge Period'!$C$38:$K$38)=J$3)*'Bridge Period'!$C$44:$K$44),-(IF(AND(J$3&gt;=YEAR(LOM_ResynDate),J$3-YEAR(LOM_ResynDate)+1&lt;=20),INDEX('LOM - Pro Forma'!$D$23:$W$23,J$3-YEAR(LOM_ResynDate)+1),0))-(IF(AND(J$3&gt;=YEAR(LOM_ResynDate),J$3-YEAR(LOM_ResynDate)+1&lt;=20),INDEX('LOM - Pro Forma'!$D$27:$W$27,J$3-YEAR(LOM_ResynDate)+1),0)))</f>
        <v>-1264545.50473774</v>
      </c>
      <c r="K15" s="37" t="n">
        <f aca="false">IF(K$3&lt;YEAR(LOM_ResynDate),SUMPRODUCT((YEAR('Bridge Period'!$C$38:$K$38)=K$3)*'Bridge Period'!$C$43:$K$43)+SUMPRODUCT((YEAR('Bridge Period'!$C$38:$K$38)=K$3)*'Bridge Period'!$C$44:$K$44),-(IF(AND(K$3&gt;=YEAR(LOM_ResynDate),K$3-YEAR(LOM_ResynDate)+1&lt;=20),INDEX('LOM - Pro Forma'!$D$23:$W$23,K$3-YEAR(LOM_ResynDate)+1),0))-(IF(AND(K$3&gt;=YEAR(LOM_ResynDate),K$3-YEAR(LOM_ResynDate)+1&lt;=20),INDEX('LOM - Pro Forma'!$D$27:$W$27,K$3-YEAR(LOM_ResynDate)+1),0)))</f>
        <v>-1309449.34442215</v>
      </c>
      <c r="L15" s="37" t="n">
        <f aca="false">IF(L$3&lt;YEAR(LOM_ResynDate),SUMPRODUCT((YEAR('Bridge Period'!$C$38:$K$38)=L$3)*'Bridge Period'!$C$43:$K$43)+SUMPRODUCT((YEAR('Bridge Period'!$C$38:$K$38)=L$3)*'Bridge Period'!$C$44:$K$44),-(IF(AND(L$3&gt;=YEAR(LOM_ResynDate),L$3-YEAR(LOM_ResynDate)+1&lt;=20),INDEX('LOM - Pro Forma'!$D$23:$W$23,L$3-YEAR(LOM_ResynDate)+1),0))-(IF(AND(L$3&gt;=YEAR(LOM_ResynDate),L$3-YEAR(LOM_ResynDate)+1&lt;=20),INDEX('LOM - Pro Forma'!$D$27:$W$27,L$3-YEAR(LOM_ResynDate)+1),0)))</f>
        <v>-1356151.69980974</v>
      </c>
      <c r="M15" s="37" t="n">
        <f aca="false">IF(M$3&lt;YEAR(LOM_ResynDate),SUMPRODUCT((YEAR('Bridge Period'!$C$38:$K$38)=M$3)*'Bridge Period'!$C$43:$K$43)+SUMPRODUCT((YEAR('Bridge Period'!$C$38:$K$38)=M$3)*'Bridge Period'!$C$44:$K$44),-(IF(AND(M$3&gt;=YEAR(LOM_ResynDate),M$3-YEAR(LOM_ResynDate)+1&lt;=20),INDEX('LOM - Pro Forma'!$D$23:$W$23,M$3-YEAR(LOM_ResynDate)+1),0))-(IF(AND(M$3&gt;=YEAR(LOM_ResynDate),M$3-YEAR(LOM_ResynDate)+1&lt;=20),INDEX('LOM - Pro Forma'!$D$27:$W$27,M$3-YEAR(LOM_ResynDate)+1),0)))</f>
        <v>-1404734.23575312</v>
      </c>
      <c r="N15" s="37" t="n">
        <f aca="false">IF(N$3&lt;YEAR(LOM_ResynDate),SUMPRODUCT((YEAR('Bridge Period'!$C$38:$K$38)=N$3)*'Bridge Period'!$C$43:$K$43)+SUMPRODUCT((YEAR('Bridge Period'!$C$38:$K$38)=N$3)*'Bridge Period'!$C$44:$K$44),-(IF(AND(N$3&gt;=YEAR(LOM_ResynDate),N$3-YEAR(LOM_ResynDate)+1&lt;=20),INDEX('LOM - Pro Forma'!$D$23:$W$23,N$3-YEAR(LOM_ResynDate)+1),0))-(IF(AND(N$3&gt;=YEAR(LOM_ResynDate),N$3-YEAR(LOM_ResynDate)+1&lt;=20),INDEX('LOM - Pro Forma'!$D$27:$W$27,N$3-YEAR(LOM_ResynDate)+1),0)))</f>
        <v>-1455282.74133869</v>
      </c>
      <c r="O15" s="37" t="n">
        <f aca="false">IF(O$3&lt;YEAR(LOM_ResynDate),SUMPRODUCT((YEAR('Bridge Period'!$C$38:$K$38)=O$3)*'Bridge Period'!$C$43:$K$43)+SUMPRODUCT((YEAR('Bridge Period'!$C$38:$K$38)=O$3)*'Bridge Period'!$C$44:$K$44),-(IF(AND(O$3&gt;=YEAR(LOM_ResynDate),O$3-YEAR(LOM_ResynDate)+1&lt;=20),INDEX('LOM - Pro Forma'!$D$23:$W$23,O$3-YEAR(LOM_ResynDate)+1),0))-(IF(AND(O$3&gt;=YEAR(LOM_ResynDate),O$3-YEAR(LOM_ResynDate)+1&lt;=20),INDEX('LOM - Pro Forma'!$D$27:$W$27,O$3-YEAR(LOM_ResynDate)+1),0)))</f>
        <v>-1507887.35429081</v>
      </c>
      <c r="P15" s="37" t="n">
        <f aca="false">IF(P$3&lt;YEAR(LOM_ResynDate),SUMPRODUCT((YEAR('Bridge Period'!$C$38:$K$38)=P$3)*'Bridge Period'!$C$43:$K$43)+SUMPRODUCT((YEAR('Bridge Period'!$C$38:$K$38)=P$3)*'Bridge Period'!$C$44:$K$44),-(IF(AND(P$3&gt;=YEAR(LOM_ResynDate),P$3-YEAR(LOM_ResynDate)+1&lt;=20),INDEX('LOM - Pro Forma'!$D$23:$W$23,P$3-YEAR(LOM_ResynDate)+1),0))-(IF(AND(P$3&gt;=YEAR(LOM_ResynDate),P$3-YEAR(LOM_ResynDate)+1&lt;=20),INDEX('LOM - Pro Forma'!$D$27:$W$27,P$3-YEAR(LOM_ResynDate)+1),0)))</f>
        <v>-1562642.79815281</v>
      </c>
      <c r="Q15" s="37" t="n">
        <f aca="false">IF(Q$3&lt;YEAR(LOM_ResynDate),SUMPRODUCT((YEAR('Bridge Period'!$C$38:$K$38)=Q$3)*'Bridge Period'!$C$43:$K$43)+SUMPRODUCT((YEAR('Bridge Period'!$C$38:$K$38)=Q$3)*'Bridge Period'!$C$44:$K$44),-(IF(AND(Q$3&gt;=YEAR(LOM_ResynDate),Q$3-YEAR(LOM_ResynDate)+1&lt;=20),INDEX('LOM - Pro Forma'!$D$23:$W$23,Q$3-YEAR(LOM_ResynDate)+1),0))-(IF(AND(Q$3&gt;=YEAR(LOM_ResynDate),Q$3-YEAR(LOM_ResynDate)+1&lt;=20),INDEX('LOM - Pro Forma'!$D$27:$W$27,Q$3-YEAR(LOM_ResynDate)+1),0)))</f>
        <v>-1619648.632991</v>
      </c>
      <c r="R15" s="37" t="n">
        <f aca="false">IF(R$3&lt;YEAR(LOM_ResynDate),SUMPRODUCT((YEAR('Bridge Period'!$C$38:$K$38)=R$3)*'Bridge Period'!$C$43:$K$43)+SUMPRODUCT((YEAR('Bridge Period'!$C$38:$K$38)=R$3)*'Bridge Period'!$C$44:$K$44),-(IF(AND(R$3&gt;=YEAR(LOM_ResynDate),R$3-YEAR(LOM_ResynDate)+1&lt;=20),INDEX('LOM - Pro Forma'!$D$23:$W$23,R$3-YEAR(LOM_ResynDate)+1),0))-(IF(AND(R$3&gt;=YEAR(LOM_ResynDate),R$3-YEAR(LOM_ResynDate)+1&lt;=20),INDEX('LOM - Pro Forma'!$D$27:$W$27,R$3-YEAR(LOM_ResynDate)+1),0)))</f>
        <v>-1679009.52041177</v>
      </c>
      <c r="S15" s="37" t="n">
        <f aca="false">IF(S$3&lt;YEAR(LOM_ResynDate),SUMPRODUCT((YEAR('Bridge Period'!$C$38:$K$38)=S$3)*'Bridge Period'!$C$43:$K$43)+SUMPRODUCT((YEAR('Bridge Period'!$C$38:$K$38)=S$3)*'Bridge Period'!$C$44:$K$44),-(IF(AND(S$3&gt;=YEAR(LOM_ResynDate),S$3-YEAR(LOM_ResynDate)+1&lt;=20),INDEX('LOM - Pro Forma'!$D$23:$W$23,S$3-YEAR(LOM_ResynDate)+1),0))-(IF(AND(S$3&gt;=YEAR(LOM_ResynDate),S$3-YEAR(LOM_ResynDate)+1&lt;=20),INDEX('LOM - Pro Forma'!$D$27:$W$27,S$3-YEAR(LOM_ResynDate)+1),0)))</f>
        <v>-1740835.50372892</v>
      </c>
      <c r="T15" s="37" t="n">
        <f aca="false">IF(T$3&lt;YEAR(LOM_ResynDate),SUMPRODUCT((YEAR('Bridge Period'!$C$38:$K$38)=T$3)*'Bridge Period'!$C$43:$K$43)+SUMPRODUCT((YEAR('Bridge Period'!$C$38:$K$38)=T$3)*'Bridge Period'!$C$44:$K$44),-(IF(AND(T$3&gt;=YEAR(LOM_ResynDate),T$3-YEAR(LOM_ResynDate)+1&lt;=20),INDEX('LOM - Pro Forma'!$D$23:$W$23,T$3-YEAR(LOM_ResynDate)+1),0))-(IF(AND(T$3&gt;=YEAR(LOM_ResynDate),T$3-YEAR(LOM_ResynDate)+1&lt;=20),INDEX('LOM - Pro Forma'!$D$27:$W$27,T$3-YEAR(LOM_ResynDate)+1),0)))</f>
        <v>-1805242.30416766</v>
      </c>
      <c r="U15" s="37" t="n">
        <f aca="false">IF(U$3&lt;YEAR(LOM_ResynDate),SUMPRODUCT((YEAR('Bridge Period'!$C$38:$K$38)=U$3)*'Bridge Period'!$C$43:$K$43)+SUMPRODUCT((YEAR('Bridge Period'!$C$38:$K$38)=U$3)*'Bridge Period'!$C$44:$K$44),-(IF(AND(U$3&gt;=YEAR(LOM_ResynDate),U$3-YEAR(LOM_ResynDate)+1&lt;=20),INDEX('LOM - Pro Forma'!$D$23:$W$23,U$3-YEAR(LOM_ResynDate)+1),0))-(IF(AND(U$3&gt;=YEAR(LOM_ResynDate),U$3-YEAR(LOM_ResynDate)+1&lt;=20),INDEX('LOM - Pro Forma'!$D$27:$W$27,U$3-YEAR(LOM_ResynDate)+1),0)))</f>
        <v>-1872351.63404447</v>
      </c>
      <c r="V15" s="37" t="n">
        <f aca="false">IF(V$3&lt;YEAR(LOM_ResynDate),SUMPRODUCT((YEAR('Bridge Period'!$C$38:$K$38)=V$3)*'Bridge Period'!$C$43:$K$43)+SUMPRODUCT((YEAR('Bridge Period'!$C$38:$K$38)=V$3)*'Bridge Period'!$C$44:$K$44),-(IF(AND(V$3&gt;=YEAR(LOM_ResynDate),V$3-YEAR(LOM_ResynDate)+1&lt;=20),INDEX('LOM - Pro Forma'!$D$23:$W$23,V$3-YEAR(LOM_ResynDate)+1),0))-(IF(AND(V$3&gt;=YEAR(LOM_ResynDate),V$3-YEAR(LOM_ResynDate)+1&lt;=20),INDEX('LOM - Pro Forma'!$D$27:$W$27,V$3-YEAR(LOM_ResynDate)+1),0)))</f>
        <v>-1942291.52791744</v>
      </c>
      <c r="W15" s="37" t="n">
        <f aca="false">IF(W$3&lt;YEAR(LOM_ResynDate),SUMPRODUCT((YEAR('Bridge Period'!$C$38:$K$38)=W$3)*'Bridge Period'!$C$43:$K$43)+SUMPRODUCT((YEAR('Bridge Period'!$C$38:$K$38)=W$3)*'Bridge Period'!$C$44:$K$44),-(IF(AND(W$3&gt;=YEAR(LOM_ResynDate),W$3-YEAR(LOM_ResynDate)+1&lt;=20),INDEX('LOM - Pro Forma'!$D$23:$W$23,W$3-YEAR(LOM_ResynDate)+1),0))-(IF(AND(W$3&gt;=YEAR(LOM_ResynDate),W$3-YEAR(LOM_ResynDate)+1&lt;=20),INDEX('LOM - Pro Forma'!$D$27:$W$27,W$3-YEAR(LOM_ResynDate)+1),0)))</f>
        <v>-2015196.692761</v>
      </c>
    </row>
    <row r="16" customFormat="false" ht="15" hidden="false" customHeight="true" outlineLevel="0" collapsed="false">
      <c r="B16" s="13" t="s">
        <v>23</v>
      </c>
      <c r="C16" s="37" t="n">
        <f aca="false">IF(C$3&lt;YEAR(SA_ResynDate),SUMPRODUCT((YEAR('Bridge Period'!$C$54:$K$54)=C$3)*'Bridge Period'!$C$59:$K$59)+SUMPRODUCT((YEAR('Bridge Period'!$C$54:$K$54)=C$3)*'Bridge Period'!$C$60:$K$60),-(IF(AND(C$3&gt;=YEAR(SA_ResynDate),C$3-YEAR(SA_ResynDate)+1&lt;=20),INDEX('SA - Pro Forma'!$D$23:$W$23,C$3-YEAR(SA_ResynDate)+1),0))-(IF(AND(C$3&gt;=YEAR(SA_ResynDate),C$3-YEAR(SA_ResynDate)+1&lt;=20),INDEX('SA - Pro Forma'!$D$27:$W$27,C$3-YEAR(SA_ResynDate)+1),0)))</f>
        <v>-1539040.65049342</v>
      </c>
      <c r="D16" s="37" t="n">
        <f aca="false">IF(D$3&lt;YEAR(SA_ResynDate),SUMPRODUCT((YEAR('Bridge Period'!$C$54:$K$54)=D$3)*'Bridge Period'!$C$59:$K$59)+SUMPRODUCT((YEAR('Bridge Period'!$C$54:$K$54)=D$3)*'Bridge Period'!$C$60:$K$60),-(IF(AND(D$3&gt;=YEAR(SA_ResynDate),D$3-YEAR(SA_ResynDate)+1&lt;=20),INDEX('SA - Pro Forma'!$D$23:$W$23,D$3-YEAR(SA_ResynDate)+1),0))-(IF(AND(D$3&gt;=YEAR(SA_ResynDate),D$3-YEAR(SA_ResynDate)+1&lt;=20),INDEX('SA - Pro Forma'!$D$27:$W$27,D$3-YEAR(SA_ResynDate)+1),0)))</f>
        <v>-1593866.74540393</v>
      </c>
      <c r="E16" s="37" t="n">
        <f aca="false">IF(E$3&lt;YEAR(SA_ResynDate),SUMPRODUCT((YEAR('Bridge Period'!$C$54:$K$54)=E$3)*'Bridge Period'!$C$59:$K$59)+SUMPRODUCT((YEAR('Bridge Period'!$C$54:$K$54)=E$3)*'Bridge Period'!$C$60:$K$60),-(IF(AND(E$3&gt;=YEAR(SA_ResynDate),E$3-YEAR(SA_ResynDate)+1&lt;=20),INDEX('SA - Pro Forma'!$D$23:$W$23,E$3-YEAR(SA_ResynDate)+1),0))-(IF(AND(E$3&gt;=YEAR(SA_ResynDate),E$3-YEAR(SA_ResynDate)+1&lt;=20),INDEX('SA - Pro Forma'!$D$27:$W$27,E$3-YEAR(SA_ResynDate)+1),0)))</f>
        <v>-1650820.22818866</v>
      </c>
      <c r="F16" s="37" t="n">
        <f aca="false">IF(F$3&lt;YEAR(SA_ResynDate),SUMPRODUCT((YEAR('Bridge Period'!$C$54:$K$54)=F$3)*'Bridge Period'!$C$59:$K$59)+SUMPRODUCT((YEAR('Bridge Period'!$C$54:$K$54)=F$3)*'Bridge Period'!$C$60:$K$60),-(IF(AND(F$3&gt;=YEAR(SA_ResynDate),F$3-YEAR(SA_ResynDate)+1&lt;=20),INDEX('SA - Pro Forma'!$D$23:$W$23,F$3-YEAR(SA_ResynDate)+1),0))-(IF(AND(F$3&gt;=YEAR(SA_ResynDate),F$3-YEAR(SA_ResynDate)+1&lt;=20),INDEX('SA - Pro Forma'!$D$27:$W$27,F$3-YEAR(SA_ResynDate)+1),0)))</f>
        <v>-1708490.02715294</v>
      </c>
      <c r="G16" s="37" t="n">
        <f aca="false">IF(G$3&lt;YEAR(SA_ResynDate),SUMPRODUCT((YEAR('Bridge Period'!$C$54:$K$54)=G$3)*'Bridge Period'!$C$59:$K$59)+SUMPRODUCT((YEAR('Bridge Period'!$C$54:$K$54)=G$3)*'Bridge Period'!$C$60:$K$60),-(IF(AND(G$3&gt;=YEAR(SA_ResynDate),G$3-YEAR(SA_ResynDate)+1&lt;=20),INDEX('SA - Pro Forma'!$D$23:$W$23,G$3-YEAR(SA_ResynDate)+1),0))-(IF(AND(G$3&gt;=YEAR(SA_ResynDate),G$3-YEAR(SA_ResynDate)+1&lt;=20),INDEX('SA - Pro Forma'!$D$27:$W$27,G$3-YEAR(SA_ResynDate)+1),0)))</f>
        <v>-1768420.87678839</v>
      </c>
      <c r="H16" s="37" t="n">
        <f aca="false">IF(H$3&lt;YEAR(SA_ResynDate),SUMPRODUCT((YEAR('Bridge Period'!$C$54:$K$54)=H$3)*'Bridge Period'!$C$59:$K$59)+SUMPRODUCT((YEAR('Bridge Period'!$C$54:$K$54)=H$3)*'Bridge Period'!$C$60:$K$60),-(IF(AND(H$3&gt;=YEAR(SA_ResynDate),H$3-YEAR(SA_ResynDate)+1&lt;=20),INDEX('SA - Pro Forma'!$D$23:$W$23,H$3-YEAR(SA_ResynDate)+1),0))-(IF(AND(H$3&gt;=YEAR(SA_ResynDate),H$3-YEAR(SA_ResynDate)+1&lt;=20),INDEX('SA - Pro Forma'!$D$27:$W$27,H$3-YEAR(SA_ResynDate)+1),0)))</f>
        <v>-1830713.25811431</v>
      </c>
      <c r="I16" s="37" t="n">
        <f aca="false">IF(I$3&lt;YEAR(SA_ResynDate),SUMPRODUCT((YEAR('Bridge Period'!$C$54:$K$54)=I$3)*'Bridge Period'!$C$59:$K$59)+SUMPRODUCT((YEAR('Bridge Period'!$C$54:$K$54)=I$3)*'Bridge Period'!$C$60:$K$60),-(IF(AND(I$3&gt;=YEAR(SA_ResynDate),I$3-YEAR(SA_ResynDate)+1&lt;=20),INDEX('SA - Pro Forma'!$D$23:$W$23,I$3-YEAR(SA_ResynDate)+1),0))-(IF(AND(I$3&gt;=YEAR(SA_ResynDate),I$3-YEAR(SA_ResynDate)+1&lt;=20),INDEX('SA - Pro Forma'!$D$27:$W$27,I$3-YEAR(SA_ResynDate)+1),0)))</f>
        <v>-1895472.64040234</v>
      </c>
      <c r="J16" s="37" t="n">
        <f aca="false">IF(J$3&lt;YEAR(SA_ResynDate),SUMPRODUCT((YEAR('Bridge Period'!$C$54:$K$54)=J$3)*'Bridge Period'!$C$59:$K$59)+SUMPRODUCT((YEAR('Bridge Period'!$C$54:$K$54)=J$3)*'Bridge Period'!$C$60:$K$60),-(IF(AND(J$3&gt;=YEAR(SA_ResynDate),J$3-YEAR(SA_ResynDate)+1&lt;=20),INDEX('SA - Pro Forma'!$D$23:$W$23,J$3-YEAR(SA_ResynDate)+1),0))-(IF(AND(J$3&gt;=YEAR(SA_ResynDate),J$3-YEAR(SA_ResynDate)+1&lt;=20),INDEX('SA - Pro Forma'!$D$27:$W$27,J$3-YEAR(SA_ResynDate)+1),0)))</f>
        <v>-1962809.74953184</v>
      </c>
      <c r="K16" s="37" t="n">
        <f aca="false">IF(K$3&lt;YEAR(SA_ResynDate),SUMPRODUCT((YEAR('Bridge Period'!$C$54:$K$54)=K$3)*'Bridge Period'!$C$59:$K$59)+SUMPRODUCT((YEAR('Bridge Period'!$C$54:$K$54)=K$3)*'Bridge Period'!$C$60:$K$60),-(IF(AND(K$3&gt;=YEAR(SA_ResynDate),K$3-YEAR(SA_ResynDate)+1&lt;=20),INDEX('SA - Pro Forma'!$D$23:$W$23,K$3-YEAR(SA_ResynDate)+1),0))-(IF(AND(K$3&gt;=YEAR(SA_ResynDate),K$3-YEAR(SA_ResynDate)+1&lt;=20),INDEX('SA - Pro Forma'!$D$27:$W$27,K$3-YEAR(SA_ResynDate)+1),0)))</f>
        <v>-2032840.85152354</v>
      </c>
      <c r="L16" s="37" t="n">
        <f aca="false">IF(L$3&lt;YEAR(SA_ResynDate),SUMPRODUCT((YEAR('Bridge Period'!$C$54:$K$54)=L$3)*'Bridge Period'!$C$59:$K$59)+SUMPRODUCT((YEAR('Bridge Period'!$C$54:$K$54)=L$3)*'Bridge Period'!$C$60:$K$60),-(IF(AND(L$3&gt;=YEAR(SA_ResynDate),L$3-YEAR(SA_ResynDate)+1&lt;=20),INDEX('SA - Pro Forma'!$D$23:$W$23,L$3-YEAR(SA_ResynDate)+1),0))-(IF(AND(L$3&gt;=YEAR(SA_ResynDate),L$3-YEAR(SA_ResynDate)+1&lt;=20),INDEX('SA - Pro Forma'!$D$27:$W$27,L$3-YEAR(SA_ResynDate)+1),0)))</f>
        <v>-2105688.05213473</v>
      </c>
      <c r="M16" s="37" t="n">
        <f aca="false">IF(M$3&lt;YEAR(SA_ResynDate),SUMPRODUCT((YEAR('Bridge Period'!$C$54:$K$54)=M$3)*'Bridge Period'!$C$59:$K$59)+SUMPRODUCT((YEAR('Bridge Period'!$C$54:$K$54)=M$3)*'Bridge Period'!$C$60:$K$60),-(IF(AND(M$3&gt;=YEAR(SA_ResynDate),M$3-YEAR(SA_ResynDate)+1&lt;=20),INDEX('SA - Pro Forma'!$D$23:$W$23,M$3-YEAR(SA_ResynDate)+1),0))-(IF(AND(M$3&gt;=YEAR(SA_ResynDate),M$3-YEAR(SA_ResynDate)+1&lt;=20),INDEX('SA - Pro Forma'!$D$27:$W$27,M$3-YEAR(SA_ResynDate)+1),0)))</f>
        <v>-2181479.61345114</v>
      </c>
      <c r="N16" s="37" t="n">
        <f aca="false">IF(N$3&lt;YEAR(SA_ResynDate),SUMPRODUCT((YEAR('Bridge Period'!$C$54:$K$54)=N$3)*'Bridge Period'!$C$59:$K$59)+SUMPRODUCT((YEAR('Bridge Period'!$C$54:$K$54)=N$3)*'Bridge Period'!$C$60:$K$60),-(IF(AND(N$3&gt;=YEAR(SA_ResynDate),N$3-YEAR(SA_ResynDate)+1&lt;=20),INDEX('SA - Pro Forma'!$D$23:$W$23,N$3-YEAR(SA_ResynDate)+1),0))-(IF(AND(N$3&gt;=YEAR(SA_ResynDate),N$3-YEAR(SA_ResynDate)+1&lt;=20),INDEX('SA - Pro Forma'!$D$27:$W$27,N$3-YEAR(SA_ResynDate)+1),0)))</f>
        <v>-2260350.28846606</v>
      </c>
      <c r="O16" s="37" t="n">
        <f aca="false">IF(O$3&lt;YEAR(SA_ResynDate),SUMPRODUCT((YEAR('Bridge Period'!$C$54:$K$54)=O$3)*'Bridge Period'!$C$59:$K$59)+SUMPRODUCT((YEAR('Bridge Period'!$C$54:$K$54)=O$3)*'Bridge Period'!$C$60:$K$60),-(IF(AND(O$3&gt;=YEAR(SA_ResynDate),O$3-YEAR(SA_ResynDate)+1&lt;=20),INDEX('SA - Pro Forma'!$D$23:$W$23,O$3-YEAR(SA_ResynDate)+1),0))-(IF(AND(O$3&gt;=YEAR(SA_ResynDate),O$3-YEAR(SA_ResynDate)+1&lt;=20),INDEX('SA - Pro Forma'!$D$27:$W$27,O$3-YEAR(SA_ResynDate)+1),0)))</f>
        <v>-2342441.67469588</v>
      </c>
      <c r="P16" s="37" t="n">
        <f aca="false">IF(P$3&lt;YEAR(SA_ResynDate),SUMPRODUCT((YEAR('Bridge Period'!$C$54:$K$54)=P$3)*'Bridge Period'!$C$59:$K$59)+SUMPRODUCT((YEAR('Bridge Period'!$C$54:$K$54)=P$3)*'Bridge Period'!$C$60:$K$60),-(IF(AND(P$3&gt;=YEAR(SA_ResynDate),P$3-YEAR(SA_ResynDate)+1&lt;=20),INDEX('SA - Pro Forma'!$D$23:$W$23,P$3-YEAR(SA_ResynDate)+1),0))-(IF(AND(P$3&gt;=YEAR(SA_ResynDate),P$3-YEAR(SA_ResynDate)+1&lt;=20),INDEX('SA - Pro Forma'!$D$27:$W$27,P$3-YEAR(SA_ResynDate)+1),0)))</f>
        <v>-2427902.58794306</v>
      </c>
      <c r="Q16" s="37" t="n">
        <f aca="false">IF(Q$3&lt;YEAR(SA_ResynDate),SUMPRODUCT((YEAR('Bridge Period'!$C$54:$K$54)=Q$3)*'Bridge Period'!$C$59:$K$59)+SUMPRODUCT((YEAR('Bridge Period'!$C$54:$K$54)=Q$3)*'Bridge Period'!$C$60:$K$60),-(IF(AND(Q$3&gt;=YEAR(SA_ResynDate),Q$3-YEAR(SA_ResynDate)+1&lt;=20),INDEX('SA - Pro Forma'!$D$23:$W$23,Q$3-YEAR(SA_ResynDate)+1),0))-(IF(AND(Q$3&gt;=YEAR(SA_ResynDate),Q$3-YEAR(SA_ResynDate)+1&lt;=20),INDEX('SA - Pro Forma'!$D$27:$W$27,Q$3-YEAR(SA_ResynDate)+1),0)))</f>
        <v>-2516889.45738348</v>
      </c>
      <c r="R16" s="37" t="n">
        <f aca="false">IF(R$3&lt;YEAR(SA_ResynDate),SUMPRODUCT((YEAR('Bridge Period'!$C$54:$K$54)=R$3)*'Bridge Period'!$C$59:$K$59)+SUMPRODUCT((YEAR('Bridge Period'!$C$54:$K$54)=R$3)*'Bridge Period'!$C$60:$K$60),-(IF(AND(R$3&gt;=YEAR(SA_ResynDate),R$3-YEAR(SA_ResynDate)+1&lt;=20),INDEX('SA - Pro Forma'!$D$23:$W$23,R$3-YEAR(SA_ResynDate)+1),0))-(IF(AND(R$3&gt;=YEAR(SA_ResynDate),R$3-YEAR(SA_ResynDate)+1&lt;=20),INDEX('SA - Pro Forma'!$D$27:$W$27,R$3-YEAR(SA_ResynDate)+1),0)))</f>
        <v>-2609566.74322475</v>
      </c>
      <c r="S16" s="37" t="n">
        <f aca="false">IF(S$3&lt;YEAR(SA_ResynDate),SUMPRODUCT((YEAR('Bridge Period'!$C$54:$K$54)=S$3)*'Bridge Period'!$C$59:$K$59)+SUMPRODUCT((YEAR('Bridge Period'!$C$54:$K$54)=S$3)*'Bridge Period'!$C$60:$K$60),-(IF(AND(S$3&gt;=YEAR(SA_ResynDate),S$3-YEAR(SA_ResynDate)+1&lt;=20),INDEX('SA - Pro Forma'!$D$23:$W$23,S$3-YEAR(SA_ResynDate)+1),0))-(IF(AND(S$3&gt;=YEAR(SA_ResynDate),S$3-YEAR(SA_ResynDate)+1&lt;=20),INDEX('SA - Pro Forma'!$D$27:$W$27,S$3-YEAR(SA_ResynDate)+1),0)))</f>
        <v>-2706107.37825562</v>
      </c>
      <c r="T16" s="37" t="n">
        <f aca="false">IF(T$3&lt;YEAR(SA_ResynDate),SUMPRODUCT((YEAR('Bridge Period'!$C$54:$K$54)=T$3)*'Bridge Period'!$C$59:$K$59)+SUMPRODUCT((YEAR('Bridge Period'!$C$54:$K$54)=T$3)*'Bridge Period'!$C$60:$K$60),-(IF(AND(T$3&gt;=YEAR(SA_ResynDate),T$3-YEAR(SA_ResynDate)+1&lt;=20),INDEX('SA - Pro Forma'!$D$23:$W$23,T$3-YEAR(SA_ResynDate)+1),0))-(IF(AND(T$3&gt;=YEAR(SA_ResynDate),T$3-YEAR(SA_ResynDate)+1&lt;=20),INDEX('SA - Pro Forma'!$D$27:$W$27,T$3-YEAR(SA_ResynDate)+1),0)))</f>
        <v>-2806693.23468527</v>
      </c>
      <c r="U16" s="37" t="n">
        <f aca="false">IF(U$3&lt;YEAR(SA_ResynDate),SUMPRODUCT((YEAR('Bridge Period'!$C$54:$K$54)=U$3)*'Bridge Period'!$C$59:$K$59)+SUMPRODUCT((YEAR('Bridge Period'!$C$54:$K$54)=U$3)*'Bridge Period'!$C$60:$K$60),-(IF(AND(U$3&gt;=YEAR(SA_ResynDate),U$3-YEAR(SA_ResynDate)+1&lt;=20),INDEX('SA - Pro Forma'!$D$23:$W$23,U$3-YEAR(SA_ResynDate)+1),0))-(IF(AND(U$3&gt;=YEAR(SA_ResynDate),U$3-YEAR(SA_ResynDate)+1&lt;=20),INDEX('SA - Pro Forma'!$D$27:$W$27,U$3-YEAR(SA_ResynDate)+1),0)))</f>
        <v>-2911515.61775374</v>
      </c>
      <c r="V16" s="37" t="n">
        <f aca="false">IF(V$3&lt;YEAR(SA_ResynDate),SUMPRODUCT((YEAR('Bridge Period'!$C$54:$K$54)=V$3)*'Bridge Period'!$C$59:$K$59)+SUMPRODUCT((YEAR('Bridge Period'!$C$54:$K$54)=V$3)*'Bridge Period'!$C$60:$K$60),-(IF(AND(V$3&gt;=YEAR(SA_ResynDate),V$3-YEAR(SA_ResynDate)+1&lt;=20),INDEX('SA - Pro Forma'!$D$23:$W$23,V$3-YEAR(SA_ResynDate)+1),0))-(IF(AND(V$3&gt;=YEAR(SA_ResynDate),V$3-YEAR(SA_ResynDate)+1&lt;=20),INDEX('SA - Pro Forma'!$D$27:$W$27,V$3-YEAR(SA_ResynDate)+1),0)))</f>
        <v>-3020775.78768271</v>
      </c>
      <c r="W16" s="37" t="n">
        <f aca="false">IF(W$3&lt;YEAR(SA_ResynDate),SUMPRODUCT((YEAR('Bridge Period'!$C$54:$K$54)=W$3)*'Bridge Period'!$C$59:$K$59)+SUMPRODUCT((YEAR('Bridge Period'!$C$54:$K$54)=W$3)*'Bridge Period'!$C$60:$K$60),-(IF(AND(W$3&gt;=YEAR(SA_ResynDate),W$3-YEAR(SA_ResynDate)+1&lt;=20),INDEX('SA - Pro Forma'!$D$23:$W$23,W$3-YEAR(SA_ResynDate)+1),0))-(IF(AND(W$3&gt;=YEAR(SA_ResynDate),W$3-YEAR(SA_ResynDate)+1&lt;=20),INDEX('SA - Pro Forma'!$D$27:$W$27,W$3-YEAR(SA_ResynDate)+1),0)))</f>
        <v>-0</v>
      </c>
    </row>
    <row r="17" customFormat="false" ht="15" hidden="false" customHeight="true" outlineLevel="0" collapsed="false">
      <c r="B17" s="19" t="s">
        <v>858</v>
      </c>
      <c r="C17" s="84" t="n">
        <f aca="false">SUM(C13:C16)</f>
        <v>-2288302.40049342</v>
      </c>
      <c r="D17" s="84" t="n">
        <f aca="false">SUM(D13:D16)</f>
        <v>-4482324.78273378</v>
      </c>
      <c r="E17" s="84" t="n">
        <f aca="false">SUM(E13:E16)</f>
        <v>-4331700.968494</v>
      </c>
      <c r="F17" s="84" t="n">
        <f aca="false">SUM(F13:F16)</f>
        <v>-4677073.82580017</v>
      </c>
      <c r="G17" s="84" t="n">
        <f aca="false">SUM(G13:G16)</f>
        <v>-4841164.64849652</v>
      </c>
      <c r="H17" s="84" t="n">
        <f aca="false">SUM(H13:H16)</f>
        <v>-5007534.39988315</v>
      </c>
      <c r="I17" s="84" t="n">
        <f aca="false">SUM(I13:I16)</f>
        <v>-5179612.71765899</v>
      </c>
      <c r="J17" s="84" t="n">
        <f aca="false">SUM(J13:J16)</f>
        <v>-5358290.88406207</v>
      </c>
      <c r="K17" s="84" t="n">
        <f aca="false">SUM(K13:K16)</f>
        <v>-5543855.51378336</v>
      </c>
      <c r="L17" s="84" t="n">
        <f aca="false">SUM(L13:L16)</f>
        <v>-5736607.18153261</v>
      </c>
      <c r="M17" s="84" t="n">
        <f aca="false">SUM(M13:M16)</f>
        <v>-5936861.16336655</v>
      </c>
      <c r="N17" s="84" t="n">
        <f aca="false">SUM(N13:N16)</f>
        <v>-6144948.21962419</v>
      </c>
      <c r="O17" s="84" t="n">
        <f aca="false">SUM(O13:O16)</f>
        <v>-6361215.42187985</v>
      </c>
      <c r="P17" s="84" t="n">
        <f aca="false">SUM(P13:P16)</f>
        <v>-6586027.02646638</v>
      </c>
      <c r="Q17" s="84" t="n">
        <f aca="false">SUM(Q13:Q16)</f>
        <v>-6819765.39727179</v>
      </c>
      <c r="R17" s="84" t="n">
        <f aca="false">SUM(R13:R16)</f>
        <v>-7062831.9806719</v>
      </c>
      <c r="S17" s="84" t="n">
        <f aca="false">SUM(S13:S16)</f>
        <v>-7315648.33563033</v>
      </c>
      <c r="T17" s="84" t="n">
        <f aca="false">SUM(T13:T16)</f>
        <v>-7578657.2221766</v>
      </c>
      <c r="U17" s="84" t="n">
        <f aca="false">SUM(U13:U16)</f>
        <v>-7852323.75166231</v>
      </c>
      <c r="V17" s="84" t="n">
        <f aca="false">SUM(V13:V16)</f>
        <v>-8137136.60239663</v>
      </c>
      <c r="W17" s="84" t="n">
        <f aca="false">SUM(W13:W16)</f>
        <v>-5298923.79284603</v>
      </c>
    </row>
    <row r="19" customFormat="false" ht="15" hidden="false" customHeight="true" outlineLevel="0" collapsed="false">
      <c r="B19" s="63" t="s">
        <v>705</v>
      </c>
    </row>
    <row r="20" customFormat="false" ht="15" hidden="false" customHeight="true" outlineLevel="0" collapsed="false">
      <c r="B20" s="13" t="s">
        <v>20</v>
      </c>
      <c r="C20" s="37" t="n">
        <f aca="false">IF(C$3&lt;YEAR(CH_ResynDate),SUMPRODUCT((YEAR('Bridge Period'!$C$6:$K$6)=C$3)*'Bridge Period'!$C$13:$K$13),IF(AND(C$3&gt;=YEAR(CH_ResynDate),C$3-YEAR(CH_ResynDate)+1&lt;=20),INDEX('CH - Pro Forma'!$D$25:$W$25,C$3-YEAR(CH_ResynDate)+1),0)-(IF(AND(C$3&gt;=YEAR(CH_ResynDate),C$3-YEAR(CH_ResynDate)+1&lt;=20),INDEX('CH - Pro Forma'!$D$27:$W$27,C$3-YEAR(CH_ResynDate)+1),0)))</f>
        <v>16088.3608</v>
      </c>
      <c r="D20" s="37" t="n">
        <f aca="false">IF(D$3&lt;YEAR(CH_ResynDate),SUMPRODUCT((YEAR('Bridge Period'!$C$6:$K$6)=D$3)*'Bridge Period'!$C$13:$K$13),IF(AND(D$3&gt;=YEAR(CH_ResynDate),D$3-YEAR(CH_ResynDate)+1&lt;=20),INDEX('CH - Pro Forma'!$D$25:$W$25,D$3-YEAR(CH_ResynDate)+1),0)-(IF(AND(D$3&gt;=YEAR(CH_ResynDate),D$3-YEAR(CH_ResynDate)+1&lt;=20),INDEX('CH - Pro Forma'!$D$27:$W$27,D$3-YEAR(CH_ResynDate)+1),0)))</f>
        <v>47128.7926405461</v>
      </c>
      <c r="E20" s="37" t="n">
        <f aca="false">IF(E$3&lt;YEAR(CH_ResynDate),SUMPRODUCT((YEAR('Bridge Period'!$C$6:$K$6)=E$3)*'Bridge Period'!$C$13:$K$13),IF(AND(E$3&gt;=YEAR(CH_ResynDate),E$3-YEAR(CH_ResynDate)+1&lt;=20),INDEX('CH - Pro Forma'!$D$25:$W$25,E$3-YEAR(CH_ResynDate)+1),0)-(IF(AND(E$3&gt;=YEAR(CH_ResynDate),E$3-YEAR(CH_ResynDate)+1&lt;=20),INDEX('CH - Pro Forma'!$D$27:$W$27,E$3-YEAR(CH_ResynDate)+1),0)))</f>
        <v>189520.64725456</v>
      </c>
      <c r="F20" s="37" t="n">
        <f aca="false">IF(F$3&lt;YEAR(CH_ResynDate),SUMPRODUCT((YEAR('Bridge Period'!$C$6:$K$6)=F$3)*'Bridge Period'!$C$13:$K$13),IF(AND(F$3&gt;=YEAR(CH_ResynDate),F$3-YEAR(CH_ResynDate)+1&lt;=20),INDEX('CH - Pro Forma'!$D$25:$W$25,F$3-YEAR(CH_ResynDate)+1),0)-(IF(AND(F$3&gt;=YEAR(CH_ResynDate),F$3-YEAR(CH_ResynDate)+1&lt;=20),INDEX('CH - Pro Forma'!$D$27:$W$27,F$3-YEAR(CH_ResynDate)+1),0)))</f>
        <v>228561.637320208</v>
      </c>
      <c r="G20" s="37" t="n">
        <f aca="false">IF(G$3&lt;YEAR(CH_ResynDate),SUMPRODUCT((YEAR('Bridge Period'!$C$6:$K$6)=G$3)*'Bridge Period'!$C$13:$K$13),IF(AND(G$3&gt;=YEAR(CH_ResynDate),G$3-YEAR(CH_ResynDate)+1&lt;=20),INDEX('CH - Pro Forma'!$D$25:$W$25,G$3-YEAR(CH_ResynDate)+1),0)-(IF(AND(G$3&gt;=YEAR(CH_ResynDate),G$3-YEAR(CH_ResynDate)+1&lt;=20),INDEX('CH - Pro Forma'!$D$27:$W$27,G$3-YEAR(CH_ResynDate)+1),0)))</f>
        <v>219762.438368196</v>
      </c>
      <c r="H20" s="37" t="n">
        <f aca="false">IF(H$3&lt;YEAR(CH_ResynDate),SUMPRODUCT((YEAR('Bridge Period'!$C$6:$K$6)=H$3)*'Bridge Period'!$C$13:$K$13),IF(AND(H$3&gt;=YEAR(CH_ResynDate),H$3-YEAR(CH_ResynDate)+1&lt;=20),INDEX('CH - Pro Forma'!$D$25:$W$25,H$3-YEAR(CH_ResynDate)+1),0)-(IF(AND(H$3&gt;=YEAR(CH_ResynDate),H$3-YEAR(CH_ResynDate)+1&lt;=20),INDEX('CH - Pro Forma'!$D$27:$W$27,H$3-YEAR(CH_ResynDate)+1),0)))</f>
        <v>210276.193665285</v>
      </c>
      <c r="I20" s="37" t="n">
        <f aca="false">IF(I$3&lt;YEAR(CH_ResynDate),SUMPRODUCT((YEAR('Bridge Period'!$C$6:$K$6)=I$3)*'Bridge Period'!$C$13:$K$13),IF(AND(I$3&gt;=YEAR(CH_ResynDate),I$3-YEAR(CH_ResynDate)+1&lt;=20),INDEX('CH - Pro Forma'!$D$25:$W$25,I$3-YEAR(CH_ResynDate)+1),0)-(IF(AND(I$3&gt;=YEAR(CH_ResynDate),I$3-YEAR(CH_ResynDate)+1&lt;=20),INDEX('CH - Pro Forma'!$D$27:$W$27,I$3-YEAR(CH_ResynDate)+1),0)))</f>
        <v>200066.588147671</v>
      </c>
      <c r="J20" s="37" t="n">
        <f aca="false">IF(J$3&lt;YEAR(CH_ResynDate),SUMPRODUCT((YEAR('Bridge Period'!$C$6:$K$6)=J$3)*'Bridge Period'!$C$13:$K$13),IF(AND(J$3&gt;=YEAR(CH_ResynDate),J$3-YEAR(CH_ResynDate)+1&lt;=20),INDEX('CH - Pro Forma'!$D$25:$W$25,J$3-YEAR(CH_ResynDate)+1),0)-(IF(AND(J$3&gt;=YEAR(CH_ResynDate),J$3-YEAR(CH_ResynDate)+1&lt;=20),INDEX('CH - Pro Forma'!$D$27:$W$27,J$3-YEAR(CH_ResynDate)+1),0)))</f>
        <v>189095.456587451</v>
      </c>
      <c r="K20" s="37" t="n">
        <f aca="false">IF(K$3&lt;YEAR(CH_ResynDate),SUMPRODUCT((YEAR('Bridge Period'!$C$6:$K$6)=K$3)*'Bridge Period'!$C$13:$K$13),IF(AND(K$3&gt;=YEAR(CH_ResynDate),K$3-YEAR(CH_ResynDate)+1&lt;=20),INDEX('CH - Pro Forma'!$D$25:$W$25,K$3-YEAR(CH_ResynDate)+1),0)-(IF(AND(K$3&gt;=YEAR(CH_ResynDate),K$3-YEAR(CH_ResynDate)+1&lt;=20),INDEX('CH - Pro Forma'!$D$27:$W$27,K$3-YEAR(CH_ResynDate)+1),0)))</f>
        <v>177322.685848271</v>
      </c>
      <c r="L20" s="37" t="n">
        <f aca="false">IF(L$3&lt;YEAR(CH_ResynDate),SUMPRODUCT((YEAR('Bridge Period'!$C$6:$K$6)=L$3)*'Bridge Period'!$C$13:$K$13),IF(AND(L$3&gt;=YEAR(CH_ResynDate),L$3-YEAR(CH_ResynDate)+1&lt;=20),INDEX('CH - Pro Forma'!$D$25:$W$25,L$3-YEAR(CH_ResynDate)+1),0)-(IF(AND(L$3&gt;=YEAR(CH_ResynDate),L$3-YEAR(CH_ResynDate)+1&lt;=20),INDEX('CH - Pro Forma'!$D$27:$W$27,L$3-YEAR(CH_ResynDate)+1),0)))</f>
        <v>164706.111738084</v>
      </c>
      <c r="M20" s="37" t="n">
        <f aca="false">IF(M$3&lt;YEAR(CH_ResynDate),SUMPRODUCT((YEAR('Bridge Period'!$C$6:$K$6)=M$3)*'Bridge Period'!$C$13:$K$13),IF(AND(M$3&gt;=YEAR(CH_ResynDate),M$3-YEAR(CH_ResynDate)+1&lt;=20),INDEX('CH - Pro Forma'!$D$25:$W$25,M$3-YEAR(CH_ResynDate)+1),0)-(IF(AND(M$3&gt;=YEAR(CH_ResynDate),M$3-YEAR(CH_ResynDate)+1&lt;=20),INDEX('CH - Pro Forma'!$D$27:$W$27,M$3-YEAR(CH_ResynDate)+1),0)))</f>
        <v>151201.410149906</v>
      </c>
      <c r="N20" s="37" t="n">
        <f aca="false">IF(N$3&lt;YEAR(CH_ResynDate),SUMPRODUCT((YEAR('Bridge Period'!$C$6:$K$6)=N$3)*'Bridge Period'!$C$13:$K$13),IF(AND(N$3&gt;=YEAR(CH_ResynDate),N$3-YEAR(CH_ResynDate)+1&lt;=20),INDEX('CH - Pro Forma'!$D$25:$W$25,N$3-YEAR(CH_ResynDate)+1),0)-(IF(AND(N$3&gt;=YEAR(CH_ResynDate),N$3-YEAR(CH_ResynDate)+1&lt;=20),INDEX('CH - Pro Forma'!$D$27:$W$27,N$3-YEAR(CH_ResynDate)+1),0)))</f>
        <v>136761.982163363</v>
      </c>
      <c r="O20" s="37" t="n">
        <f aca="false">IF(O$3&lt;YEAR(CH_ResynDate),SUMPRODUCT((YEAR('Bridge Period'!$C$6:$K$6)=O$3)*'Bridge Period'!$C$13:$K$13),IF(AND(O$3&gt;=YEAR(CH_ResynDate),O$3-YEAR(CH_ResynDate)+1&lt;=20),INDEX('CH - Pro Forma'!$D$25:$W$25,O$3-YEAR(CH_ResynDate)+1),0)-(IF(AND(O$3&gt;=YEAR(CH_ResynDate),O$3-YEAR(CH_ResynDate)+1&lt;=20),INDEX('CH - Pro Forma'!$D$27:$W$27,O$3-YEAR(CH_ResynDate)+1),0)))</f>
        <v>121338.832760691</v>
      </c>
      <c r="P20" s="37" t="n">
        <f aca="false">IF(P$3&lt;YEAR(CH_ResynDate),SUMPRODUCT((YEAR('Bridge Period'!$C$6:$K$6)=P$3)*'Bridge Period'!$C$13:$K$13),IF(AND(P$3&gt;=YEAR(CH_ResynDate),P$3-YEAR(CH_ResynDate)+1&lt;=20),INDEX('CH - Pro Forma'!$D$25:$W$25,P$3-YEAR(CH_ResynDate)+1),0)-(IF(AND(P$3&gt;=YEAR(CH_ResynDate),P$3-YEAR(CH_ResynDate)+1&lt;=20),INDEX('CH - Pro Forma'!$D$27:$W$27,P$3-YEAR(CH_ResynDate)+1),0)))</f>
        <v>104880.442790585</v>
      </c>
      <c r="Q20" s="37" t="n">
        <f aca="false">IF(Q$3&lt;YEAR(CH_ResynDate),SUMPRODUCT((YEAR('Bridge Period'!$C$6:$K$6)=Q$3)*'Bridge Period'!$C$13:$K$13),IF(AND(Q$3&gt;=YEAR(CH_ResynDate),Q$3-YEAR(CH_ResynDate)+1&lt;=20),INDEX('CH - Pro Forma'!$D$25:$W$25,Q$3-YEAR(CH_ResynDate)+1),0)-(IF(AND(Q$3&gt;=YEAR(CH_ResynDate),Q$3-YEAR(CH_ResynDate)+1&lt;=20),INDEX('CH - Pro Forma'!$D$27:$W$27,Q$3-YEAR(CH_ResynDate)+1),0)))</f>
        <v>87332.6337917726</v>
      </c>
      <c r="R20" s="37" t="n">
        <f aca="false">IF(R$3&lt;YEAR(CH_ResynDate),SUMPRODUCT((YEAR('Bridge Period'!$C$6:$K$6)=R$3)*'Bridge Period'!$C$13:$K$13),IF(AND(R$3&gt;=YEAR(CH_ResynDate),R$3-YEAR(CH_ResynDate)+1&lt;=20),INDEX('CH - Pro Forma'!$D$25:$W$25,R$3-YEAR(CH_ResynDate)+1),0)-(IF(AND(R$3&gt;=YEAR(CH_ResynDate),R$3-YEAR(CH_ResynDate)+1&lt;=20),INDEX('CH - Pro Forma'!$D$27:$W$27,R$3-YEAR(CH_ResynDate)+1),0)))</f>
        <v>68638.4252655105</v>
      </c>
      <c r="S20" s="37" t="n">
        <f aca="false">IF(S$3&lt;YEAR(CH_ResynDate),SUMPRODUCT((YEAR('Bridge Period'!$C$6:$K$6)=S$3)*'Bridge Period'!$C$13:$K$13),IF(AND(S$3&gt;=YEAR(CH_ResynDate),S$3-YEAR(CH_ResynDate)+1&lt;=20),INDEX('CH - Pro Forma'!$D$25:$W$25,S$3-YEAR(CH_ResynDate)+1),0)-(IF(AND(S$3&gt;=YEAR(CH_ResynDate),S$3-YEAR(CH_ResynDate)+1&lt;=20),INDEX('CH - Pro Forma'!$D$27:$W$27,S$3-YEAR(CH_ResynDate)+1),0)))</f>
        <v>48737.8839620158</v>
      </c>
      <c r="T20" s="37" t="n">
        <f aca="false">IF(T$3&lt;YEAR(CH_ResynDate),SUMPRODUCT((YEAR('Bridge Period'!$C$6:$K$6)=T$3)*'Bridge Period'!$C$13:$K$13),IF(AND(T$3&gt;=YEAR(CH_ResynDate),T$3-YEAR(CH_ResynDate)+1&lt;=20),INDEX('CH - Pro Forma'!$D$25:$W$25,T$3-YEAR(CH_ResynDate)+1),0)-(IF(AND(T$3&gt;=YEAR(CH_ResynDate),T$3-YEAR(CH_ResynDate)+1&lt;=20),INDEX('CH - Pro Forma'!$D$27:$W$27,T$3-YEAR(CH_ResynDate)+1),0)))</f>
        <v>27567.9647203897</v>
      </c>
      <c r="U20" s="37" t="n">
        <f aca="false">IF(U$3&lt;YEAR(CH_ResynDate),SUMPRODUCT((YEAR('Bridge Period'!$C$6:$K$6)=U$3)*'Bridge Period'!$C$13:$K$13),IF(AND(U$3&gt;=YEAR(CH_ResynDate),U$3-YEAR(CH_ResynDate)+1&lt;=20),INDEX('CH - Pro Forma'!$D$25:$W$25,U$3-YEAR(CH_ResynDate)+1),0)-(IF(AND(U$3&gt;=YEAR(CH_ResynDate),U$3-YEAR(CH_ResynDate)+1&lt;=20),INDEX('CH - Pro Forma'!$D$27:$W$27,U$3-YEAR(CH_ResynDate)+1),0)))</f>
        <v>5062.34237450992</v>
      </c>
      <c r="V20" s="37" t="n">
        <f aca="false">IF(V$3&lt;YEAR(CH_ResynDate),SUMPRODUCT((YEAR('Bridge Period'!$C$6:$K$6)=V$3)*'Bridge Period'!$C$13:$K$13),IF(AND(V$3&gt;=YEAR(CH_ResynDate),V$3-YEAR(CH_ResynDate)+1&lt;=20),INDEX('CH - Pro Forma'!$D$25:$W$25,V$3-YEAR(CH_ResynDate)+1),0)-(IF(AND(V$3&gt;=YEAR(CH_ResynDate),V$3-YEAR(CH_ResynDate)+1&lt;=20),INDEX('CH - Pro Forma'!$D$27:$W$27,V$3-YEAR(CH_ResynDate)+1),0)))</f>
        <v>-18848.7657912733</v>
      </c>
      <c r="W20" s="37" t="n">
        <f aca="false">IF(W$3&lt;YEAR(CH_ResynDate),SUMPRODUCT((YEAR('Bridge Period'!$C$6:$K$6)=W$3)*'Bridge Period'!$C$13:$K$13),IF(AND(W$3&gt;=YEAR(CH_ResynDate),W$3-YEAR(CH_ResynDate)+1&lt;=20),INDEX('CH - Pro Forma'!$D$25:$W$25,W$3-YEAR(CH_ResynDate)+1),0)-(IF(AND(W$3&gt;=YEAR(CH_ResynDate),W$3-YEAR(CH_ResynDate)+1&lt;=20),INDEX('CH - Pro Forma'!$D$27:$W$27,W$3-YEAR(CH_ResynDate)+1),0)))</f>
        <v>-44238.7875831331</v>
      </c>
    </row>
    <row r="21" customFormat="false" ht="15" hidden="false" customHeight="true" outlineLevel="0" collapsed="false">
      <c r="B21" s="13" t="s">
        <v>21</v>
      </c>
      <c r="C21" s="37" t="n">
        <f aca="false">IF(C$3&lt;YEAR(NZ_ResynDate),SUMPRODUCT((YEAR('Bridge Period'!$C$22:$K$22)=C$3)*'Bridge Period'!$C$29:$K$29),IF(AND(C$3&gt;=YEAR(NZ_ResynDate),C$3-YEAR(NZ_ResynDate)+1&lt;=20),INDEX('NZ - Pro Forma'!$D$25:$W$25,C$3-YEAR(NZ_ResynDate)+1),0)-(IF(AND(C$3&gt;=YEAR(NZ_ResynDate),C$3-YEAR(NZ_ResynDate)+1&lt;=20),INDEX('NZ - Pro Forma'!$D$27:$W$27,C$3-YEAR(NZ_ResynDate)+1),0)))</f>
        <v>53627.73</v>
      </c>
      <c r="D21" s="37" t="n">
        <f aca="false">IF(D$3&lt;YEAR(NZ_ResynDate),SUMPRODUCT((YEAR('Bridge Period'!$C$22:$K$22)=D$3)*'Bridge Period'!$C$29:$K$29),IF(AND(D$3&gt;=YEAR(NZ_ResynDate),D$3-YEAR(NZ_ResynDate)+1&lt;=20),INDEX('NZ - Pro Forma'!$D$25:$W$25,D$3-YEAR(NZ_ResynDate)+1),0)-(IF(AND(D$3&gt;=YEAR(NZ_ResynDate),D$3-YEAR(NZ_ResynDate)+1&lt;=20),INDEX('NZ - Pro Forma'!$D$27:$W$27,D$3-YEAR(NZ_ResynDate)+1),0)))</f>
        <v>281407.974684499</v>
      </c>
      <c r="E21" s="37" t="n">
        <f aca="false">IF(E$3&lt;YEAR(NZ_ResynDate),SUMPRODUCT((YEAR('Bridge Period'!$C$22:$K$22)=E$3)*'Bridge Period'!$C$29:$K$29),IF(AND(E$3&gt;=YEAR(NZ_ResynDate),E$3-YEAR(NZ_ResynDate)+1&lt;=20),INDEX('NZ - Pro Forma'!$D$25:$W$25,E$3-YEAR(NZ_ResynDate)+1),0)-(IF(AND(E$3&gt;=YEAR(NZ_ResynDate),E$3-YEAR(NZ_ResynDate)+1&lt;=20),INDEX('NZ - Pro Forma'!$D$27:$W$27,E$3-YEAR(NZ_ResynDate)+1),0)))</f>
        <v>232219.210913934</v>
      </c>
      <c r="F21" s="37" t="n">
        <f aca="false">IF(F$3&lt;YEAR(NZ_ResynDate),SUMPRODUCT((YEAR('Bridge Period'!$C$22:$K$22)=F$3)*'Bridge Period'!$C$29:$K$29),IF(AND(F$3&gt;=YEAR(NZ_ResynDate),F$3-YEAR(NZ_ResynDate)+1&lt;=20),INDEX('NZ - Pro Forma'!$D$25:$W$25,F$3-YEAR(NZ_ResynDate)+1),0)-(IF(AND(F$3&gt;=YEAR(NZ_ResynDate),F$3-YEAR(NZ_ResynDate)+1&lt;=20),INDEX('NZ - Pro Forma'!$D$27:$W$27,F$3-YEAR(NZ_ResynDate)+1),0)))</f>
        <v>409456.601088826</v>
      </c>
      <c r="G21" s="37" t="n">
        <f aca="false">IF(G$3&lt;YEAR(NZ_ResynDate),SUMPRODUCT((YEAR('Bridge Period'!$C$22:$K$22)=G$3)*'Bridge Period'!$C$29:$K$29),IF(AND(G$3&gt;=YEAR(NZ_ResynDate),G$3-YEAR(NZ_ResynDate)+1&lt;=20),INDEX('NZ - Pro Forma'!$D$25:$W$25,G$3-YEAR(NZ_ResynDate)+1),0)-(IF(AND(G$3&gt;=YEAR(NZ_ResynDate),G$3-YEAR(NZ_ResynDate)+1&lt;=20),INDEX('NZ - Pro Forma'!$D$27:$W$27,G$3-YEAR(NZ_ResynDate)+1),0)))</f>
        <v>467501.086190206</v>
      </c>
      <c r="H21" s="37" t="n">
        <f aca="false">IF(H$3&lt;YEAR(NZ_ResynDate),SUMPRODUCT((YEAR('Bridge Period'!$C$22:$K$22)=H$3)*'Bridge Period'!$C$29:$K$29),IF(AND(H$3&gt;=YEAR(NZ_ResynDate),H$3-YEAR(NZ_ResynDate)+1&lt;=20),INDEX('NZ - Pro Forma'!$D$25:$W$25,H$3-YEAR(NZ_ResynDate)+1),0)-(IF(AND(H$3&gt;=YEAR(NZ_ResynDate),H$3-YEAR(NZ_ResynDate)+1&lt;=20),INDEX('NZ - Pro Forma'!$D$27:$W$27,H$3-YEAR(NZ_ResynDate)+1),0)))</f>
        <v>462627.279912566</v>
      </c>
      <c r="I21" s="37" t="n">
        <f aca="false">IF(I$3&lt;YEAR(NZ_ResynDate),SUMPRODUCT((YEAR('Bridge Period'!$C$22:$K$22)=I$3)*'Bridge Period'!$C$29:$K$29),IF(AND(I$3&gt;=YEAR(NZ_ResynDate),I$3-YEAR(NZ_ResynDate)+1&lt;=20),INDEX('NZ - Pro Forma'!$D$25:$W$25,I$3-YEAR(NZ_ResynDate)+1),0)-(IF(AND(I$3&gt;=YEAR(NZ_ResynDate),I$3-YEAR(NZ_ResynDate)+1&lt;=20),INDEX('NZ - Pro Forma'!$D$27:$W$27,I$3-YEAR(NZ_ResynDate)+1),0)))</f>
        <v>457114.903788305</v>
      </c>
      <c r="J21" s="37" t="n">
        <f aca="false">IF(J$3&lt;YEAR(NZ_ResynDate),SUMPRODUCT((YEAR('Bridge Period'!$C$22:$K$22)=J$3)*'Bridge Period'!$C$29:$K$29),IF(AND(J$3&gt;=YEAR(NZ_ResynDate),J$3-YEAR(NZ_ResynDate)+1&lt;=20),INDEX('NZ - Pro Forma'!$D$25:$W$25,J$3-YEAR(NZ_ResynDate)+1),0)-(IF(AND(J$3&gt;=YEAR(NZ_ResynDate),J$3-YEAR(NZ_ResynDate)+1&lt;=20),INDEX('NZ - Pro Forma'!$D$27:$W$27,J$3-YEAR(NZ_ResynDate)+1),0)))</f>
        <v>450927.288907657</v>
      </c>
      <c r="K21" s="37" t="n">
        <f aca="false">IF(K$3&lt;YEAR(NZ_ResynDate),SUMPRODUCT((YEAR('Bridge Period'!$C$22:$K$22)=K$3)*'Bridge Period'!$C$29:$K$29),IF(AND(K$3&gt;=YEAR(NZ_ResynDate),K$3-YEAR(NZ_ResynDate)+1&lt;=20),INDEX('NZ - Pro Forma'!$D$25:$W$25,K$3-YEAR(NZ_ResynDate)+1),0)-(IF(AND(K$3&gt;=YEAR(NZ_ResynDate),K$3-YEAR(NZ_ResynDate)+1&lt;=20),INDEX('NZ - Pro Forma'!$D$27:$W$27,K$3-YEAR(NZ_ResynDate)+1),0)))</f>
        <v>444025.841138294</v>
      </c>
      <c r="L21" s="37" t="n">
        <f aca="false">IF(L$3&lt;YEAR(NZ_ResynDate),SUMPRODUCT((YEAR('Bridge Period'!$C$22:$K$22)=L$3)*'Bridge Period'!$C$29:$K$29),IF(AND(L$3&gt;=YEAR(NZ_ResynDate),L$3-YEAR(NZ_ResynDate)+1&lt;=20),INDEX('NZ - Pro Forma'!$D$25:$W$25,L$3-YEAR(NZ_ResynDate)+1),0)-(IF(AND(L$3&gt;=YEAR(NZ_ResynDate),L$3-YEAR(NZ_ResynDate)+1&lt;=20),INDEX('NZ - Pro Forma'!$D$27:$W$27,L$3-YEAR(NZ_ResynDate)+1),0)))</f>
        <v>436369.938088469</v>
      </c>
      <c r="M21" s="37" t="n">
        <f aca="false">IF(M$3&lt;YEAR(NZ_ResynDate),SUMPRODUCT((YEAR('Bridge Period'!$C$22:$K$22)=M$3)*'Bridge Period'!$C$29:$K$29),IF(AND(M$3&gt;=YEAR(NZ_ResynDate),M$3-YEAR(NZ_ResynDate)+1&lt;=20),INDEX('NZ - Pro Forma'!$D$25:$W$25,M$3-YEAR(NZ_ResynDate)+1),0)-(IF(AND(M$3&gt;=YEAR(NZ_ResynDate),M$3-YEAR(NZ_ResynDate)+1&lt;=20),INDEX('NZ - Pro Forma'!$D$27:$W$27,M$3-YEAR(NZ_ResynDate)+1),0)))</f>
        <v>427916.820341526</v>
      </c>
      <c r="N21" s="37" t="n">
        <f aca="false">IF(N$3&lt;YEAR(NZ_ResynDate),SUMPRODUCT((YEAR('Bridge Period'!$C$22:$K$22)=N$3)*'Bridge Period'!$C$29:$K$29),IF(AND(N$3&gt;=YEAR(NZ_ResynDate),N$3-YEAR(NZ_ResynDate)+1&lt;=20),INDEX('NZ - Pro Forma'!$D$25:$W$25,N$3-YEAR(NZ_ResynDate)+1),0)-(IF(AND(N$3&gt;=YEAR(NZ_ResynDate),N$3-YEAR(NZ_ResynDate)+1&lt;=20),INDEX('NZ - Pro Forma'!$D$27:$W$27,N$3-YEAR(NZ_ResynDate)+1),0)))</f>
        <v>418621.476633179</v>
      </c>
      <c r="O21" s="37" t="n">
        <f aca="false">IF(O$3&lt;YEAR(NZ_ResynDate),SUMPRODUCT((YEAR('Bridge Period'!$C$22:$K$22)=O$3)*'Bridge Period'!$C$29:$K$29),IF(AND(O$3&gt;=YEAR(NZ_ResynDate),O$3-YEAR(NZ_ResynDate)+1&lt;=20),INDEX('NZ - Pro Forma'!$D$25:$W$25,O$3-YEAR(NZ_ResynDate)+1),0)-(IF(AND(O$3&gt;=YEAR(NZ_ResynDate),O$3-YEAR(NZ_ResynDate)+1&lt;=20),INDEX('NZ - Pro Forma'!$D$27:$W$27,O$3-YEAR(NZ_ResynDate)+1),0)))</f>
        <v>408436.522623679</v>
      </c>
      <c r="P21" s="37" t="n">
        <f aca="false">IF(P$3&lt;YEAR(NZ_ResynDate),SUMPRODUCT((YEAR('Bridge Period'!$C$22:$K$22)=P$3)*'Bridge Period'!$C$29:$K$29),IF(AND(P$3&gt;=YEAR(NZ_ResynDate),P$3-YEAR(NZ_ResynDate)+1&lt;=20),INDEX('NZ - Pro Forma'!$D$25:$W$25,P$3-YEAR(NZ_ResynDate)+1),0)-(IF(AND(P$3&gt;=YEAR(NZ_ResynDate),P$3-YEAR(NZ_ResynDate)+1&lt;=20),INDEX('NZ - Pro Forma'!$D$27:$W$27,P$3-YEAR(NZ_ResynDate)+1),0)))</f>
        <v>397312.072896643</v>
      </c>
      <c r="Q21" s="37" t="n">
        <f aca="false">IF(Q$3&lt;YEAR(NZ_ResynDate),SUMPRODUCT((YEAR('Bridge Period'!$C$22:$K$22)=Q$3)*'Bridge Period'!$C$29:$K$29),IF(AND(Q$3&gt;=YEAR(NZ_ResynDate),Q$3-YEAR(NZ_ResynDate)+1&lt;=20),INDEX('NZ - Pro Forma'!$D$25:$W$25,Q$3-YEAR(NZ_ResynDate)+1),0)-(IF(AND(Q$3&gt;=YEAR(NZ_ResynDate),Q$3-YEAR(NZ_ResynDate)+1&lt;=20),INDEX('NZ - Pro Forma'!$D$27:$W$27,Q$3-YEAR(NZ_ResynDate)+1),0)))</f>
        <v>385195.605794736</v>
      </c>
      <c r="R21" s="37" t="n">
        <f aca="false">IF(R$3&lt;YEAR(NZ_ResynDate),SUMPRODUCT((YEAR('Bridge Period'!$C$22:$K$22)=R$3)*'Bridge Period'!$C$29:$K$29),IF(AND(R$3&gt;=YEAR(NZ_ResynDate),R$3-YEAR(NZ_ResynDate)+1&lt;=20),INDEX('NZ - Pro Forma'!$D$25:$W$25,R$3-YEAR(NZ_ResynDate)+1),0)-(IF(AND(R$3&gt;=YEAR(NZ_ResynDate),R$3-YEAR(NZ_ResynDate)+1&lt;=20),INDEX('NZ - Pro Forma'!$D$27:$W$27,R$3-YEAR(NZ_ResynDate)+1),0)))</f>
        <v>372031.820679501</v>
      </c>
      <c r="S21" s="37" t="n">
        <f aca="false">IF(S$3&lt;YEAR(NZ_ResynDate),SUMPRODUCT((YEAR('Bridge Period'!$C$22:$K$22)=S$3)*'Bridge Period'!$C$29:$K$29),IF(AND(S$3&gt;=YEAR(NZ_ResynDate),S$3-YEAR(NZ_ResynDate)+1&lt;=20),INDEX('NZ - Pro Forma'!$D$25:$W$25,S$3-YEAR(NZ_ResynDate)+1),0)-(IF(AND(S$3&gt;=YEAR(NZ_ResynDate),S$3-YEAR(NZ_ResynDate)+1&lt;=20),INDEX('NZ - Pro Forma'!$D$27:$W$27,S$3-YEAR(NZ_ResynDate)+1),0)))</f>
        <v>357762.487178467</v>
      </c>
      <c r="T21" s="37" t="n">
        <f aca="false">IF(T$3&lt;YEAR(NZ_ResynDate),SUMPRODUCT((YEAR('Bridge Period'!$C$22:$K$22)=T$3)*'Bridge Period'!$C$29:$K$29),IF(AND(T$3&gt;=YEAR(NZ_ResynDate),T$3-YEAR(NZ_ResynDate)+1&lt;=20),INDEX('NZ - Pro Forma'!$D$25:$W$25,T$3-YEAR(NZ_ResynDate)+1),0)-(IF(AND(T$3&gt;=YEAR(NZ_ResynDate),T$3-YEAR(NZ_ResynDate)+1&lt;=20),INDEX('NZ - Pro Forma'!$D$27:$W$27,T$3-YEAR(NZ_ResynDate)+1),0)))</f>
        <v>342326.285956963</v>
      </c>
      <c r="U21" s="37" t="n">
        <f aca="false">IF(U$3&lt;YEAR(NZ_ResynDate),SUMPRODUCT((YEAR('Bridge Period'!$C$22:$K$22)=U$3)*'Bridge Period'!$C$29:$K$29),IF(AND(U$3&gt;=YEAR(NZ_ResynDate),U$3-YEAR(NZ_ResynDate)+1&lt;=20),INDEX('NZ - Pro Forma'!$D$25:$W$25,U$3-YEAR(NZ_ResynDate)+1),0)-(IF(AND(U$3&gt;=YEAR(NZ_ResynDate),U$3-YEAR(NZ_ResynDate)+1&lt;=20),INDEX('NZ - Pro Forma'!$D$27:$W$27,U$3-YEAR(NZ_ResynDate)+1),0)))</f>
        <v>325658.640524921</v>
      </c>
      <c r="V21" s="37" t="n">
        <f aca="false">IF(V$3&lt;YEAR(NZ_ResynDate),SUMPRODUCT((YEAR('Bridge Period'!$C$22:$K$22)=V$3)*'Bridge Period'!$C$29:$K$29),IF(AND(V$3&gt;=YEAR(NZ_ResynDate),V$3-YEAR(NZ_ResynDate)+1&lt;=20),INDEX('NZ - Pro Forma'!$D$25:$W$25,V$3-YEAR(NZ_ResynDate)+1),0)-(IF(AND(V$3&gt;=YEAR(NZ_ResynDate),V$3-YEAR(NZ_ResynDate)+1&lt;=20),INDEX('NZ - Pro Forma'!$D$27:$W$27,V$3-YEAR(NZ_ResynDate)+1),0)))</f>
        <v>307691.539560147</v>
      </c>
      <c r="W21" s="37" t="n">
        <f aca="false">IF(W$3&lt;YEAR(NZ_ResynDate),SUMPRODUCT((YEAR('Bridge Period'!$C$22:$K$22)=W$3)*'Bridge Period'!$C$29:$K$29),IF(AND(W$3&gt;=YEAR(NZ_ResynDate),W$3-YEAR(NZ_ResynDate)+1&lt;=20),INDEX('NZ - Pro Forma'!$D$25:$W$25,W$3-YEAR(NZ_ResynDate)+1),0)-(IF(AND(W$3&gt;=YEAR(NZ_ResynDate),W$3-YEAR(NZ_ResynDate)+1&lt;=20),INDEX('NZ - Pro Forma'!$D$27:$W$27,W$3-YEAR(NZ_ResynDate)+1),0)))</f>
        <v>288353.349199051</v>
      </c>
    </row>
    <row r="22" customFormat="false" ht="15" hidden="false" customHeight="true" outlineLevel="0" collapsed="false">
      <c r="B22" s="13" t="s">
        <v>22</v>
      </c>
      <c r="C22" s="37" t="n">
        <f aca="false">IF(C$3&lt;YEAR(LOM_ResynDate),SUMPRODUCT((YEAR('Bridge Period'!$C$38:$K$38)=C$3)*'Bridge Period'!$C$45:$K$45),IF(AND(C$3&gt;=YEAR(LOM_ResynDate),C$3-YEAR(LOM_ResynDate)+1&lt;=20),INDEX('LOM - Pro Forma'!$D$25:$W$25,C$3-YEAR(LOM_ResynDate)+1),0)-(IF(AND(C$3&gt;=YEAR(LOM_ResynDate),C$3-YEAR(LOM_ResynDate)+1&lt;=20),INDEX('LOM - Pro Forma'!$D$27:$W$27,C$3-YEAR(LOM_ResynDate)+1),0)))</f>
        <v>90242.5548</v>
      </c>
      <c r="D22" s="37" t="n">
        <f aca="false">IF(D$3&lt;YEAR(LOM_ResynDate),SUMPRODUCT((YEAR('Bridge Period'!$C$38:$K$38)=D$3)*'Bridge Period'!$C$45:$K$45),IF(AND(D$3&gt;=YEAR(LOM_ResynDate),D$3-YEAR(LOM_ResynDate)+1&lt;=20),INDEX('LOM - Pro Forma'!$D$25:$W$25,D$3-YEAR(LOM_ResynDate)+1),0)-(IF(AND(D$3&gt;=YEAR(LOM_ResynDate),D$3-YEAR(LOM_ResynDate)+1&lt;=20),INDEX('LOM - Pro Forma'!$D$27:$W$27,D$3-YEAR(LOM_ResynDate)+1),0)))</f>
        <v>360993.036267613</v>
      </c>
      <c r="E22" s="37" t="n">
        <f aca="false">IF(E$3&lt;YEAR(LOM_ResynDate),SUMPRODUCT((YEAR('Bridge Period'!$C$38:$K$38)=E$3)*'Bridge Period'!$C$45:$K$45),IF(AND(E$3&gt;=YEAR(LOM_ResynDate),E$3-YEAR(LOM_ResynDate)+1&lt;=20),INDEX('LOM - Pro Forma'!$D$25:$W$25,E$3-YEAR(LOM_ResynDate)+1),0)-(IF(AND(E$3&gt;=YEAR(LOM_ResynDate),E$3-YEAR(LOM_ResynDate)+1&lt;=20),INDEX('LOM - Pro Forma'!$D$27:$W$27,E$3-YEAR(LOM_ResynDate)+1),0)))</f>
        <v>296997.80679712</v>
      </c>
      <c r="F22" s="37" t="n">
        <f aca="false">IF(F$3&lt;YEAR(LOM_ResynDate),SUMPRODUCT((YEAR('Bridge Period'!$C$38:$K$38)=F$3)*'Bridge Period'!$C$45:$K$45),IF(AND(F$3&gt;=YEAR(LOM_ResynDate),F$3-YEAR(LOM_ResynDate)+1&lt;=20),INDEX('LOM - Pro Forma'!$D$25:$W$25,F$3-YEAR(LOM_ResynDate)+1),0)-(IF(AND(F$3&gt;=YEAR(LOM_ResynDate),F$3-YEAR(LOM_ResynDate)+1&lt;=20),INDEX('LOM - Pro Forma'!$D$27:$W$27,F$3-YEAR(LOM_ResynDate)+1),0)))</f>
        <v>508430.69109931</v>
      </c>
      <c r="G22" s="37" t="n">
        <f aca="false">IF(G$3&lt;YEAR(LOM_ResynDate),SUMPRODUCT((YEAR('Bridge Period'!$C$38:$K$38)=G$3)*'Bridge Period'!$C$45:$K$45),IF(AND(G$3&gt;=YEAR(LOM_ResynDate),G$3-YEAR(LOM_ResynDate)+1&lt;=20),INDEX('LOM - Pro Forma'!$D$25:$W$25,G$3-YEAR(LOM_ResynDate)+1),0)-(IF(AND(G$3&gt;=YEAR(LOM_ResynDate),G$3-YEAR(LOM_ResynDate)+1&lt;=20),INDEX('LOM - Pro Forma'!$D$27:$W$27,G$3-YEAR(LOM_ResynDate)+1),0)))</f>
        <v>544654.797428803</v>
      </c>
      <c r="H22" s="37" t="n">
        <f aca="false">IF(H$3&lt;YEAR(LOM_ResynDate),SUMPRODUCT((YEAR('Bridge Period'!$C$38:$K$38)=H$3)*'Bridge Period'!$C$45:$K$45),IF(AND(H$3&gt;=YEAR(LOM_ResynDate),H$3-YEAR(LOM_ResynDate)+1&lt;=20),INDEX('LOM - Pro Forma'!$D$25:$W$25,H$3-YEAR(LOM_ResynDate)+1),0)-(IF(AND(H$3&gt;=YEAR(LOM_ResynDate),H$3-YEAR(LOM_ResynDate)+1&lt;=20),INDEX('LOM - Pro Forma'!$D$27:$W$27,H$3-YEAR(LOM_ResynDate)+1),0)))</f>
        <v>551387.684423856</v>
      </c>
      <c r="I22" s="37" t="n">
        <f aca="false">IF(I$3&lt;YEAR(LOM_ResynDate),SUMPRODUCT((YEAR('Bridge Period'!$C$38:$K$38)=I$3)*'Bridge Period'!$C$45:$K$45),IF(AND(I$3&gt;=YEAR(LOM_ResynDate),I$3-YEAR(LOM_ResynDate)+1&lt;=20),INDEX('LOM - Pro Forma'!$D$25:$W$25,I$3-YEAR(LOM_ResynDate)+1),0)-(IF(AND(I$3&gt;=YEAR(LOM_ResynDate),I$3-YEAR(LOM_ResynDate)+1&lt;=20),INDEX('LOM - Pro Forma'!$D$27:$W$27,I$3-YEAR(LOM_ResynDate)+1),0)))</f>
        <v>542311.586198624</v>
      </c>
      <c r="J22" s="37" t="n">
        <f aca="false">IF(J$3&lt;YEAR(LOM_ResynDate),SUMPRODUCT((YEAR('Bridge Period'!$C$38:$K$38)=J$3)*'Bridge Period'!$C$45:$K$45),IF(AND(J$3&gt;=YEAR(LOM_ResynDate),J$3-YEAR(LOM_ResynDate)+1&lt;=20),INDEX('LOM - Pro Forma'!$D$25:$W$25,J$3-YEAR(LOM_ResynDate)+1),0)-(IF(AND(J$3&gt;=YEAR(LOM_ResynDate),J$3-YEAR(LOM_ResynDate)+1&lt;=20),INDEX('LOM - Pro Forma'!$D$27:$W$27,J$3-YEAR(LOM_ResynDate)+1),0)))</f>
        <v>532197.397029492</v>
      </c>
      <c r="K22" s="37" t="n">
        <f aca="false">IF(K$3&lt;YEAR(LOM_ResynDate),SUMPRODUCT((YEAR('Bridge Period'!$C$38:$K$38)=K$3)*'Bridge Period'!$C$45:$K$45),IF(AND(K$3&gt;=YEAR(LOM_ResynDate),K$3-YEAR(LOM_ResynDate)+1&lt;=20),INDEX('LOM - Pro Forma'!$D$25:$W$25,K$3-YEAR(LOM_ResynDate)+1),0)-(IF(AND(K$3&gt;=YEAR(LOM_ResynDate),K$3-YEAR(LOM_ResynDate)+1&lt;=20),INDEX('LOM - Pro Forma'!$D$27:$W$27,K$3-YEAR(LOM_ResynDate)+1),0)))</f>
        <v>520982.48675322</v>
      </c>
      <c r="L22" s="37" t="n">
        <f aca="false">IF(L$3&lt;YEAR(LOM_ResynDate),SUMPRODUCT((YEAR('Bridge Period'!$C$38:$K$38)=L$3)*'Bridge Period'!$C$45:$K$45),IF(AND(L$3&gt;=YEAR(LOM_ResynDate),L$3-YEAR(LOM_ResynDate)+1&lt;=20),INDEX('LOM - Pro Forma'!$D$25:$W$25,L$3-YEAR(LOM_ResynDate)+1),0)-(IF(AND(L$3&gt;=YEAR(LOM_ResynDate),L$3-YEAR(LOM_ResynDate)+1&lt;=20),INDEX('LOM - Pro Forma'!$D$27:$W$27,L$3-YEAR(LOM_ResynDate)+1),0)))</f>
        <v>508600.728200167</v>
      </c>
      <c r="M22" s="37" t="n">
        <f aca="false">IF(M$3&lt;YEAR(LOM_ResynDate),SUMPRODUCT((YEAR('Bridge Period'!$C$38:$K$38)=M$3)*'Bridge Period'!$C$45:$K$45),IF(AND(M$3&gt;=YEAR(LOM_ResynDate),M$3-YEAR(LOM_ResynDate)+1&lt;=20),INDEX('LOM - Pro Forma'!$D$25:$W$25,M$3-YEAR(LOM_ResynDate)+1),0)-(IF(AND(M$3&gt;=YEAR(LOM_ResynDate),M$3-YEAR(LOM_ResynDate)+1&lt;=20),INDEX('LOM - Pro Forma'!$D$27:$W$27,M$3-YEAR(LOM_ResynDate)+1),0)))</f>
        <v>494982.300281972</v>
      </c>
      <c r="N22" s="37" t="n">
        <f aca="false">IF(N$3&lt;YEAR(LOM_ResynDate),SUMPRODUCT((YEAR('Bridge Period'!$C$38:$K$38)=N$3)*'Bridge Period'!$C$45:$K$45),IF(AND(N$3&gt;=YEAR(LOM_ResynDate),N$3-YEAR(LOM_ResynDate)+1&lt;=20),INDEX('LOM - Pro Forma'!$D$25:$W$25,N$3-YEAR(LOM_ResynDate)+1),0)-(IF(AND(N$3&gt;=YEAR(LOM_ResynDate),N$3-YEAR(LOM_ResynDate)+1&lt;=20),INDEX('LOM - Pro Forma'!$D$27:$W$27,N$3-YEAR(LOM_ResynDate)+1),0)))</f>
        <v>480053.479747058</v>
      </c>
      <c r="O22" s="37" t="n">
        <f aca="false">IF(O$3&lt;YEAR(LOM_ResynDate),SUMPRODUCT((YEAR('Bridge Period'!$C$38:$K$38)=O$3)*'Bridge Period'!$C$45:$K$45),IF(AND(O$3&gt;=YEAR(LOM_ResynDate),O$3-YEAR(LOM_ResynDate)+1&lt;=20),INDEX('LOM - Pro Forma'!$D$25:$W$25,O$3-YEAR(LOM_ResynDate)+1),0)-(IF(AND(O$3&gt;=YEAR(LOM_ResynDate),O$3-YEAR(LOM_ResynDate)+1&lt;=20),INDEX('LOM - Pro Forma'!$D$27:$W$27,O$3-YEAR(LOM_ResynDate)+1),0)))</f>
        <v>463736.420940297</v>
      </c>
      <c r="P22" s="37" t="n">
        <f aca="false">IF(P$3&lt;YEAR(LOM_ResynDate),SUMPRODUCT((YEAR('Bridge Period'!$C$38:$K$38)=P$3)*'Bridge Period'!$C$45:$K$45),IF(AND(P$3&gt;=YEAR(LOM_ResynDate),P$3-YEAR(LOM_ResynDate)+1&lt;=20),INDEX('LOM - Pro Forma'!$D$25:$W$25,P$3-YEAR(LOM_ResynDate)+1),0)-(IF(AND(P$3&gt;=YEAR(LOM_ResynDate),P$3-YEAR(LOM_ResynDate)+1&lt;=20),INDEX('LOM - Pro Forma'!$D$27:$W$27,P$3-YEAR(LOM_ResynDate)+1),0)))</f>
        <v>445948.922863877</v>
      </c>
      <c r="Q22" s="37" t="n">
        <f aca="false">IF(Q$3&lt;YEAR(LOM_ResynDate),SUMPRODUCT((YEAR('Bridge Period'!$C$38:$K$38)=Q$3)*'Bridge Period'!$C$45:$K$45),IF(AND(Q$3&gt;=YEAR(LOM_ResynDate),Q$3-YEAR(LOM_ResynDate)+1&lt;=20),INDEX('LOM - Pro Forma'!$D$25:$W$25,Q$3-YEAR(LOM_ResynDate)+1),0)-(IF(AND(Q$3&gt;=YEAR(LOM_ResynDate),Q$3-YEAR(LOM_ResynDate)+1&lt;=20),INDEX('LOM - Pro Forma'!$D$27:$W$27,Q$3-YEAR(LOM_ResynDate)+1),0)))</f>
        <v>426604.182794753</v>
      </c>
      <c r="R22" s="37" t="n">
        <f aca="false">IF(R$3&lt;YEAR(LOM_ResynDate),SUMPRODUCT((YEAR('Bridge Period'!$C$38:$K$38)=R$3)*'Bridge Period'!$C$45:$K$45),IF(AND(R$3&gt;=YEAR(LOM_ResynDate),R$3-YEAR(LOM_ResynDate)+1&lt;=20),INDEX('LOM - Pro Forma'!$D$25:$W$25,R$3-YEAR(LOM_ResynDate)+1),0)-(IF(AND(R$3&gt;=YEAR(LOM_ResynDate),R$3-YEAR(LOM_ResynDate)+1&lt;=20),INDEX('LOM - Pro Forma'!$D$27:$W$27,R$3-YEAR(LOM_ResynDate)+1),0)))</f>
        <v>405610.535669964</v>
      </c>
      <c r="S22" s="37" t="n">
        <f aca="false">IF(S$3&lt;YEAR(LOM_ResynDate),SUMPRODUCT((YEAR('Bridge Period'!$C$38:$K$38)=S$3)*'Bridge Period'!$C$45:$K$45),IF(AND(S$3&gt;=YEAR(LOM_ResynDate),S$3-YEAR(LOM_ResynDate)+1&lt;=20),INDEX('LOM - Pro Forma'!$D$25:$W$25,S$3-YEAR(LOM_ResynDate)+1),0)-(IF(AND(S$3&gt;=YEAR(LOM_ResynDate),S$3-YEAR(LOM_ResynDate)+1&lt;=20),INDEX('LOM - Pro Forma'!$D$27:$W$27,S$3-YEAR(LOM_ResynDate)+1),0)))</f>
        <v>382871.178404347</v>
      </c>
      <c r="T22" s="37" t="n">
        <f aca="false">IF(T$3&lt;YEAR(LOM_ResynDate),SUMPRODUCT((YEAR('Bridge Period'!$C$38:$K$38)=T$3)*'Bridge Period'!$C$45:$K$45),IF(AND(T$3&gt;=YEAR(LOM_ResynDate),T$3-YEAR(LOM_ResynDate)+1&lt;=20),INDEX('LOM - Pro Forma'!$D$25:$W$25,T$3-YEAR(LOM_ResynDate)+1),0)-(IF(AND(T$3&gt;=YEAR(LOM_ResynDate),T$3-YEAR(LOM_ResynDate)+1&lt;=20),INDEX('LOM - Pro Forma'!$D$27:$W$27,T$3-YEAR(LOM_ResynDate)+1),0)))</f>
        <v>358283.878255603</v>
      </c>
      <c r="U22" s="37" t="n">
        <f aca="false">IF(U$3&lt;YEAR(LOM_ResynDate),SUMPRODUCT((YEAR('Bridge Period'!$C$38:$K$38)=U$3)*'Bridge Period'!$C$45:$K$45),IF(AND(U$3&gt;=YEAR(LOM_ResynDate),U$3-YEAR(LOM_ResynDate)+1&lt;=20),INDEX('LOM - Pro Forma'!$D$25:$W$25,U$3-YEAR(LOM_ResynDate)+1),0)-(IF(AND(U$3&gt;=YEAR(LOM_ResynDate),U$3-YEAR(LOM_ResynDate)+1&lt;=20),INDEX('LOM - Pro Forma'!$D$27:$W$27,U$3-YEAR(LOM_ResynDate)+1),0)))</f>
        <v>331740.664299235</v>
      </c>
      <c r="V22" s="37" t="n">
        <f aca="false">IF(V$3&lt;YEAR(LOM_ResynDate),SUMPRODUCT((YEAR('Bridge Period'!$C$38:$K$38)=V$3)*'Bridge Period'!$C$45:$K$45),IF(AND(V$3&gt;=YEAR(LOM_ResynDate),V$3-YEAR(LOM_ResynDate)+1&lt;=20),INDEX('LOM - Pro Forma'!$D$25:$W$25,V$3-YEAR(LOM_ResynDate)+1),0)-(IF(AND(V$3&gt;=YEAR(LOM_ResynDate),V$3-YEAR(LOM_ResynDate)+1&lt;=20),INDEX('LOM - Pro Forma'!$D$27:$W$27,V$3-YEAR(LOM_ResynDate)+1),0)))</f>
        <v>303127.501020203</v>
      </c>
      <c r="W22" s="37" t="n">
        <f aca="false">IF(W$3&lt;YEAR(LOM_ResynDate),SUMPRODUCT((YEAR('Bridge Period'!$C$38:$K$38)=W$3)*'Bridge Period'!$C$45:$K$45),IF(AND(W$3&gt;=YEAR(LOM_ResynDate),W$3-YEAR(LOM_ResynDate)+1&lt;=20),INDEX('LOM - Pro Forma'!$D$25:$W$25,W$3-YEAR(LOM_ResynDate)+1),0)-(IF(AND(W$3&gt;=YEAR(LOM_ResynDate),W$3-YEAR(LOM_ResynDate)+1&lt;=20),INDEX('LOM - Pro Forma'!$D$27:$W$27,W$3-YEAR(LOM_ResynDate)+1),0)))</f>
        <v>272323.942969231</v>
      </c>
    </row>
    <row r="23" customFormat="false" ht="15" hidden="false" customHeight="true" outlineLevel="0" collapsed="false">
      <c r="B23" s="13" t="s">
        <v>23</v>
      </c>
      <c r="C23" s="37" t="n">
        <f aca="false">IF(C$3&lt;YEAR(SA_ResynDate),SUMPRODUCT((YEAR('Bridge Period'!$C$54:$K$54)=C$3)*'Bridge Period'!$C$61:$K$61),IF(AND(C$3&gt;=YEAR(SA_ResynDate),C$3-YEAR(SA_ResynDate)+1&lt;=20),INDEX('SA - Pro Forma'!$D$25:$W$25,C$3-YEAR(SA_ResynDate)+1),0)-(IF(AND(C$3&gt;=YEAR(SA_ResynDate),C$3-YEAR(SA_ResynDate)+1&lt;=20),INDEX('SA - Pro Forma'!$D$27:$W$27,C$3-YEAR(SA_ResynDate)+1),0)))</f>
        <v>582675.611842018</v>
      </c>
      <c r="D23" s="37" t="n">
        <f aca="false">IF(D$3&lt;YEAR(SA_ResynDate),SUMPRODUCT((YEAR('Bridge Period'!$C$54:$K$54)=D$3)*'Bridge Period'!$C$61:$K$61),IF(AND(D$3&gt;=YEAR(SA_ResynDate),D$3-YEAR(SA_ResynDate)+1&lt;=20),INDEX('SA - Pro Forma'!$D$25:$W$25,D$3-YEAR(SA_ResynDate)+1),0)-(IF(AND(D$3&gt;=YEAR(SA_ResynDate),D$3-YEAR(SA_ResynDate)+1&lt;=20),INDEX('SA - Pro Forma'!$D$27:$W$27,D$3-YEAR(SA_ResynDate)+1),0)))</f>
        <v>603856.389694409</v>
      </c>
      <c r="E23" s="37" t="n">
        <f aca="false">IF(E$3&lt;YEAR(SA_ResynDate),SUMPRODUCT((YEAR('Bridge Period'!$C$54:$K$54)=E$3)*'Bridge Period'!$C$61:$K$61),IF(AND(E$3&gt;=YEAR(SA_ResynDate),E$3-YEAR(SA_ResynDate)+1&lt;=20),INDEX('SA - Pro Forma'!$D$25:$W$25,E$3-YEAR(SA_ResynDate)+1),0)-(IF(AND(E$3&gt;=YEAR(SA_ResynDate),E$3-YEAR(SA_ResynDate)+1&lt;=20),INDEX('SA - Pro Forma'!$D$27:$W$27,E$3-YEAR(SA_ResynDate)+1),0)))</f>
        <v>625014.121527726</v>
      </c>
      <c r="F23" s="37" t="n">
        <f aca="false">IF(F$3&lt;YEAR(SA_ResynDate),SUMPRODUCT((YEAR('Bridge Period'!$C$54:$K$54)=F$3)*'Bridge Period'!$C$61:$K$61),IF(AND(F$3&gt;=YEAR(SA_ResynDate),F$3-YEAR(SA_ResynDate)+1&lt;=20),INDEX('SA - Pro Forma'!$D$25:$W$25,F$3-YEAR(SA_ResynDate)+1),0)-(IF(AND(F$3&gt;=YEAR(SA_ResynDate),F$3-YEAR(SA_ResynDate)+1&lt;=20),INDEX('SA - Pro Forma'!$D$27:$W$27,F$3-YEAR(SA_ResynDate)+1),0)))</f>
        <v>610016.216620621</v>
      </c>
      <c r="G23" s="37" t="n">
        <f aca="false">IF(G$3&lt;YEAR(SA_ResynDate),SUMPRODUCT((YEAR('Bridge Period'!$C$54:$K$54)=G$3)*'Bridge Period'!$C$61:$K$61),IF(AND(G$3&gt;=YEAR(SA_ResynDate),G$3-YEAR(SA_ResynDate)+1&lt;=20),INDEX('SA - Pro Forma'!$D$25:$W$25,G$3-YEAR(SA_ResynDate)+1),0)-(IF(AND(G$3&gt;=YEAR(SA_ResynDate),G$3-YEAR(SA_ResynDate)+1&lt;=20),INDEX('SA - Pro Forma'!$D$27:$W$27,G$3-YEAR(SA_ResynDate)+1),0)))</f>
        <v>593557.359055925</v>
      </c>
      <c r="H23" s="37" t="n">
        <f aca="false">IF(H$3&lt;YEAR(SA_ResynDate),SUMPRODUCT((YEAR('Bridge Period'!$C$54:$K$54)=H$3)*'Bridge Period'!$C$61:$K$61),IF(AND(H$3&gt;=YEAR(SA_ResynDate),H$3-YEAR(SA_ResynDate)+1&lt;=20),INDEX('SA - Pro Forma'!$D$25:$W$25,H$3-YEAR(SA_ResynDate)+1),0)-(IF(AND(H$3&gt;=YEAR(SA_ResynDate),H$3-YEAR(SA_ResynDate)+1&lt;=20),INDEX('SA - Pro Forma'!$D$27:$W$27,H$3-YEAR(SA_ResynDate)+1),0)))</f>
        <v>575552.069652091</v>
      </c>
      <c r="I23" s="37" t="n">
        <f aca="false">IF(I$3&lt;YEAR(SA_ResynDate),SUMPRODUCT((YEAR('Bridge Period'!$C$54:$K$54)=I$3)*'Bridge Period'!$C$61:$K$61),IF(AND(I$3&gt;=YEAR(SA_ResynDate),I$3-YEAR(SA_ResynDate)+1&lt;=20),INDEX('SA - Pro Forma'!$D$25:$W$25,I$3-YEAR(SA_ResynDate)+1),0)-(IF(AND(I$3&gt;=YEAR(SA_ResynDate),I$3-YEAR(SA_ResynDate)+1&lt;=20),INDEX('SA - Pro Forma'!$D$27:$W$27,I$3-YEAR(SA_ResynDate)+1),0)))</f>
        <v>555910.162259679</v>
      </c>
      <c r="J23" s="37" t="n">
        <f aca="false">IF(J$3&lt;YEAR(SA_ResynDate),SUMPRODUCT((YEAR('Bridge Period'!$C$54:$K$54)=J$3)*'Bridge Period'!$C$61:$K$61),IF(AND(J$3&gt;=YEAR(SA_ResynDate),J$3-YEAR(SA_ResynDate)+1&lt;=20),INDEX('SA - Pro Forma'!$D$25:$W$25,J$3-YEAR(SA_ResynDate)+1),0)-(IF(AND(J$3&gt;=YEAR(SA_ResynDate),J$3-YEAR(SA_ResynDate)+1&lt;=20),INDEX('SA - Pro Forma'!$D$27:$W$27,J$3-YEAR(SA_ResynDate)+1),0)))</f>
        <v>534536.480680096</v>
      </c>
      <c r="K23" s="37" t="n">
        <f aca="false">IF(K$3&lt;YEAR(SA_ResynDate),SUMPRODUCT((YEAR('Bridge Period'!$C$54:$K$54)=K$3)*'Bridge Period'!$C$61:$K$61),IF(AND(K$3&gt;=YEAR(SA_ResynDate),K$3-YEAR(SA_ResynDate)+1&lt;=20),INDEX('SA - Pro Forma'!$D$25:$W$25,K$3-YEAR(SA_ResynDate)+1),0)-(IF(AND(K$3&gt;=YEAR(SA_ResynDate),K$3-YEAR(SA_ResynDate)+1&lt;=20),INDEX('SA - Pro Forma'!$D$27:$W$27,K$3-YEAR(SA_ResynDate)+1),0)))</f>
        <v>511330.62050487</v>
      </c>
      <c r="L23" s="37" t="n">
        <f aca="false">IF(L$3&lt;YEAR(SA_ResynDate),SUMPRODUCT((YEAR('Bridge Period'!$C$54:$K$54)=L$3)*'Bridge Period'!$C$61:$K$61),IF(AND(L$3&gt;=YEAR(SA_ResynDate),L$3-YEAR(SA_ResynDate)+1&lt;=20),INDEX('SA - Pro Forma'!$D$25:$W$25,L$3-YEAR(SA_ResynDate)+1),0)-(IF(AND(L$3&gt;=YEAR(SA_ResynDate),L$3-YEAR(SA_ResynDate)+1&lt;=20),INDEX('SA - Pro Forma'!$D$27:$W$27,L$3-YEAR(SA_ResynDate)+1),0)))</f>
        <v>486186.634994208</v>
      </c>
      <c r="M23" s="37" t="n">
        <f aca="false">IF(M$3&lt;YEAR(SA_ResynDate),SUMPRODUCT((YEAR('Bridge Period'!$C$54:$K$54)=M$3)*'Bridge Period'!$C$61:$K$61),IF(AND(M$3&gt;=YEAR(SA_ResynDate),M$3-YEAR(SA_ResynDate)+1&lt;=20),INDEX('SA - Pro Forma'!$D$25:$W$25,M$3-YEAR(SA_ResynDate)+1),0)-(IF(AND(M$3&gt;=YEAR(SA_ResynDate),M$3-YEAR(SA_ResynDate)+1&lt;=20),INDEX('SA - Pro Forma'!$D$27:$W$27,M$3-YEAR(SA_ResynDate)+1),0)))</f>
        <v>458992.724061467</v>
      </c>
      <c r="N23" s="37" t="n">
        <f aca="false">IF(N$3&lt;YEAR(SA_ResynDate),SUMPRODUCT((YEAR('Bridge Period'!$C$54:$K$54)=N$3)*'Bridge Period'!$C$61:$K$61),IF(AND(N$3&gt;=YEAR(SA_ResynDate),N$3-YEAR(SA_ResynDate)+1&lt;=20),INDEX('SA - Pro Forma'!$D$25:$W$25,N$3-YEAR(SA_ResynDate)+1),0)-(IF(AND(N$3&gt;=YEAR(SA_ResynDate),N$3-YEAR(SA_ResynDate)+1&lt;=20),INDEX('SA - Pro Forma'!$D$27:$W$27,N$3-YEAR(SA_ResynDate)+1),0)))</f>
        <v>429630.905374906</v>
      </c>
      <c r="O23" s="37" t="n">
        <f aca="false">IF(O$3&lt;YEAR(SA_ResynDate),SUMPRODUCT((YEAR('Bridge Period'!$C$54:$K$54)=O$3)*'Bridge Period'!$C$61:$K$61),IF(AND(O$3&gt;=YEAR(SA_ResynDate),O$3-YEAR(SA_ResynDate)+1&lt;=20),INDEX('SA - Pro Forma'!$D$25:$W$25,O$3-YEAR(SA_ResynDate)+1),0)-(IF(AND(O$3&gt;=YEAR(SA_ResynDate),O$3-YEAR(SA_ResynDate)+1&lt;=20),INDEX('SA - Pro Forma'!$D$27:$W$27,O$3-YEAR(SA_ResynDate)+1),0)))</f>
        <v>397976.666529605</v>
      </c>
      <c r="P23" s="37" t="n">
        <f aca="false">IF(P$3&lt;YEAR(SA_ResynDate),SUMPRODUCT((YEAR('Bridge Period'!$C$54:$K$54)=P$3)*'Bridge Period'!$C$61:$K$61),IF(AND(P$3&gt;=YEAR(SA_ResynDate),P$3-YEAR(SA_ResynDate)+1&lt;=20),INDEX('SA - Pro Forma'!$D$25:$W$25,P$3-YEAR(SA_ResynDate)+1),0)-(IF(AND(P$3&gt;=YEAR(SA_ResynDate),P$3-YEAR(SA_ResynDate)+1&lt;=20),INDEX('SA - Pro Forma'!$D$27:$W$27,P$3-YEAR(SA_ResynDate)+1),0)))</f>
        <v>363898.597180408</v>
      </c>
      <c r="Q23" s="37" t="n">
        <f aca="false">IF(Q$3&lt;YEAR(SA_ResynDate),SUMPRODUCT((YEAR('Bridge Period'!$C$54:$K$54)=Q$3)*'Bridge Period'!$C$61:$K$61),IF(AND(Q$3&gt;=YEAR(SA_ResynDate),Q$3-YEAR(SA_ResynDate)+1&lt;=20),INDEX('SA - Pro Forma'!$D$25:$W$25,Q$3-YEAR(SA_ResynDate)+1),0)-(IF(AND(Q$3&gt;=YEAR(SA_ResynDate),Q$3-YEAR(SA_ResynDate)+1&lt;=20),INDEX('SA - Pro Forma'!$D$27:$W$27,Q$3-YEAR(SA_ResynDate)+1),0)))</f>
        <v>327257.999961047</v>
      </c>
      <c r="R23" s="37" t="n">
        <f aca="false">IF(R$3&lt;YEAR(SA_ResynDate),SUMPRODUCT((YEAR('Bridge Period'!$C$54:$K$54)=R$3)*'Bridge Period'!$C$61:$K$61),IF(AND(R$3&gt;=YEAR(SA_ResynDate),R$3-YEAR(SA_ResynDate)+1&lt;=20),INDEX('SA - Pro Forma'!$D$25:$W$25,R$3-YEAR(SA_ResynDate)+1),0)-(IF(AND(R$3&gt;=YEAR(SA_ResynDate),R$3-YEAR(SA_ResynDate)+1&lt;=20),INDEX('SA - Pro Forma'!$D$27:$W$27,R$3-YEAR(SA_ResynDate)+1),0)))</f>
        <v>287908.478944991</v>
      </c>
      <c r="S23" s="37" t="n">
        <f aca="false">IF(S$3&lt;YEAR(SA_ResynDate),SUMPRODUCT((YEAR('Bridge Period'!$C$54:$K$54)=S$3)*'Bridge Period'!$C$61:$K$61),IF(AND(S$3&gt;=YEAR(SA_ResynDate),S$3-YEAR(SA_ResynDate)+1&lt;=20),INDEX('SA - Pro Forma'!$D$25:$W$25,S$3-YEAR(SA_ResynDate)+1),0)-(IF(AND(S$3&gt;=YEAR(SA_ResynDate),S$3-YEAR(SA_ResynDate)+1&lt;=20),INDEX('SA - Pro Forma'!$D$27:$W$27,S$3-YEAR(SA_ResynDate)+1),0)))</f>
        <v>245695.504329806</v>
      </c>
      <c r="T23" s="37" t="n">
        <f aca="false">IF(T$3&lt;YEAR(SA_ResynDate),SUMPRODUCT((YEAR('Bridge Period'!$C$54:$K$54)=T$3)*'Bridge Period'!$C$61:$K$61),IF(AND(T$3&gt;=YEAR(SA_ResynDate),T$3-YEAR(SA_ResynDate)+1&lt;=20),INDEX('SA - Pro Forma'!$D$25:$W$25,T$3-YEAR(SA_ResynDate)+1),0)-(IF(AND(T$3&gt;=YEAR(SA_ResynDate),T$3-YEAR(SA_ResynDate)+1&lt;=20),INDEX('SA - Pro Forma'!$D$27:$W$27,T$3-YEAR(SA_ResynDate)+1),0)))</f>
        <v>200455.951948631</v>
      </c>
      <c r="U23" s="37" t="n">
        <f aca="false">IF(U$3&lt;YEAR(SA_ResynDate),SUMPRODUCT((YEAR('Bridge Period'!$C$54:$K$54)=U$3)*'Bridge Period'!$C$61:$K$61),IF(AND(U$3&gt;=YEAR(SA_ResynDate),U$3-YEAR(SA_ResynDate)+1&lt;=20),INDEX('SA - Pro Forma'!$D$25:$W$25,U$3-YEAR(SA_ResynDate)+1),0)-(IF(AND(U$3&gt;=YEAR(SA_ResynDate),U$3-YEAR(SA_ResynDate)+1&lt;=20),INDEX('SA - Pro Forma'!$D$27:$W$27,U$3-YEAR(SA_ResynDate)+1),0)))</f>
        <v>152017.616129548</v>
      </c>
      <c r="V23" s="37" t="n">
        <f aca="false">IF(V$3&lt;YEAR(SA_ResynDate),SUMPRODUCT((YEAR('Bridge Period'!$C$54:$K$54)=V$3)*'Bridge Period'!$C$61:$K$61),IF(AND(V$3&gt;=YEAR(SA_ResynDate),V$3-YEAR(SA_ResynDate)+1&lt;=20),INDEX('SA - Pro Forma'!$D$25:$W$25,V$3-YEAR(SA_ResynDate)+1),0)-(IF(AND(V$3&gt;=YEAR(SA_ResynDate),V$3-YEAR(SA_ResynDate)+1&lt;=20),INDEX('SA - Pro Forma'!$D$27:$W$27,V$3-YEAR(SA_ResynDate)+1),0)))</f>
        <v>100198.694335886</v>
      </c>
      <c r="W23" s="37" t="n">
        <f aca="false">IF(W$3&lt;YEAR(SA_ResynDate),SUMPRODUCT((YEAR('Bridge Period'!$C$54:$K$54)=W$3)*'Bridge Period'!$C$61:$K$61),IF(AND(W$3&gt;=YEAR(SA_ResynDate),W$3-YEAR(SA_ResynDate)+1&lt;=20),INDEX('SA - Pro Forma'!$D$25:$W$25,W$3-YEAR(SA_ResynDate)+1),0)-(IF(AND(W$3&gt;=YEAR(SA_ResynDate),W$3-YEAR(SA_ResynDate)+1&lt;=20),INDEX('SA - Pro Forma'!$D$27:$W$27,W$3-YEAR(SA_ResynDate)+1),0)))</f>
        <v>0</v>
      </c>
    </row>
    <row r="24" customFormat="false" ht="15" hidden="false" customHeight="true" outlineLevel="0" collapsed="false">
      <c r="B24" s="19" t="s">
        <v>858</v>
      </c>
      <c r="C24" s="84" t="n">
        <f aca="false">SUM(C20:C23)</f>
        <v>742634.257442018</v>
      </c>
      <c r="D24" s="84" t="n">
        <f aca="false">SUM(D20:D23)</f>
        <v>1293386.19328707</v>
      </c>
      <c r="E24" s="84" t="n">
        <f aca="false">SUM(E20:E23)</f>
        <v>1343751.78649334</v>
      </c>
      <c r="F24" s="84" t="n">
        <f aca="false">SUM(F20:F23)</f>
        <v>1756465.14612896</v>
      </c>
      <c r="G24" s="84" t="n">
        <f aca="false">SUM(G20:G23)</f>
        <v>1825475.68104313</v>
      </c>
      <c r="H24" s="84" t="n">
        <f aca="false">SUM(H20:H23)</f>
        <v>1799843.2276538</v>
      </c>
      <c r="I24" s="84" t="n">
        <f aca="false">SUM(I20:I23)</f>
        <v>1755403.24039428</v>
      </c>
      <c r="J24" s="84" t="n">
        <f aca="false">SUM(J20:J23)</f>
        <v>1706756.6232047</v>
      </c>
      <c r="K24" s="84" t="n">
        <f aca="false">SUM(K20:K23)</f>
        <v>1653661.63424465</v>
      </c>
      <c r="L24" s="84" t="n">
        <f aca="false">SUM(L20:L23)</f>
        <v>1595863.41302093</v>
      </c>
      <c r="M24" s="84" t="n">
        <f aca="false">SUM(M20:M23)</f>
        <v>1533093.25483487</v>
      </c>
      <c r="N24" s="84" t="n">
        <f aca="false">SUM(N20:N23)</f>
        <v>1465067.84391851</v>
      </c>
      <c r="O24" s="84" t="n">
        <f aca="false">SUM(O20:O23)</f>
        <v>1391488.44285427</v>
      </c>
      <c r="P24" s="84" t="n">
        <f aca="false">SUM(P20:P23)</f>
        <v>1312040.03573151</v>
      </c>
      <c r="Q24" s="84" t="n">
        <f aca="false">SUM(Q20:Q23)</f>
        <v>1226390.42234231</v>
      </c>
      <c r="R24" s="84" t="n">
        <f aca="false">SUM(R20:R23)</f>
        <v>1134189.26055997</v>
      </c>
      <c r="S24" s="84" t="n">
        <f aca="false">SUM(S20:S23)</f>
        <v>1035067.05387464</v>
      </c>
      <c r="T24" s="84" t="n">
        <f aca="false">SUM(T20:T23)</f>
        <v>928634.080881587</v>
      </c>
      <c r="U24" s="84" t="n">
        <f aca="false">SUM(U20:U23)</f>
        <v>814479.263328213</v>
      </c>
      <c r="V24" s="84" t="n">
        <f aca="false">SUM(V20:V23)</f>
        <v>692168.969124961</v>
      </c>
      <c r="W24" s="84" t="n">
        <f aca="false">SUM(W20:W23)</f>
        <v>516438.504585149</v>
      </c>
    </row>
    <row r="26" customFormat="false" ht="15" hidden="false" customHeight="true" outlineLevel="0" collapsed="false">
      <c r="B26" s="63" t="s">
        <v>867</v>
      </c>
    </row>
    <row r="27" customFormat="false" ht="15" hidden="false" customHeight="true" outlineLevel="0" collapsed="false">
      <c r="B27" s="13" t="s">
        <v>20</v>
      </c>
      <c r="C27" s="37" t="n">
        <f aca="false">IF(C$3&lt;YEAR(CH_ResynDate),SUMPRODUCT((YEAR('Bridge Period'!$C$6:$K$6)=C$3)*'Bridge Period'!$C$14:$K$14),-(IF(AND(C$3&gt;=YEAR(CH_ResynDate),C$3-YEAR(CH_ResynDate)+1&lt;=20),INDEX('CH - Pro Forma'!$D$29:$W$29,C$3-YEAR(CH_ResynDate)+1),0))-(IF(AND(C$3&gt;=YEAR(CH_ResynDate),C$3-YEAR(CH_ResynDate)+1&lt;=20),INDEX('CH - Pro Forma'!$D$30:$W$30,C$3-YEAR(CH_ResynDate)+1),0)))</f>
        <v>-25489.92</v>
      </c>
      <c r="D27" s="37" t="n">
        <f aca="false">IF(D$3&lt;YEAR(CH_ResynDate),SUMPRODUCT((YEAR('Bridge Period'!$C$6:$K$6)=D$3)*'Bridge Period'!$C$14:$K$14),-(IF(AND(D$3&gt;=YEAR(CH_ResynDate),D$3-YEAR(CH_ResynDate)+1&lt;=20),INDEX('CH - Pro Forma'!$D$29:$W$29,D$3-YEAR(CH_ResynDate)+1),0))-(IF(AND(D$3&gt;=YEAR(CH_ResynDate),D$3-YEAR(CH_ResynDate)+1&lt;=20),INDEX('CH - Pro Forma'!$D$30:$W$30,D$3-YEAR(CH_ResynDate)+1),0)))</f>
        <v>-84966.4</v>
      </c>
      <c r="E27" s="37" t="n">
        <f aca="false">IF(E$3&lt;YEAR(CH_ResynDate),SUMPRODUCT((YEAR('Bridge Period'!$C$6:$K$6)=E$3)*'Bridge Period'!$C$14:$K$14),-(IF(AND(E$3&gt;=YEAR(CH_ResynDate),E$3-YEAR(CH_ResynDate)+1&lt;=20),INDEX('CH - Pro Forma'!$D$29:$W$29,E$3-YEAR(CH_ResynDate)+1),0))-(IF(AND(E$3&gt;=YEAR(CH_ResynDate),E$3-YEAR(CH_ResynDate)+1&lt;=20),INDEX('CH - Pro Forma'!$D$30:$W$30,E$3-YEAR(CH_ResynDate)+1),0)))</f>
        <v>-233345.739038748</v>
      </c>
      <c r="F27" s="37" t="n">
        <f aca="false">IF(F$3&lt;YEAR(CH_ResynDate),SUMPRODUCT((YEAR('Bridge Period'!$C$6:$K$6)=F$3)*'Bridge Period'!$C$14:$K$14),-(IF(AND(F$3&gt;=YEAR(CH_ResynDate),F$3-YEAR(CH_ResynDate)+1&lt;=20),INDEX('CH - Pro Forma'!$D$29:$W$29,F$3-YEAR(CH_ResynDate)+1),0))-(IF(AND(F$3&gt;=YEAR(CH_ResynDate),F$3-YEAR(CH_ResynDate)+1&lt;=20),INDEX('CH - Pro Forma'!$D$30:$W$30,F$3-YEAR(CH_ResynDate)+1),0)))</f>
        <v>-233345.739038748</v>
      </c>
      <c r="G27" s="37" t="n">
        <f aca="false">IF(G$3&lt;YEAR(CH_ResynDate),SUMPRODUCT((YEAR('Bridge Period'!$C$6:$K$6)=G$3)*'Bridge Period'!$C$14:$K$14),-(IF(AND(G$3&gt;=YEAR(CH_ResynDate),G$3-YEAR(CH_ResynDate)+1&lt;=20),INDEX('CH - Pro Forma'!$D$29:$W$29,G$3-YEAR(CH_ResynDate)+1),0))-(IF(AND(G$3&gt;=YEAR(CH_ResynDate),G$3-YEAR(CH_ResynDate)+1&lt;=20),INDEX('CH - Pro Forma'!$D$30:$W$30,G$3-YEAR(CH_ResynDate)+1),0)))</f>
        <v>-233345.739038748</v>
      </c>
      <c r="H27" s="37" t="n">
        <f aca="false">IF(H$3&lt;YEAR(CH_ResynDate),SUMPRODUCT((YEAR('Bridge Period'!$C$6:$K$6)=H$3)*'Bridge Period'!$C$14:$K$14),-(IF(AND(H$3&gt;=YEAR(CH_ResynDate),H$3-YEAR(CH_ResynDate)+1&lt;=20),INDEX('CH - Pro Forma'!$D$29:$W$29,H$3-YEAR(CH_ResynDate)+1),0))-(IF(AND(H$3&gt;=YEAR(CH_ResynDate),H$3-YEAR(CH_ResynDate)+1&lt;=20),INDEX('CH - Pro Forma'!$D$30:$W$30,H$3-YEAR(CH_ResynDate)+1),0)))</f>
        <v>-233345.739038748</v>
      </c>
      <c r="I27" s="37" t="n">
        <f aca="false">IF(I$3&lt;YEAR(CH_ResynDate),SUMPRODUCT((YEAR('Bridge Period'!$C$6:$K$6)=I$3)*'Bridge Period'!$C$14:$K$14),-(IF(AND(I$3&gt;=YEAR(CH_ResynDate),I$3-YEAR(CH_ResynDate)+1&lt;=20),INDEX('CH - Pro Forma'!$D$29:$W$29,I$3-YEAR(CH_ResynDate)+1),0))-(IF(AND(I$3&gt;=YEAR(CH_ResynDate),I$3-YEAR(CH_ResynDate)+1&lt;=20),INDEX('CH - Pro Forma'!$D$30:$W$30,I$3-YEAR(CH_ResynDate)+1),0)))</f>
        <v>-233345.739038748</v>
      </c>
      <c r="J27" s="37" t="n">
        <f aca="false">IF(J$3&lt;YEAR(CH_ResynDate),SUMPRODUCT((YEAR('Bridge Period'!$C$6:$K$6)=J$3)*'Bridge Period'!$C$14:$K$14),-(IF(AND(J$3&gt;=YEAR(CH_ResynDate),J$3-YEAR(CH_ResynDate)+1&lt;=20),INDEX('CH - Pro Forma'!$D$29:$W$29,J$3-YEAR(CH_ResynDate)+1),0))-(IF(AND(J$3&gt;=YEAR(CH_ResynDate),J$3-YEAR(CH_ResynDate)+1&lt;=20),INDEX('CH - Pro Forma'!$D$30:$W$30,J$3-YEAR(CH_ResynDate)+1),0)))</f>
        <v>-233345.739038748</v>
      </c>
      <c r="K27" s="37" t="n">
        <f aca="false">IF(K$3&lt;YEAR(CH_ResynDate),SUMPRODUCT((YEAR('Bridge Period'!$C$6:$K$6)=K$3)*'Bridge Period'!$C$14:$K$14),-(IF(AND(K$3&gt;=YEAR(CH_ResynDate),K$3-YEAR(CH_ResynDate)+1&lt;=20),INDEX('CH - Pro Forma'!$D$29:$W$29,K$3-YEAR(CH_ResynDate)+1),0))-(IF(AND(K$3&gt;=YEAR(CH_ResynDate),K$3-YEAR(CH_ResynDate)+1&lt;=20),INDEX('CH - Pro Forma'!$D$30:$W$30,K$3-YEAR(CH_ResynDate)+1),0)))</f>
        <v>-233345.739038748</v>
      </c>
      <c r="L27" s="37" t="n">
        <f aca="false">IF(L$3&lt;YEAR(CH_ResynDate),SUMPRODUCT((YEAR('Bridge Period'!$C$6:$K$6)=L$3)*'Bridge Period'!$C$14:$K$14),-(IF(AND(L$3&gt;=YEAR(CH_ResynDate),L$3-YEAR(CH_ResynDate)+1&lt;=20),INDEX('CH - Pro Forma'!$D$29:$W$29,L$3-YEAR(CH_ResynDate)+1),0))-(IF(AND(L$3&gt;=YEAR(CH_ResynDate),L$3-YEAR(CH_ResynDate)+1&lt;=20),INDEX('CH - Pro Forma'!$D$30:$W$30,L$3-YEAR(CH_ResynDate)+1),0)))</f>
        <v>-233345.739038748</v>
      </c>
      <c r="M27" s="37" t="n">
        <f aca="false">IF(M$3&lt;YEAR(CH_ResynDate),SUMPRODUCT((YEAR('Bridge Period'!$C$6:$K$6)=M$3)*'Bridge Period'!$C$14:$K$14),-(IF(AND(M$3&gt;=YEAR(CH_ResynDate),M$3-YEAR(CH_ResynDate)+1&lt;=20),INDEX('CH - Pro Forma'!$D$29:$W$29,M$3-YEAR(CH_ResynDate)+1),0))-(IF(AND(M$3&gt;=YEAR(CH_ResynDate),M$3-YEAR(CH_ResynDate)+1&lt;=20),INDEX('CH - Pro Forma'!$D$30:$W$30,M$3-YEAR(CH_ResynDate)+1),0)))</f>
        <v>-233345.739038748</v>
      </c>
      <c r="N27" s="37" t="n">
        <f aca="false">IF(N$3&lt;YEAR(CH_ResynDate),SUMPRODUCT((YEAR('Bridge Period'!$C$6:$K$6)=N$3)*'Bridge Period'!$C$14:$K$14),-(IF(AND(N$3&gt;=YEAR(CH_ResynDate),N$3-YEAR(CH_ResynDate)+1&lt;=20),INDEX('CH - Pro Forma'!$D$29:$W$29,N$3-YEAR(CH_ResynDate)+1),0))-(IF(AND(N$3&gt;=YEAR(CH_ResynDate),N$3-YEAR(CH_ResynDate)+1&lt;=20),INDEX('CH - Pro Forma'!$D$30:$W$30,N$3-YEAR(CH_ResynDate)+1),0)))</f>
        <v>-233345.739038748</v>
      </c>
      <c r="O27" s="37" t="n">
        <f aca="false">IF(O$3&lt;YEAR(CH_ResynDate),SUMPRODUCT((YEAR('Bridge Period'!$C$6:$K$6)=O$3)*'Bridge Period'!$C$14:$K$14),-(IF(AND(O$3&gt;=YEAR(CH_ResynDate),O$3-YEAR(CH_ResynDate)+1&lt;=20),INDEX('CH - Pro Forma'!$D$29:$W$29,O$3-YEAR(CH_ResynDate)+1),0))-(IF(AND(O$3&gt;=YEAR(CH_ResynDate),O$3-YEAR(CH_ResynDate)+1&lt;=20),INDEX('CH - Pro Forma'!$D$30:$W$30,O$3-YEAR(CH_ResynDate)+1),0)))</f>
        <v>-233345.739038748</v>
      </c>
      <c r="P27" s="37" t="n">
        <f aca="false">IF(P$3&lt;YEAR(CH_ResynDate),SUMPRODUCT((YEAR('Bridge Period'!$C$6:$K$6)=P$3)*'Bridge Period'!$C$14:$K$14),-(IF(AND(P$3&gt;=YEAR(CH_ResynDate),P$3-YEAR(CH_ResynDate)+1&lt;=20),INDEX('CH - Pro Forma'!$D$29:$W$29,P$3-YEAR(CH_ResynDate)+1),0))-(IF(AND(P$3&gt;=YEAR(CH_ResynDate),P$3-YEAR(CH_ResynDate)+1&lt;=20),INDEX('CH - Pro Forma'!$D$30:$W$30,P$3-YEAR(CH_ResynDate)+1),0)))</f>
        <v>-233345.739038748</v>
      </c>
      <c r="Q27" s="37" t="n">
        <f aca="false">IF(Q$3&lt;YEAR(CH_ResynDate),SUMPRODUCT((YEAR('Bridge Period'!$C$6:$K$6)=Q$3)*'Bridge Period'!$C$14:$K$14),-(IF(AND(Q$3&gt;=YEAR(CH_ResynDate),Q$3-YEAR(CH_ResynDate)+1&lt;=20),INDEX('CH - Pro Forma'!$D$29:$W$29,Q$3-YEAR(CH_ResynDate)+1),0))-(IF(AND(Q$3&gt;=YEAR(CH_ResynDate),Q$3-YEAR(CH_ResynDate)+1&lt;=20),INDEX('CH - Pro Forma'!$D$30:$W$30,Q$3-YEAR(CH_ResynDate)+1),0)))</f>
        <v>-233345.739038748</v>
      </c>
      <c r="R27" s="37" t="n">
        <f aca="false">IF(R$3&lt;YEAR(CH_ResynDate),SUMPRODUCT((YEAR('Bridge Period'!$C$6:$K$6)=R$3)*'Bridge Period'!$C$14:$K$14),-(IF(AND(R$3&gt;=YEAR(CH_ResynDate),R$3-YEAR(CH_ResynDate)+1&lt;=20),INDEX('CH - Pro Forma'!$D$29:$W$29,R$3-YEAR(CH_ResynDate)+1),0))-(IF(AND(R$3&gt;=YEAR(CH_ResynDate),R$3-YEAR(CH_ResynDate)+1&lt;=20),INDEX('CH - Pro Forma'!$D$30:$W$30,R$3-YEAR(CH_ResynDate)+1),0)))</f>
        <v>-233345.739038748</v>
      </c>
      <c r="S27" s="37" t="n">
        <f aca="false">IF(S$3&lt;YEAR(CH_ResynDate),SUMPRODUCT((YEAR('Bridge Period'!$C$6:$K$6)=S$3)*'Bridge Period'!$C$14:$K$14),-(IF(AND(S$3&gt;=YEAR(CH_ResynDate),S$3-YEAR(CH_ResynDate)+1&lt;=20),INDEX('CH - Pro Forma'!$D$29:$W$29,S$3-YEAR(CH_ResynDate)+1),0))-(IF(AND(S$3&gt;=YEAR(CH_ResynDate),S$3-YEAR(CH_ResynDate)+1&lt;=20),INDEX('CH - Pro Forma'!$D$30:$W$30,S$3-YEAR(CH_ResynDate)+1),0)))</f>
        <v>-233345.739038748</v>
      </c>
      <c r="T27" s="37" t="n">
        <f aca="false">IF(T$3&lt;YEAR(CH_ResynDate),SUMPRODUCT((YEAR('Bridge Period'!$C$6:$K$6)=T$3)*'Bridge Period'!$C$14:$K$14),-(IF(AND(T$3&gt;=YEAR(CH_ResynDate),T$3-YEAR(CH_ResynDate)+1&lt;=20),INDEX('CH - Pro Forma'!$D$29:$W$29,T$3-YEAR(CH_ResynDate)+1),0))-(IF(AND(T$3&gt;=YEAR(CH_ResynDate),T$3-YEAR(CH_ResynDate)+1&lt;=20),INDEX('CH - Pro Forma'!$D$30:$W$30,T$3-YEAR(CH_ResynDate)+1),0)))</f>
        <v>-233345.739038748</v>
      </c>
      <c r="U27" s="37" t="n">
        <f aca="false">IF(U$3&lt;YEAR(CH_ResynDate),SUMPRODUCT((YEAR('Bridge Period'!$C$6:$K$6)=U$3)*'Bridge Period'!$C$14:$K$14),-(IF(AND(U$3&gt;=YEAR(CH_ResynDate),U$3-YEAR(CH_ResynDate)+1&lt;=20),INDEX('CH - Pro Forma'!$D$29:$W$29,U$3-YEAR(CH_ResynDate)+1),0))-(IF(AND(U$3&gt;=YEAR(CH_ResynDate),U$3-YEAR(CH_ResynDate)+1&lt;=20),INDEX('CH - Pro Forma'!$D$30:$W$30,U$3-YEAR(CH_ResynDate)+1),0)))</f>
        <v>-233345.739038748</v>
      </c>
      <c r="V27" s="37" t="n">
        <f aca="false">IF(V$3&lt;YEAR(CH_ResynDate),SUMPRODUCT((YEAR('Bridge Period'!$C$6:$K$6)=V$3)*'Bridge Period'!$C$14:$K$14),-(IF(AND(V$3&gt;=YEAR(CH_ResynDate),V$3-YEAR(CH_ResynDate)+1&lt;=20),INDEX('CH - Pro Forma'!$D$29:$W$29,V$3-YEAR(CH_ResynDate)+1),0))-(IF(AND(V$3&gt;=YEAR(CH_ResynDate),V$3-YEAR(CH_ResynDate)+1&lt;=20),INDEX('CH - Pro Forma'!$D$30:$W$30,V$3-YEAR(CH_ResynDate)+1),0)))</f>
        <v>-233345.739038748</v>
      </c>
      <c r="W27" s="37" t="n">
        <f aca="false">IF(W$3&lt;YEAR(CH_ResynDate),SUMPRODUCT((YEAR('Bridge Period'!$C$6:$K$6)=W$3)*'Bridge Period'!$C$14:$K$14),-(IF(AND(W$3&gt;=YEAR(CH_ResynDate),W$3-YEAR(CH_ResynDate)+1&lt;=20),INDEX('CH - Pro Forma'!$D$29:$W$29,W$3-YEAR(CH_ResynDate)+1),0))-(IF(AND(W$3&gt;=YEAR(CH_ResynDate),W$3-YEAR(CH_ResynDate)+1&lt;=20),INDEX('CH - Pro Forma'!$D$30:$W$30,W$3-YEAR(CH_ResynDate)+1),0)))</f>
        <v>-233345.739038748</v>
      </c>
    </row>
    <row r="28" customFormat="false" ht="15" hidden="false" customHeight="true" outlineLevel="0" collapsed="false">
      <c r="B28" s="13" t="s">
        <v>21</v>
      </c>
      <c r="C28" s="37" t="n">
        <f aca="false">IF(C$3&lt;YEAR(NZ_ResynDate),SUMPRODUCT((YEAR('Bridge Period'!$C$22:$K$22)=C$3)*'Bridge Period'!$C$30:$K$30),-(IF(AND(C$3&gt;=YEAR(NZ_ResynDate),C$3-YEAR(NZ_ResynDate)+1&lt;=20),INDEX('NZ - Pro Forma'!$D$29:$W$29,C$3-YEAR(NZ_ResynDate)+1),0))-(IF(AND(C$3&gt;=YEAR(NZ_ResynDate),C$3-YEAR(NZ_ResynDate)+1&lt;=20),INDEX('NZ - Pro Forma'!$D$30:$W$30,C$3-YEAR(NZ_ResynDate)+1),0)))</f>
        <v>-45636.24</v>
      </c>
      <c r="D28" s="37" t="n">
        <f aca="false">IF(D$3&lt;YEAR(NZ_ResynDate),SUMPRODUCT((YEAR('Bridge Period'!$C$22:$K$22)=D$3)*'Bridge Period'!$C$30:$K$30),-(IF(AND(D$3&gt;=YEAR(NZ_ResynDate),D$3-YEAR(NZ_ResynDate)+1&lt;=20),INDEX('NZ - Pro Forma'!$D$29:$W$29,D$3-YEAR(NZ_ResynDate)+1),0))-(IF(AND(D$3&gt;=YEAR(NZ_ResynDate),D$3-YEAR(NZ_ResynDate)+1&lt;=20),INDEX('NZ - Pro Forma'!$D$30:$W$30,D$3-YEAR(NZ_ResynDate)+1),0)))</f>
        <v>-182544.96</v>
      </c>
      <c r="E28" s="37" t="n">
        <f aca="false">IF(E$3&lt;YEAR(NZ_ResynDate),SUMPRODUCT((YEAR('Bridge Period'!$C$22:$K$22)=E$3)*'Bridge Period'!$C$30:$K$30),-(IF(AND(E$3&gt;=YEAR(NZ_ResynDate),E$3-YEAR(NZ_ResynDate)+1&lt;=20),INDEX('NZ - Pro Forma'!$D$29:$W$29,E$3-YEAR(NZ_ResynDate)+1),0))-(IF(AND(E$3&gt;=YEAR(NZ_ResynDate),E$3-YEAR(NZ_ResynDate)+1&lt;=20),INDEX('NZ - Pro Forma'!$D$30:$W$30,E$3-YEAR(NZ_ResynDate)+1),0)))</f>
        <v>-152120.8</v>
      </c>
      <c r="F28" s="37" t="n">
        <f aca="false">IF(F$3&lt;YEAR(NZ_ResynDate),SUMPRODUCT((YEAR('Bridge Period'!$C$22:$K$22)=F$3)*'Bridge Period'!$C$30:$K$30),-(IF(AND(F$3&gt;=YEAR(NZ_ResynDate),F$3-YEAR(NZ_ResynDate)+1&lt;=20),INDEX('NZ - Pro Forma'!$D$29:$W$29,F$3-YEAR(NZ_ResynDate)+1),0))-(IF(AND(F$3&gt;=YEAR(NZ_ResynDate),F$3-YEAR(NZ_ResynDate)+1&lt;=20),INDEX('NZ - Pro Forma'!$D$30:$W$30,F$3-YEAR(NZ_ResynDate)+1),0)))</f>
        <v>-443736.075936642</v>
      </c>
      <c r="G28" s="37" t="n">
        <f aca="false">IF(G$3&lt;YEAR(NZ_ResynDate),SUMPRODUCT((YEAR('Bridge Period'!$C$22:$K$22)=G$3)*'Bridge Period'!$C$30:$K$30),-(IF(AND(G$3&gt;=YEAR(NZ_ResynDate),G$3-YEAR(NZ_ResynDate)+1&lt;=20),INDEX('NZ - Pro Forma'!$D$29:$W$29,G$3-YEAR(NZ_ResynDate)+1),0))-(IF(AND(G$3&gt;=YEAR(NZ_ResynDate),G$3-YEAR(NZ_ResynDate)+1&lt;=20),INDEX('NZ - Pro Forma'!$D$30:$W$30,G$3-YEAR(NZ_ResynDate)+1),0)))</f>
        <v>-443736.075936642</v>
      </c>
      <c r="H28" s="37" t="n">
        <f aca="false">IF(H$3&lt;YEAR(NZ_ResynDate),SUMPRODUCT((YEAR('Bridge Period'!$C$22:$K$22)=H$3)*'Bridge Period'!$C$30:$K$30),-(IF(AND(H$3&gt;=YEAR(NZ_ResynDate),H$3-YEAR(NZ_ResynDate)+1&lt;=20),INDEX('NZ - Pro Forma'!$D$29:$W$29,H$3-YEAR(NZ_ResynDate)+1),0))-(IF(AND(H$3&gt;=YEAR(NZ_ResynDate),H$3-YEAR(NZ_ResynDate)+1&lt;=20),INDEX('NZ - Pro Forma'!$D$30:$W$30,H$3-YEAR(NZ_ResynDate)+1),0)))</f>
        <v>-443736.075936642</v>
      </c>
      <c r="I28" s="37" t="n">
        <f aca="false">IF(I$3&lt;YEAR(NZ_ResynDate),SUMPRODUCT((YEAR('Bridge Period'!$C$22:$K$22)=I$3)*'Bridge Period'!$C$30:$K$30),-(IF(AND(I$3&gt;=YEAR(NZ_ResynDate),I$3-YEAR(NZ_ResynDate)+1&lt;=20),INDEX('NZ - Pro Forma'!$D$29:$W$29,I$3-YEAR(NZ_ResynDate)+1),0))-(IF(AND(I$3&gt;=YEAR(NZ_ResynDate),I$3-YEAR(NZ_ResynDate)+1&lt;=20),INDEX('NZ - Pro Forma'!$D$30:$W$30,I$3-YEAR(NZ_ResynDate)+1),0)))</f>
        <v>-443736.075936642</v>
      </c>
      <c r="J28" s="37" t="n">
        <f aca="false">IF(J$3&lt;YEAR(NZ_ResynDate),SUMPRODUCT((YEAR('Bridge Period'!$C$22:$K$22)=J$3)*'Bridge Period'!$C$30:$K$30),-(IF(AND(J$3&gt;=YEAR(NZ_ResynDate),J$3-YEAR(NZ_ResynDate)+1&lt;=20),INDEX('NZ - Pro Forma'!$D$29:$W$29,J$3-YEAR(NZ_ResynDate)+1),0))-(IF(AND(J$3&gt;=YEAR(NZ_ResynDate),J$3-YEAR(NZ_ResynDate)+1&lt;=20),INDEX('NZ - Pro Forma'!$D$30:$W$30,J$3-YEAR(NZ_ResynDate)+1),0)))</f>
        <v>-443736.075936642</v>
      </c>
      <c r="K28" s="37" t="n">
        <f aca="false">IF(K$3&lt;YEAR(NZ_ResynDate),SUMPRODUCT((YEAR('Bridge Period'!$C$22:$K$22)=K$3)*'Bridge Period'!$C$30:$K$30),-(IF(AND(K$3&gt;=YEAR(NZ_ResynDate),K$3-YEAR(NZ_ResynDate)+1&lt;=20),INDEX('NZ - Pro Forma'!$D$29:$W$29,K$3-YEAR(NZ_ResynDate)+1),0))-(IF(AND(K$3&gt;=YEAR(NZ_ResynDate),K$3-YEAR(NZ_ResynDate)+1&lt;=20),INDEX('NZ - Pro Forma'!$D$30:$W$30,K$3-YEAR(NZ_ResynDate)+1),0)))</f>
        <v>-443736.075936642</v>
      </c>
      <c r="L28" s="37" t="n">
        <f aca="false">IF(L$3&lt;YEAR(NZ_ResynDate),SUMPRODUCT((YEAR('Bridge Period'!$C$22:$K$22)=L$3)*'Bridge Period'!$C$30:$K$30),-(IF(AND(L$3&gt;=YEAR(NZ_ResynDate),L$3-YEAR(NZ_ResynDate)+1&lt;=20),INDEX('NZ - Pro Forma'!$D$29:$W$29,L$3-YEAR(NZ_ResynDate)+1),0))-(IF(AND(L$3&gt;=YEAR(NZ_ResynDate),L$3-YEAR(NZ_ResynDate)+1&lt;=20),INDEX('NZ - Pro Forma'!$D$30:$W$30,L$3-YEAR(NZ_ResynDate)+1),0)))</f>
        <v>-443736.075936642</v>
      </c>
      <c r="M28" s="37" t="n">
        <f aca="false">IF(M$3&lt;YEAR(NZ_ResynDate),SUMPRODUCT((YEAR('Bridge Period'!$C$22:$K$22)=M$3)*'Bridge Period'!$C$30:$K$30),-(IF(AND(M$3&gt;=YEAR(NZ_ResynDate),M$3-YEAR(NZ_ResynDate)+1&lt;=20),INDEX('NZ - Pro Forma'!$D$29:$W$29,M$3-YEAR(NZ_ResynDate)+1),0))-(IF(AND(M$3&gt;=YEAR(NZ_ResynDate),M$3-YEAR(NZ_ResynDate)+1&lt;=20),INDEX('NZ - Pro Forma'!$D$30:$W$30,M$3-YEAR(NZ_ResynDate)+1),0)))</f>
        <v>-443736.075936642</v>
      </c>
      <c r="N28" s="37" t="n">
        <f aca="false">IF(N$3&lt;YEAR(NZ_ResynDate),SUMPRODUCT((YEAR('Bridge Period'!$C$22:$K$22)=N$3)*'Bridge Period'!$C$30:$K$30),-(IF(AND(N$3&gt;=YEAR(NZ_ResynDate),N$3-YEAR(NZ_ResynDate)+1&lt;=20),INDEX('NZ - Pro Forma'!$D$29:$W$29,N$3-YEAR(NZ_ResynDate)+1),0))-(IF(AND(N$3&gt;=YEAR(NZ_ResynDate),N$3-YEAR(NZ_ResynDate)+1&lt;=20),INDEX('NZ - Pro Forma'!$D$30:$W$30,N$3-YEAR(NZ_ResynDate)+1),0)))</f>
        <v>-443736.075936642</v>
      </c>
      <c r="O28" s="37" t="n">
        <f aca="false">IF(O$3&lt;YEAR(NZ_ResynDate),SUMPRODUCT((YEAR('Bridge Period'!$C$22:$K$22)=O$3)*'Bridge Period'!$C$30:$K$30),-(IF(AND(O$3&gt;=YEAR(NZ_ResynDate),O$3-YEAR(NZ_ResynDate)+1&lt;=20),INDEX('NZ - Pro Forma'!$D$29:$W$29,O$3-YEAR(NZ_ResynDate)+1),0))-(IF(AND(O$3&gt;=YEAR(NZ_ResynDate),O$3-YEAR(NZ_ResynDate)+1&lt;=20),INDEX('NZ - Pro Forma'!$D$30:$W$30,O$3-YEAR(NZ_ResynDate)+1),0)))</f>
        <v>-443736.075936642</v>
      </c>
      <c r="P28" s="37" t="n">
        <f aca="false">IF(P$3&lt;YEAR(NZ_ResynDate),SUMPRODUCT((YEAR('Bridge Period'!$C$22:$K$22)=P$3)*'Bridge Period'!$C$30:$K$30),-(IF(AND(P$3&gt;=YEAR(NZ_ResynDate),P$3-YEAR(NZ_ResynDate)+1&lt;=20),INDEX('NZ - Pro Forma'!$D$29:$W$29,P$3-YEAR(NZ_ResynDate)+1),0))-(IF(AND(P$3&gt;=YEAR(NZ_ResynDate),P$3-YEAR(NZ_ResynDate)+1&lt;=20),INDEX('NZ - Pro Forma'!$D$30:$W$30,P$3-YEAR(NZ_ResynDate)+1),0)))</f>
        <v>-443736.075936642</v>
      </c>
      <c r="Q28" s="37" t="n">
        <f aca="false">IF(Q$3&lt;YEAR(NZ_ResynDate),SUMPRODUCT((YEAR('Bridge Period'!$C$22:$K$22)=Q$3)*'Bridge Period'!$C$30:$K$30),-(IF(AND(Q$3&gt;=YEAR(NZ_ResynDate),Q$3-YEAR(NZ_ResynDate)+1&lt;=20),INDEX('NZ - Pro Forma'!$D$29:$W$29,Q$3-YEAR(NZ_ResynDate)+1),0))-(IF(AND(Q$3&gt;=YEAR(NZ_ResynDate),Q$3-YEAR(NZ_ResynDate)+1&lt;=20),INDEX('NZ - Pro Forma'!$D$30:$W$30,Q$3-YEAR(NZ_ResynDate)+1),0)))</f>
        <v>-443736.075936642</v>
      </c>
      <c r="R28" s="37" t="n">
        <f aca="false">IF(R$3&lt;YEAR(NZ_ResynDate),SUMPRODUCT((YEAR('Bridge Period'!$C$22:$K$22)=R$3)*'Bridge Period'!$C$30:$K$30),-(IF(AND(R$3&gt;=YEAR(NZ_ResynDate),R$3-YEAR(NZ_ResynDate)+1&lt;=20),INDEX('NZ - Pro Forma'!$D$29:$W$29,R$3-YEAR(NZ_ResynDate)+1),0))-(IF(AND(R$3&gt;=YEAR(NZ_ResynDate),R$3-YEAR(NZ_ResynDate)+1&lt;=20),INDEX('NZ - Pro Forma'!$D$30:$W$30,R$3-YEAR(NZ_ResynDate)+1),0)))</f>
        <v>-443736.075936642</v>
      </c>
      <c r="S28" s="37" t="n">
        <f aca="false">IF(S$3&lt;YEAR(NZ_ResynDate),SUMPRODUCT((YEAR('Bridge Period'!$C$22:$K$22)=S$3)*'Bridge Period'!$C$30:$K$30),-(IF(AND(S$3&gt;=YEAR(NZ_ResynDate),S$3-YEAR(NZ_ResynDate)+1&lt;=20),INDEX('NZ - Pro Forma'!$D$29:$W$29,S$3-YEAR(NZ_ResynDate)+1),0))-(IF(AND(S$3&gt;=YEAR(NZ_ResynDate),S$3-YEAR(NZ_ResynDate)+1&lt;=20),INDEX('NZ - Pro Forma'!$D$30:$W$30,S$3-YEAR(NZ_ResynDate)+1),0)))</f>
        <v>-443736.075936642</v>
      </c>
      <c r="T28" s="37" t="n">
        <f aca="false">IF(T$3&lt;YEAR(NZ_ResynDate),SUMPRODUCT((YEAR('Bridge Period'!$C$22:$K$22)=T$3)*'Bridge Period'!$C$30:$K$30),-(IF(AND(T$3&gt;=YEAR(NZ_ResynDate),T$3-YEAR(NZ_ResynDate)+1&lt;=20),INDEX('NZ - Pro Forma'!$D$29:$W$29,T$3-YEAR(NZ_ResynDate)+1),0))-(IF(AND(T$3&gt;=YEAR(NZ_ResynDate),T$3-YEAR(NZ_ResynDate)+1&lt;=20),INDEX('NZ - Pro Forma'!$D$30:$W$30,T$3-YEAR(NZ_ResynDate)+1),0)))</f>
        <v>-443736.075936642</v>
      </c>
      <c r="U28" s="37" t="n">
        <f aca="false">IF(U$3&lt;YEAR(NZ_ResynDate),SUMPRODUCT((YEAR('Bridge Period'!$C$22:$K$22)=U$3)*'Bridge Period'!$C$30:$K$30),-(IF(AND(U$3&gt;=YEAR(NZ_ResynDate),U$3-YEAR(NZ_ResynDate)+1&lt;=20),INDEX('NZ - Pro Forma'!$D$29:$W$29,U$3-YEAR(NZ_ResynDate)+1),0))-(IF(AND(U$3&gt;=YEAR(NZ_ResynDate),U$3-YEAR(NZ_ResynDate)+1&lt;=20),INDEX('NZ - Pro Forma'!$D$30:$W$30,U$3-YEAR(NZ_ResynDate)+1),0)))</f>
        <v>-443736.075936642</v>
      </c>
      <c r="V28" s="37" t="n">
        <f aca="false">IF(V$3&lt;YEAR(NZ_ResynDate),SUMPRODUCT((YEAR('Bridge Period'!$C$22:$K$22)=V$3)*'Bridge Period'!$C$30:$K$30),-(IF(AND(V$3&gt;=YEAR(NZ_ResynDate),V$3-YEAR(NZ_ResynDate)+1&lt;=20),INDEX('NZ - Pro Forma'!$D$29:$W$29,V$3-YEAR(NZ_ResynDate)+1),0))-(IF(AND(V$3&gt;=YEAR(NZ_ResynDate),V$3-YEAR(NZ_ResynDate)+1&lt;=20),INDEX('NZ - Pro Forma'!$D$30:$W$30,V$3-YEAR(NZ_ResynDate)+1),0)))</f>
        <v>-443736.075936642</v>
      </c>
      <c r="W28" s="37" t="n">
        <f aca="false">IF(W$3&lt;YEAR(NZ_ResynDate),SUMPRODUCT((YEAR('Bridge Period'!$C$22:$K$22)=W$3)*'Bridge Period'!$C$30:$K$30),-(IF(AND(W$3&gt;=YEAR(NZ_ResynDate),W$3-YEAR(NZ_ResynDate)+1&lt;=20),INDEX('NZ - Pro Forma'!$D$29:$W$29,W$3-YEAR(NZ_ResynDate)+1),0))-(IF(AND(W$3&gt;=YEAR(NZ_ResynDate),W$3-YEAR(NZ_ResynDate)+1&lt;=20),INDEX('NZ - Pro Forma'!$D$30:$W$30,W$3-YEAR(NZ_ResynDate)+1),0)))</f>
        <v>-443736.075936642</v>
      </c>
    </row>
    <row r="29" customFormat="false" ht="15" hidden="false" customHeight="true" outlineLevel="0" collapsed="false">
      <c r="B29" s="13" t="s">
        <v>22</v>
      </c>
      <c r="C29" s="37" t="n">
        <f aca="false">IF(C$3&lt;YEAR(LOM_ResynDate),SUMPRODUCT((YEAR('Bridge Period'!$C$38:$K$38)=C$3)*'Bridge Period'!$C$46:$K$46),-(IF(AND(C$3&gt;=YEAR(LOM_ResynDate),C$3-YEAR(LOM_ResynDate)+1&lt;=20),INDEX('LOM - Pro Forma'!$D$29:$W$29,C$3-YEAR(LOM_ResynDate)+1),0))-(IF(AND(C$3&gt;=YEAR(LOM_ResynDate),C$3-YEAR(LOM_ResynDate)+1&lt;=20),INDEX('LOM - Pro Forma'!$D$30:$W$30,C$3-YEAR(LOM_ResynDate)+1),0)))</f>
        <v>-71503.17</v>
      </c>
      <c r="D29" s="37" t="n">
        <f aca="false">IF(D$3&lt;YEAR(LOM_ResynDate),SUMPRODUCT((YEAR('Bridge Period'!$C$38:$K$38)=D$3)*'Bridge Period'!$C$46:$K$46),-(IF(AND(D$3&gt;=YEAR(LOM_ResynDate),D$3-YEAR(LOM_ResynDate)+1&lt;=20),INDEX('LOM - Pro Forma'!$D$29:$W$29,D$3-YEAR(LOM_ResynDate)+1),0))-(IF(AND(D$3&gt;=YEAR(LOM_ResynDate),D$3-YEAR(LOM_ResynDate)+1&lt;=20),INDEX('LOM - Pro Forma'!$D$30:$W$30,D$3-YEAR(LOM_ResynDate)+1),0)))</f>
        <v>-286012.68</v>
      </c>
      <c r="E29" s="37" t="n">
        <f aca="false">IF(E$3&lt;YEAR(LOM_ResynDate),SUMPRODUCT((YEAR('Bridge Period'!$C$38:$K$38)=E$3)*'Bridge Period'!$C$46:$K$46),-(IF(AND(E$3&gt;=YEAR(LOM_ResynDate),E$3-YEAR(LOM_ResynDate)+1&lt;=20),INDEX('LOM - Pro Forma'!$D$29:$W$29,E$3-YEAR(LOM_ResynDate)+1),0))-(IF(AND(E$3&gt;=YEAR(LOM_ResynDate),E$3-YEAR(LOM_ResynDate)+1&lt;=20),INDEX('LOM - Pro Forma'!$D$30:$W$30,E$3-YEAR(LOM_ResynDate)+1),0)))</f>
        <v>-238343.9</v>
      </c>
      <c r="F29" s="37" t="n">
        <f aca="false">IF(F$3&lt;YEAR(LOM_ResynDate),SUMPRODUCT((YEAR('Bridge Period'!$C$38:$K$38)=F$3)*'Bridge Period'!$C$46:$K$46),-(IF(AND(F$3&gt;=YEAR(LOM_ResynDate),F$3-YEAR(LOM_ResynDate)+1&lt;=20),INDEX('LOM - Pro Forma'!$D$29:$W$29,F$3-YEAR(LOM_ResynDate)+1),0))-(IF(AND(F$3&gt;=YEAR(LOM_ResynDate),F$3-YEAR(LOM_ResynDate)+1&lt;=20),INDEX('LOM - Pro Forma'!$D$30:$W$30,F$3-YEAR(LOM_ResynDate)+1),0)))</f>
        <v>-533126.841714694</v>
      </c>
      <c r="G29" s="37" t="n">
        <f aca="false">IF(G$3&lt;YEAR(LOM_ResynDate),SUMPRODUCT((YEAR('Bridge Period'!$C$38:$K$38)=G$3)*'Bridge Period'!$C$46:$K$46),-(IF(AND(G$3&gt;=YEAR(LOM_ResynDate),G$3-YEAR(LOM_ResynDate)+1&lt;=20),INDEX('LOM - Pro Forma'!$D$29:$W$29,G$3-YEAR(LOM_ResynDate)+1),0))-(IF(AND(G$3&gt;=YEAR(LOM_ResynDate),G$3-YEAR(LOM_ResynDate)+1&lt;=20),INDEX('LOM - Pro Forma'!$D$30:$W$30,G$3-YEAR(LOM_ResynDate)+1),0)))</f>
        <v>-533126.841714694</v>
      </c>
      <c r="H29" s="37" t="n">
        <f aca="false">IF(H$3&lt;YEAR(LOM_ResynDate),SUMPRODUCT((YEAR('Bridge Period'!$C$38:$K$38)=H$3)*'Bridge Period'!$C$46:$K$46),-(IF(AND(H$3&gt;=YEAR(LOM_ResynDate),H$3-YEAR(LOM_ResynDate)+1&lt;=20),INDEX('LOM - Pro Forma'!$D$29:$W$29,H$3-YEAR(LOM_ResynDate)+1),0))-(IF(AND(H$3&gt;=YEAR(LOM_ResynDate),H$3-YEAR(LOM_ResynDate)+1&lt;=20),INDEX('LOM - Pro Forma'!$D$30:$W$30,H$3-YEAR(LOM_ResynDate)+1),0)))</f>
        <v>-533126.841714694</v>
      </c>
      <c r="I29" s="37" t="n">
        <f aca="false">IF(I$3&lt;YEAR(LOM_ResynDate),SUMPRODUCT((YEAR('Bridge Period'!$C$38:$K$38)=I$3)*'Bridge Period'!$C$46:$K$46),-(IF(AND(I$3&gt;=YEAR(LOM_ResynDate),I$3-YEAR(LOM_ResynDate)+1&lt;=20),INDEX('LOM - Pro Forma'!$D$29:$W$29,I$3-YEAR(LOM_ResynDate)+1),0))-(IF(AND(I$3&gt;=YEAR(LOM_ResynDate),I$3-YEAR(LOM_ResynDate)+1&lt;=20),INDEX('LOM - Pro Forma'!$D$30:$W$30,I$3-YEAR(LOM_ResynDate)+1),0)))</f>
        <v>-533126.841714694</v>
      </c>
      <c r="J29" s="37" t="n">
        <f aca="false">IF(J$3&lt;YEAR(LOM_ResynDate),SUMPRODUCT((YEAR('Bridge Period'!$C$38:$K$38)=J$3)*'Bridge Period'!$C$46:$K$46),-(IF(AND(J$3&gt;=YEAR(LOM_ResynDate),J$3-YEAR(LOM_ResynDate)+1&lt;=20),INDEX('LOM - Pro Forma'!$D$29:$W$29,J$3-YEAR(LOM_ResynDate)+1),0))-(IF(AND(J$3&gt;=YEAR(LOM_ResynDate),J$3-YEAR(LOM_ResynDate)+1&lt;=20),INDEX('LOM - Pro Forma'!$D$30:$W$30,J$3-YEAR(LOM_ResynDate)+1),0)))</f>
        <v>-533126.841714694</v>
      </c>
      <c r="K29" s="37" t="n">
        <f aca="false">IF(K$3&lt;YEAR(LOM_ResynDate),SUMPRODUCT((YEAR('Bridge Period'!$C$38:$K$38)=K$3)*'Bridge Period'!$C$46:$K$46),-(IF(AND(K$3&gt;=YEAR(LOM_ResynDate),K$3-YEAR(LOM_ResynDate)+1&lt;=20),INDEX('LOM - Pro Forma'!$D$29:$W$29,K$3-YEAR(LOM_ResynDate)+1),0))-(IF(AND(K$3&gt;=YEAR(LOM_ResynDate),K$3-YEAR(LOM_ResynDate)+1&lt;=20),INDEX('LOM - Pro Forma'!$D$30:$W$30,K$3-YEAR(LOM_ResynDate)+1),0)))</f>
        <v>-533126.841714694</v>
      </c>
      <c r="L29" s="37" t="n">
        <f aca="false">IF(L$3&lt;YEAR(LOM_ResynDate),SUMPRODUCT((YEAR('Bridge Period'!$C$38:$K$38)=L$3)*'Bridge Period'!$C$46:$K$46),-(IF(AND(L$3&gt;=YEAR(LOM_ResynDate),L$3-YEAR(LOM_ResynDate)+1&lt;=20),INDEX('LOM - Pro Forma'!$D$29:$W$29,L$3-YEAR(LOM_ResynDate)+1),0))-(IF(AND(L$3&gt;=YEAR(LOM_ResynDate),L$3-YEAR(LOM_ResynDate)+1&lt;=20),INDEX('LOM - Pro Forma'!$D$30:$W$30,L$3-YEAR(LOM_ResynDate)+1),0)))</f>
        <v>-533126.841714694</v>
      </c>
      <c r="M29" s="37" t="n">
        <f aca="false">IF(M$3&lt;YEAR(LOM_ResynDate),SUMPRODUCT((YEAR('Bridge Period'!$C$38:$K$38)=M$3)*'Bridge Period'!$C$46:$K$46),-(IF(AND(M$3&gt;=YEAR(LOM_ResynDate),M$3-YEAR(LOM_ResynDate)+1&lt;=20),INDEX('LOM - Pro Forma'!$D$29:$W$29,M$3-YEAR(LOM_ResynDate)+1),0))-(IF(AND(M$3&gt;=YEAR(LOM_ResynDate),M$3-YEAR(LOM_ResynDate)+1&lt;=20),INDEX('LOM - Pro Forma'!$D$30:$W$30,M$3-YEAR(LOM_ResynDate)+1),0)))</f>
        <v>-533126.841714694</v>
      </c>
      <c r="N29" s="37" t="n">
        <f aca="false">IF(N$3&lt;YEAR(LOM_ResynDate),SUMPRODUCT((YEAR('Bridge Period'!$C$38:$K$38)=N$3)*'Bridge Period'!$C$46:$K$46),-(IF(AND(N$3&gt;=YEAR(LOM_ResynDate),N$3-YEAR(LOM_ResynDate)+1&lt;=20),INDEX('LOM - Pro Forma'!$D$29:$W$29,N$3-YEAR(LOM_ResynDate)+1),0))-(IF(AND(N$3&gt;=YEAR(LOM_ResynDate),N$3-YEAR(LOM_ResynDate)+1&lt;=20),INDEX('LOM - Pro Forma'!$D$30:$W$30,N$3-YEAR(LOM_ResynDate)+1),0)))</f>
        <v>-533126.841714694</v>
      </c>
      <c r="O29" s="37" t="n">
        <f aca="false">IF(O$3&lt;YEAR(LOM_ResynDate),SUMPRODUCT((YEAR('Bridge Period'!$C$38:$K$38)=O$3)*'Bridge Period'!$C$46:$K$46),-(IF(AND(O$3&gt;=YEAR(LOM_ResynDate),O$3-YEAR(LOM_ResynDate)+1&lt;=20),INDEX('LOM - Pro Forma'!$D$29:$W$29,O$3-YEAR(LOM_ResynDate)+1),0))-(IF(AND(O$3&gt;=YEAR(LOM_ResynDate),O$3-YEAR(LOM_ResynDate)+1&lt;=20),INDEX('LOM - Pro Forma'!$D$30:$W$30,O$3-YEAR(LOM_ResynDate)+1),0)))</f>
        <v>-533126.841714694</v>
      </c>
      <c r="P29" s="37" t="n">
        <f aca="false">IF(P$3&lt;YEAR(LOM_ResynDate),SUMPRODUCT((YEAR('Bridge Period'!$C$38:$K$38)=P$3)*'Bridge Period'!$C$46:$K$46),-(IF(AND(P$3&gt;=YEAR(LOM_ResynDate),P$3-YEAR(LOM_ResynDate)+1&lt;=20),INDEX('LOM - Pro Forma'!$D$29:$W$29,P$3-YEAR(LOM_ResynDate)+1),0))-(IF(AND(P$3&gt;=YEAR(LOM_ResynDate),P$3-YEAR(LOM_ResynDate)+1&lt;=20),INDEX('LOM - Pro Forma'!$D$30:$W$30,P$3-YEAR(LOM_ResynDate)+1),0)))</f>
        <v>-533126.841714694</v>
      </c>
      <c r="Q29" s="37" t="n">
        <f aca="false">IF(Q$3&lt;YEAR(LOM_ResynDate),SUMPRODUCT((YEAR('Bridge Period'!$C$38:$K$38)=Q$3)*'Bridge Period'!$C$46:$K$46),-(IF(AND(Q$3&gt;=YEAR(LOM_ResynDate),Q$3-YEAR(LOM_ResynDate)+1&lt;=20),INDEX('LOM - Pro Forma'!$D$29:$W$29,Q$3-YEAR(LOM_ResynDate)+1),0))-(IF(AND(Q$3&gt;=YEAR(LOM_ResynDate),Q$3-YEAR(LOM_ResynDate)+1&lt;=20),INDEX('LOM - Pro Forma'!$D$30:$W$30,Q$3-YEAR(LOM_ResynDate)+1),0)))</f>
        <v>-533126.841714694</v>
      </c>
      <c r="R29" s="37" t="n">
        <f aca="false">IF(R$3&lt;YEAR(LOM_ResynDate),SUMPRODUCT((YEAR('Bridge Period'!$C$38:$K$38)=R$3)*'Bridge Period'!$C$46:$K$46),-(IF(AND(R$3&gt;=YEAR(LOM_ResynDate),R$3-YEAR(LOM_ResynDate)+1&lt;=20),INDEX('LOM - Pro Forma'!$D$29:$W$29,R$3-YEAR(LOM_ResynDate)+1),0))-(IF(AND(R$3&gt;=YEAR(LOM_ResynDate),R$3-YEAR(LOM_ResynDate)+1&lt;=20),INDEX('LOM - Pro Forma'!$D$30:$W$30,R$3-YEAR(LOM_ResynDate)+1),0)))</f>
        <v>-533126.841714694</v>
      </c>
      <c r="S29" s="37" t="n">
        <f aca="false">IF(S$3&lt;YEAR(LOM_ResynDate),SUMPRODUCT((YEAR('Bridge Period'!$C$38:$K$38)=S$3)*'Bridge Period'!$C$46:$K$46),-(IF(AND(S$3&gt;=YEAR(LOM_ResynDate),S$3-YEAR(LOM_ResynDate)+1&lt;=20),INDEX('LOM - Pro Forma'!$D$29:$W$29,S$3-YEAR(LOM_ResynDate)+1),0))-(IF(AND(S$3&gt;=YEAR(LOM_ResynDate),S$3-YEAR(LOM_ResynDate)+1&lt;=20),INDEX('LOM - Pro Forma'!$D$30:$W$30,S$3-YEAR(LOM_ResynDate)+1),0)))</f>
        <v>-533126.841714694</v>
      </c>
      <c r="T29" s="37" t="n">
        <f aca="false">IF(T$3&lt;YEAR(LOM_ResynDate),SUMPRODUCT((YEAR('Bridge Period'!$C$38:$K$38)=T$3)*'Bridge Period'!$C$46:$K$46),-(IF(AND(T$3&gt;=YEAR(LOM_ResynDate),T$3-YEAR(LOM_ResynDate)+1&lt;=20),INDEX('LOM - Pro Forma'!$D$29:$W$29,T$3-YEAR(LOM_ResynDate)+1),0))-(IF(AND(T$3&gt;=YEAR(LOM_ResynDate),T$3-YEAR(LOM_ResynDate)+1&lt;=20),INDEX('LOM - Pro Forma'!$D$30:$W$30,T$3-YEAR(LOM_ResynDate)+1),0)))</f>
        <v>-533126.841714694</v>
      </c>
      <c r="U29" s="37" t="n">
        <f aca="false">IF(U$3&lt;YEAR(LOM_ResynDate),SUMPRODUCT((YEAR('Bridge Period'!$C$38:$K$38)=U$3)*'Bridge Period'!$C$46:$K$46),-(IF(AND(U$3&gt;=YEAR(LOM_ResynDate),U$3-YEAR(LOM_ResynDate)+1&lt;=20),INDEX('LOM - Pro Forma'!$D$29:$W$29,U$3-YEAR(LOM_ResynDate)+1),0))-(IF(AND(U$3&gt;=YEAR(LOM_ResynDate),U$3-YEAR(LOM_ResynDate)+1&lt;=20),INDEX('LOM - Pro Forma'!$D$30:$W$30,U$3-YEAR(LOM_ResynDate)+1),0)))</f>
        <v>-533126.841714694</v>
      </c>
      <c r="V29" s="37" t="n">
        <f aca="false">IF(V$3&lt;YEAR(LOM_ResynDate),SUMPRODUCT((YEAR('Bridge Period'!$C$38:$K$38)=V$3)*'Bridge Period'!$C$46:$K$46),-(IF(AND(V$3&gt;=YEAR(LOM_ResynDate),V$3-YEAR(LOM_ResynDate)+1&lt;=20),INDEX('LOM - Pro Forma'!$D$29:$W$29,V$3-YEAR(LOM_ResynDate)+1),0))-(IF(AND(V$3&gt;=YEAR(LOM_ResynDate),V$3-YEAR(LOM_ResynDate)+1&lt;=20),INDEX('LOM - Pro Forma'!$D$30:$W$30,V$3-YEAR(LOM_ResynDate)+1),0)))</f>
        <v>-533126.841714694</v>
      </c>
      <c r="W29" s="37" t="n">
        <f aca="false">IF(W$3&lt;YEAR(LOM_ResynDate),SUMPRODUCT((YEAR('Bridge Period'!$C$38:$K$38)=W$3)*'Bridge Period'!$C$46:$K$46),-(IF(AND(W$3&gt;=YEAR(LOM_ResynDate),W$3-YEAR(LOM_ResynDate)+1&lt;=20),INDEX('LOM - Pro Forma'!$D$29:$W$29,W$3-YEAR(LOM_ResynDate)+1),0))-(IF(AND(W$3&gt;=YEAR(LOM_ResynDate),W$3-YEAR(LOM_ResynDate)+1&lt;=20),INDEX('LOM - Pro Forma'!$D$30:$W$30,W$3-YEAR(LOM_ResynDate)+1),0)))</f>
        <v>-533126.841714694</v>
      </c>
    </row>
    <row r="30" customFormat="false" ht="15" hidden="false" customHeight="true" outlineLevel="0" collapsed="false">
      <c r="B30" s="13" t="s">
        <v>23</v>
      </c>
      <c r="C30" s="37" t="n">
        <f aca="false">IF(C$3&lt;YEAR(SA_ResynDate),SUMPRODUCT((YEAR('Bridge Period'!$C$54:$K$54)=C$3)*'Bridge Period'!$C$62:$K$62),-(IF(AND(C$3&gt;=YEAR(SA_ResynDate),C$3-YEAR(SA_ResynDate)+1&lt;=20),INDEX('SA - Pro Forma'!$D$29:$W$29,C$3-YEAR(SA_ResynDate)+1),0))-(IF(AND(C$3&gt;=YEAR(SA_ResynDate),C$3-YEAR(SA_ResynDate)+1&lt;=20),INDEX('SA - Pro Forma'!$D$30:$W$30,C$3-YEAR(SA_ResynDate)+1),0)))</f>
        <v>-630844.955225489</v>
      </c>
      <c r="D30" s="37" t="n">
        <f aca="false">IF(D$3&lt;YEAR(SA_ResynDate),SUMPRODUCT((YEAR('Bridge Period'!$C$54:$K$54)=D$3)*'Bridge Period'!$C$62:$K$62),-(IF(AND(D$3&gt;=YEAR(SA_ResynDate),D$3-YEAR(SA_ResynDate)+1&lt;=20),INDEX('SA - Pro Forma'!$D$29:$W$29,D$3-YEAR(SA_ResynDate)+1),0))-(IF(AND(D$3&gt;=YEAR(SA_ResynDate),D$3-YEAR(SA_ResynDate)+1&lt;=20),INDEX('SA - Pro Forma'!$D$30:$W$30,D$3-YEAR(SA_ResynDate)+1),0)))</f>
        <v>-630844.955225489</v>
      </c>
      <c r="E30" s="37" t="n">
        <f aca="false">IF(E$3&lt;YEAR(SA_ResynDate),SUMPRODUCT((YEAR('Bridge Period'!$C$54:$K$54)=E$3)*'Bridge Period'!$C$62:$K$62),-(IF(AND(E$3&gt;=YEAR(SA_ResynDate),E$3-YEAR(SA_ResynDate)+1&lt;=20),INDEX('SA - Pro Forma'!$D$29:$W$29,E$3-YEAR(SA_ResynDate)+1),0))-(IF(AND(E$3&gt;=YEAR(SA_ResynDate),E$3-YEAR(SA_ResynDate)+1&lt;=20),INDEX('SA - Pro Forma'!$D$30:$W$30,E$3-YEAR(SA_ResynDate)+1),0)))</f>
        <v>-630844.955225489</v>
      </c>
      <c r="F30" s="37" t="n">
        <f aca="false">IF(F$3&lt;YEAR(SA_ResynDate),SUMPRODUCT((YEAR('Bridge Period'!$C$54:$K$54)=F$3)*'Bridge Period'!$C$62:$K$62),-(IF(AND(F$3&gt;=YEAR(SA_ResynDate),F$3-YEAR(SA_ResynDate)+1&lt;=20),INDEX('SA - Pro Forma'!$D$29:$W$29,F$3-YEAR(SA_ResynDate)+1),0))-(IF(AND(F$3&gt;=YEAR(SA_ResynDate),F$3-YEAR(SA_ResynDate)+1&lt;=20),INDEX('SA - Pro Forma'!$D$30:$W$30,F$3-YEAR(SA_ResynDate)+1),0)))</f>
        <v>-630844.955225489</v>
      </c>
      <c r="G30" s="37" t="n">
        <f aca="false">IF(G$3&lt;YEAR(SA_ResynDate),SUMPRODUCT((YEAR('Bridge Period'!$C$54:$K$54)=G$3)*'Bridge Period'!$C$62:$K$62),-(IF(AND(G$3&gt;=YEAR(SA_ResynDate),G$3-YEAR(SA_ResynDate)+1&lt;=20),INDEX('SA - Pro Forma'!$D$29:$W$29,G$3-YEAR(SA_ResynDate)+1),0))-(IF(AND(G$3&gt;=YEAR(SA_ResynDate),G$3-YEAR(SA_ResynDate)+1&lt;=20),INDEX('SA - Pro Forma'!$D$30:$W$30,G$3-YEAR(SA_ResynDate)+1),0)))</f>
        <v>-630844.955225489</v>
      </c>
      <c r="H30" s="37" t="n">
        <f aca="false">IF(H$3&lt;YEAR(SA_ResynDate),SUMPRODUCT((YEAR('Bridge Period'!$C$54:$K$54)=H$3)*'Bridge Period'!$C$62:$K$62),-(IF(AND(H$3&gt;=YEAR(SA_ResynDate),H$3-YEAR(SA_ResynDate)+1&lt;=20),INDEX('SA - Pro Forma'!$D$29:$W$29,H$3-YEAR(SA_ResynDate)+1),0))-(IF(AND(H$3&gt;=YEAR(SA_ResynDate),H$3-YEAR(SA_ResynDate)+1&lt;=20),INDEX('SA - Pro Forma'!$D$30:$W$30,H$3-YEAR(SA_ResynDate)+1),0)))</f>
        <v>-630844.955225489</v>
      </c>
      <c r="I30" s="37" t="n">
        <f aca="false">IF(I$3&lt;YEAR(SA_ResynDate),SUMPRODUCT((YEAR('Bridge Period'!$C$54:$K$54)=I$3)*'Bridge Period'!$C$62:$K$62),-(IF(AND(I$3&gt;=YEAR(SA_ResynDate),I$3-YEAR(SA_ResynDate)+1&lt;=20),INDEX('SA - Pro Forma'!$D$29:$W$29,I$3-YEAR(SA_ResynDate)+1),0))-(IF(AND(I$3&gt;=YEAR(SA_ResynDate),I$3-YEAR(SA_ResynDate)+1&lt;=20),INDEX('SA - Pro Forma'!$D$30:$W$30,I$3-YEAR(SA_ResynDate)+1),0)))</f>
        <v>-630844.955225489</v>
      </c>
      <c r="J30" s="37" t="n">
        <f aca="false">IF(J$3&lt;YEAR(SA_ResynDate),SUMPRODUCT((YEAR('Bridge Period'!$C$54:$K$54)=J$3)*'Bridge Period'!$C$62:$K$62),-(IF(AND(J$3&gt;=YEAR(SA_ResynDate),J$3-YEAR(SA_ResynDate)+1&lt;=20),INDEX('SA - Pro Forma'!$D$29:$W$29,J$3-YEAR(SA_ResynDate)+1),0))-(IF(AND(J$3&gt;=YEAR(SA_ResynDate),J$3-YEAR(SA_ResynDate)+1&lt;=20),INDEX('SA - Pro Forma'!$D$30:$W$30,J$3-YEAR(SA_ResynDate)+1),0)))</f>
        <v>-630844.955225489</v>
      </c>
      <c r="K30" s="37" t="n">
        <f aca="false">IF(K$3&lt;YEAR(SA_ResynDate),SUMPRODUCT((YEAR('Bridge Period'!$C$54:$K$54)=K$3)*'Bridge Period'!$C$62:$K$62),-(IF(AND(K$3&gt;=YEAR(SA_ResynDate),K$3-YEAR(SA_ResynDate)+1&lt;=20),INDEX('SA - Pro Forma'!$D$29:$W$29,K$3-YEAR(SA_ResynDate)+1),0))-(IF(AND(K$3&gt;=YEAR(SA_ResynDate),K$3-YEAR(SA_ResynDate)+1&lt;=20),INDEX('SA - Pro Forma'!$D$30:$W$30,K$3-YEAR(SA_ResynDate)+1),0)))</f>
        <v>-630844.955225489</v>
      </c>
      <c r="L30" s="37" t="n">
        <f aca="false">IF(L$3&lt;YEAR(SA_ResynDate),SUMPRODUCT((YEAR('Bridge Period'!$C$54:$K$54)=L$3)*'Bridge Period'!$C$62:$K$62),-(IF(AND(L$3&gt;=YEAR(SA_ResynDate),L$3-YEAR(SA_ResynDate)+1&lt;=20),INDEX('SA - Pro Forma'!$D$29:$W$29,L$3-YEAR(SA_ResynDate)+1),0))-(IF(AND(L$3&gt;=YEAR(SA_ResynDate),L$3-YEAR(SA_ResynDate)+1&lt;=20),INDEX('SA - Pro Forma'!$D$30:$W$30,L$3-YEAR(SA_ResynDate)+1),0)))</f>
        <v>-630844.955225489</v>
      </c>
      <c r="M30" s="37" t="n">
        <f aca="false">IF(M$3&lt;YEAR(SA_ResynDate),SUMPRODUCT((YEAR('Bridge Period'!$C$54:$K$54)=M$3)*'Bridge Period'!$C$62:$K$62),-(IF(AND(M$3&gt;=YEAR(SA_ResynDate),M$3-YEAR(SA_ResynDate)+1&lt;=20),INDEX('SA - Pro Forma'!$D$29:$W$29,M$3-YEAR(SA_ResynDate)+1),0))-(IF(AND(M$3&gt;=YEAR(SA_ResynDate),M$3-YEAR(SA_ResynDate)+1&lt;=20),INDEX('SA - Pro Forma'!$D$30:$W$30,M$3-YEAR(SA_ResynDate)+1),0)))</f>
        <v>-630844.955225489</v>
      </c>
      <c r="N30" s="37" t="n">
        <f aca="false">IF(N$3&lt;YEAR(SA_ResynDate),SUMPRODUCT((YEAR('Bridge Period'!$C$54:$K$54)=N$3)*'Bridge Period'!$C$62:$K$62),-(IF(AND(N$3&gt;=YEAR(SA_ResynDate),N$3-YEAR(SA_ResynDate)+1&lt;=20),INDEX('SA - Pro Forma'!$D$29:$W$29,N$3-YEAR(SA_ResynDate)+1),0))-(IF(AND(N$3&gt;=YEAR(SA_ResynDate),N$3-YEAR(SA_ResynDate)+1&lt;=20),INDEX('SA - Pro Forma'!$D$30:$W$30,N$3-YEAR(SA_ResynDate)+1),0)))</f>
        <v>-630844.955225489</v>
      </c>
      <c r="O30" s="37" t="n">
        <f aca="false">IF(O$3&lt;YEAR(SA_ResynDate),SUMPRODUCT((YEAR('Bridge Period'!$C$54:$K$54)=O$3)*'Bridge Period'!$C$62:$K$62),-(IF(AND(O$3&gt;=YEAR(SA_ResynDate),O$3-YEAR(SA_ResynDate)+1&lt;=20),INDEX('SA - Pro Forma'!$D$29:$W$29,O$3-YEAR(SA_ResynDate)+1),0))-(IF(AND(O$3&gt;=YEAR(SA_ResynDate),O$3-YEAR(SA_ResynDate)+1&lt;=20),INDEX('SA - Pro Forma'!$D$30:$W$30,O$3-YEAR(SA_ResynDate)+1),0)))</f>
        <v>-630844.955225489</v>
      </c>
      <c r="P30" s="37" t="n">
        <f aca="false">IF(P$3&lt;YEAR(SA_ResynDate),SUMPRODUCT((YEAR('Bridge Period'!$C$54:$K$54)=P$3)*'Bridge Period'!$C$62:$K$62),-(IF(AND(P$3&gt;=YEAR(SA_ResynDate),P$3-YEAR(SA_ResynDate)+1&lt;=20),INDEX('SA - Pro Forma'!$D$29:$W$29,P$3-YEAR(SA_ResynDate)+1),0))-(IF(AND(P$3&gt;=YEAR(SA_ResynDate),P$3-YEAR(SA_ResynDate)+1&lt;=20),INDEX('SA - Pro Forma'!$D$30:$W$30,P$3-YEAR(SA_ResynDate)+1),0)))</f>
        <v>-630844.955225489</v>
      </c>
      <c r="Q30" s="37" t="n">
        <f aca="false">IF(Q$3&lt;YEAR(SA_ResynDate),SUMPRODUCT((YEAR('Bridge Period'!$C$54:$K$54)=Q$3)*'Bridge Period'!$C$62:$K$62),-(IF(AND(Q$3&gt;=YEAR(SA_ResynDate),Q$3-YEAR(SA_ResynDate)+1&lt;=20),INDEX('SA - Pro Forma'!$D$29:$W$29,Q$3-YEAR(SA_ResynDate)+1),0))-(IF(AND(Q$3&gt;=YEAR(SA_ResynDate),Q$3-YEAR(SA_ResynDate)+1&lt;=20),INDEX('SA - Pro Forma'!$D$30:$W$30,Q$3-YEAR(SA_ResynDate)+1),0)))</f>
        <v>-630844.955225489</v>
      </c>
      <c r="R30" s="37" t="n">
        <f aca="false">IF(R$3&lt;YEAR(SA_ResynDate),SUMPRODUCT((YEAR('Bridge Period'!$C$54:$K$54)=R$3)*'Bridge Period'!$C$62:$K$62),-(IF(AND(R$3&gt;=YEAR(SA_ResynDate),R$3-YEAR(SA_ResynDate)+1&lt;=20),INDEX('SA - Pro Forma'!$D$29:$W$29,R$3-YEAR(SA_ResynDate)+1),0))-(IF(AND(R$3&gt;=YEAR(SA_ResynDate),R$3-YEAR(SA_ResynDate)+1&lt;=20),INDEX('SA - Pro Forma'!$D$30:$W$30,R$3-YEAR(SA_ResynDate)+1),0)))</f>
        <v>-630844.955225489</v>
      </c>
      <c r="S30" s="37" t="n">
        <f aca="false">IF(S$3&lt;YEAR(SA_ResynDate),SUMPRODUCT((YEAR('Bridge Period'!$C$54:$K$54)=S$3)*'Bridge Period'!$C$62:$K$62),-(IF(AND(S$3&gt;=YEAR(SA_ResynDate),S$3-YEAR(SA_ResynDate)+1&lt;=20),INDEX('SA - Pro Forma'!$D$29:$W$29,S$3-YEAR(SA_ResynDate)+1),0))-(IF(AND(S$3&gt;=YEAR(SA_ResynDate),S$3-YEAR(SA_ResynDate)+1&lt;=20),INDEX('SA - Pro Forma'!$D$30:$W$30,S$3-YEAR(SA_ResynDate)+1),0)))</f>
        <v>-630844.955225489</v>
      </c>
      <c r="T30" s="37" t="n">
        <f aca="false">IF(T$3&lt;YEAR(SA_ResynDate),SUMPRODUCT((YEAR('Bridge Period'!$C$54:$K$54)=T$3)*'Bridge Period'!$C$62:$K$62),-(IF(AND(T$3&gt;=YEAR(SA_ResynDate),T$3-YEAR(SA_ResynDate)+1&lt;=20),INDEX('SA - Pro Forma'!$D$29:$W$29,T$3-YEAR(SA_ResynDate)+1),0))-(IF(AND(T$3&gt;=YEAR(SA_ResynDate),T$3-YEAR(SA_ResynDate)+1&lt;=20),INDEX('SA - Pro Forma'!$D$30:$W$30,T$3-YEAR(SA_ResynDate)+1),0)))</f>
        <v>-630844.955225489</v>
      </c>
      <c r="U30" s="37" t="n">
        <f aca="false">IF(U$3&lt;YEAR(SA_ResynDate),SUMPRODUCT((YEAR('Bridge Period'!$C$54:$K$54)=U$3)*'Bridge Period'!$C$62:$K$62),-(IF(AND(U$3&gt;=YEAR(SA_ResynDate),U$3-YEAR(SA_ResynDate)+1&lt;=20),INDEX('SA - Pro Forma'!$D$29:$W$29,U$3-YEAR(SA_ResynDate)+1),0))-(IF(AND(U$3&gt;=YEAR(SA_ResynDate),U$3-YEAR(SA_ResynDate)+1&lt;=20),INDEX('SA - Pro Forma'!$D$30:$W$30,U$3-YEAR(SA_ResynDate)+1),0)))</f>
        <v>-630844.955225489</v>
      </c>
      <c r="V30" s="37" t="n">
        <f aca="false">IF(V$3&lt;YEAR(SA_ResynDate),SUMPRODUCT((YEAR('Bridge Period'!$C$54:$K$54)=V$3)*'Bridge Period'!$C$62:$K$62),-(IF(AND(V$3&gt;=YEAR(SA_ResynDate),V$3-YEAR(SA_ResynDate)+1&lt;=20),INDEX('SA - Pro Forma'!$D$29:$W$29,V$3-YEAR(SA_ResynDate)+1),0))-(IF(AND(V$3&gt;=YEAR(SA_ResynDate),V$3-YEAR(SA_ResynDate)+1&lt;=20),INDEX('SA - Pro Forma'!$D$30:$W$30,V$3-YEAR(SA_ResynDate)+1),0)))</f>
        <v>-630844.955225489</v>
      </c>
      <c r="W30" s="37" t="n">
        <f aca="false">IF(W$3&lt;YEAR(SA_ResynDate),SUMPRODUCT((YEAR('Bridge Period'!$C$54:$K$54)=W$3)*'Bridge Period'!$C$62:$K$62),-(IF(AND(W$3&gt;=YEAR(SA_ResynDate),W$3-YEAR(SA_ResynDate)+1&lt;=20),INDEX('SA - Pro Forma'!$D$29:$W$29,W$3-YEAR(SA_ResynDate)+1),0))-(IF(AND(W$3&gt;=YEAR(SA_ResynDate),W$3-YEAR(SA_ResynDate)+1&lt;=20),INDEX('SA - Pro Forma'!$D$30:$W$30,W$3-YEAR(SA_ResynDate)+1),0)))</f>
        <v>-0</v>
      </c>
    </row>
    <row r="31" customFormat="false" ht="15" hidden="false" customHeight="true" outlineLevel="0" collapsed="false">
      <c r="B31" s="19" t="s">
        <v>858</v>
      </c>
      <c r="C31" s="84" t="n">
        <f aca="false">SUM(C27:C30)</f>
        <v>-773474.285225489</v>
      </c>
      <c r="D31" s="84" t="n">
        <f aca="false">SUM(D27:D30)</f>
        <v>-1184368.99522549</v>
      </c>
      <c r="E31" s="84" t="n">
        <f aca="false">SUM(E27:E30)</f>
        <v>-1254655.39426424</v>
      </c>
      <c r="F31" s="84" t="n">
        <f aca="false">SUM(F27:F30)</f>
        <v>-1841053.61191557</v>
      </c>
      <c r="G31" s="84" t="n">
        <f aca="false">SUM(G27:G30)</f>
        <v>-1841053.61191557</v>
      </c>
      <c r="H31" s="84" t="n">
        <f aca="false">SUM(H27:H30)</f>
        <v>-1841053.61191557</v>
      </c>
      <c r="I31" s="84" t="n">
        <f aca="false">SUM(I27:I30)</f>
        <v>-1841053.61191557</v>
      </c>
      <c r="J31" s="84" t="n">
        <f aca="false">SUM(J27:J30)</f>
        <v>-1841053.61191557</v>
      </c>
      <c r="K31" s="84" t="n">
        <f aca="false">SUM(K27:K30)</f>
        <v>-1841053.61191557</v>
      </c>
      <c r="L31" s="84" t="n">
        <f aca="false">SUM(L27:L30)</f>
        <v>-1841053.61191557</v>
      </c>
      <c r="M31" s="84" t="n">
        <f aca="false">SUM(M27:M30)</f>
        <v>-1841053.61191557</v>
      </c>
      <c r="N31" s="84" t="n">
        <f aca="false">SUM(N27:N30)</f>
        <v>-1841053.61191557</v>
      </c>
      <c r="O31" s="84" t="n">
        <f aca="false">SUM(O27:O30)</f>
        <v>-1841053.61191557</v>
      </c>
      <c r="P31" s="84" t="n">
        <f aca="false">SUM(P27:P30)</f>
        <v>-1841053.61191557</v>
      </c>
      <c r="Q31" s="84" t="n">
        <f aca="false">SUM(Q27:Q30)</f>
        <v>-1841053.61191557</v>
      </c>
      <c r="R31" s="84" t="n">
        <f aca="false">SUM(R27:R30)</f>
        <v>-1841053.61191557</v>
      </c>
      <c r="S31" s="84" t="n">
        <f aca="false">SUM(S27:S30)</f>
        <v>-1841053.61191557</v>
      </c>
      <c r="T31" s="84" t="n">
        <f aca="false">SUM(T27:T30)</f>
        <v>-1841053.61191557</v>
      </c>
      <c r="U31" s="84" t="n">
        <f aca="false">SUM(U27:U30)</f>
        <v>-1841053.61191557</v>
      </c>
      <c r="V31" s="84" t="n">
        <f aca="false">SUM(V27:V30)</f>
        <v>-1841053.61191557</v>
      </c>
      <c r="W31" s="84" t="n">
        <f aca="false">SUM(W27:W30)</f>
        <v>-1210208.65669008</v>
      </c>
    </row>
    <row r="33" customFormat="false" ht="15" hidden="false" customHeight="true" outlineLevel="0" collapsed="false">
      <c r="B33" s="63" t="s">
        <v>868</v>
      </c>
    </row>
    <row r="34" customFormat="false" ht="15" hidden="false" customHeight="true" outlineLevel="0" collapsed="false">
      <c r="B34" s="69" t="s">
        <v>20</v>
      </c>
      <c r="C34" s="102" t="n">
        <f aca="false">IF(C27=0,"",-C20/C27)</f>
        <v>0.631165605855178</v>
      </c>
      <c r="D34" s="102" t="n">
        <f aca="false">IF(D27=0,"",-D20/D27)</f>
        <v>0.55467564402571</v>
      </c>
      <c r="E34" s="102" t="n">
        <f aca="false">IF(E27=0,"",-E20/E27)</f>
        <v>0.812188163517695</v>
      </c>
      <c r="F34" s="102" t="n">
        <f aca="false">IF(F27=0,"",-F20/F27)</f>
        <v>0.979497796967505</v>
      </c>
      <c r="G34" s="102" t="n">
        <f aca="false">IF(G27=0,"",-G20/G27)</f>
        <v>0.941788949193984</v>
      </c>
      <c r="H34" s="102" t="n">
        <f aca="false">IF(H27=0,"",-H20/H27)</f>
        <v>0.901135776172747</v>
      </c>
      <c r="I34" s="102" t="n">
        <f aca="false">IF(I27=0,"",-I20/I27)</f>
        <v>0.857382650190367</v>
      </c>
      <c r="J34" s="102" t="n">
        <f aca="false">IF(J27=0,"",-J20/J27)</f>
        <v>0.810366014680266</v>
      </c>
      <c r="K34" s="102" t="n">
        <f aca="false">IF(K27=0,"",-K20/K27)</f>
        <v>0.759913965340614</v>
      </c>
      <c r="L34" s="102" t="n">
        <f aca="false">IF(L27=0,"",-L20/L27)</f>
        <v>0.70584580809823</v>
      </c>
      <c r="M34" s="102" t="n">
        <f aca="false">IF(M27=0,"",-M20/M27)</f>
        <v>0.647971592593762</v>
      </c>
      <c r="N34" s="102" t="n">
        <f aca="false">IF(N27=0,"",-N20/N27)</f>
        <v>0.586091619785921</v>
      </c>
      <c r="O34" s="102" t="n">
        <f aca="false">IF(O27=0,"",-O20/O27)</f>
        <v>0.51999592219056</v>
      </c>
      <c r="P34" s="102" t="n">
        <f aca="false">IF(P27=0,"",-P20/P27)</f>
        <v>0.449463715183455</v>
      </c>
      <c r="Q34" s="102" t="n">
        <f aca="false">IF(Q27=0,"",-Q20/Q27)</f>
        <v>0.374262817703608</v>
      </c>
      <c r="R34" s="102" t="n">
        <f aca="false">IF(R27=0,"",-R20/R27)</f>
        <v>0.294149040596421</v>
      </c>
      <c r="S34" s="102" t="n">
        <f aca="false">IF(S27=0,"",-S20/S27)</f>
        <v>0.208865540732769</v>
      </c>
      <c r="T34" s="102" t="n">
        <f aca="false">IF(T27=0,"",-T20/T27)</f>
        <v>0.118142138930645</v>
      </c>
      <c r="U34" s="102" t="n">
        <f aca="false">IF(U27=0,"",-U20/U27)</f>
        <v>0.0216945995901357</v>
      </c>
      <c r="V34" s="102" t="n">
        <f aca="false">IF(V27=0,"",-V20/V27)</f>
        <v>-0.0807761301702765</v>
      </c>
      <c r="W34" s="102" t="n">
        <f aca="false">IF(W27=0,"",-W20/W27)</f>
        <v>-0.189584724218114</v>
      </c>
    </row>
    <row r="35" customFormat="false" ht="15" hidden="false" customHeight="true" outlineLevel="0" collapsed="false">
      <c r="B35" s="69" t="s">
        <v>21</v>
      </c>
      <c r="C35" s="102" t="n">
        <f aca="false">IF(C28=0,"",-C21/C28)</f>
        <v>1.17511280508648</v>
      </c>
      <c r="D35" s="102" t="n">
        <f aca="false">IF(D28=0,"",-D21/D28)</f>
        <v>1.54158172695921</v>
      </c>
      <c r="E35" s="102" t="n">
        <f aca="false">IF(E28=0,"",-E21/E28)</f>
        <v>1.52654476517303</v>
      </c>
      <c r="F35" s="102" t="n">
        <f aca="false">IF(F28=0,"",-F21/F28)</f>
        <v>0.922748055191459</v>
      </c>
      <c r="G35" s="102" t="n">
        <f aca="false">IF(G28=0,"",-G21/G28)</f>
        <v>1.05355663319328</v>
      </c>
      <c r="H35" s="102" t="n">
        <f aca="false">IF(H28=0,"",-H21/H28)</f>
        <v>1.04257306313454</v>
      </c>
      <c r="I35" s="102" t="n">
        <f aca="false">IF(I28=0,"",-I21/I28)</f>
        <v>1.03015041727996</v>
      </c>
      <c r="J35" s="102" t="n">
        <f aca="false">IF(J28=0,"",-J21/J28)</f>
        <v>1.0162060588737</v>
      </c>
      <c r="K35" s="102" t="n">
        <f aca="false">IF(K28=0,"",-K21/K28)</f>
        <v>1.00065301249406</v>
      </c>
      <c r="L35" s="102" t="n">
        <f aca="false">IF(L28=0,"",-L21/L28)</f>
        <v>0.983399731850459</v>
      </c>
      <c r="M35" s="102" t="n">
        <f aca="false">IF(M28=0,"",-M21/M28)</f>
        <v>0.964349854670426</v>
      </c>
      <c r="N35" s="102" t="n">
        <f aca="false">IF(N28=0,"",-N21/N28)</f>
        <v>0.943401943936042</v>
      </c>
      <c r="O35" s="102" t="n">
        <f aca="false">IF(O28=0,"",-O21/O28)</f>
        <v>0.920449214685886</v>
      </c>
      <c r="P35" s="102" t="n">
        <f aca="false">IF(P28=0,"",-P21/P28)</f>
        <v>0.895379245552649</v>
      </c>
      <c r="Q35" s="102" t="n">
        <f aca="false">IF(Q28=0,"",-Q21/Q28)</f>
        <v>0.868073674157914</v>
      </c>
      <c r="R35" s="102" t="n">
        <f aca="false">IF(R28=0,"",-R21/R28)</f>
        <v>0.838407875434093</v>
      </c>
      <c r="S35" s="102" t="n">
        <f aca="false">IF(S28=0,"",-S21/S28)</f>
        <v>0.806250621888921</v>
      </c>
      <c r="T35" s="102" t="n">
        <f aca="false">IF(T28=0,"",-T21/T28)</f>
        <v>0.77146372477013</v>
      </c>
      <c r="U35" s="102" t="n">
        <f aca="false">IF(U28=0,"",-U21/U28)</f>
        <v>0.733901655026623</v>
      </c>
      <c r="V35" s="102" t="n">
        <f aca="false">IF(V28=0,"",-V21/V28)</f>
        <v>0.693411142897653</v>
      </c>
      <c r="W35" s="102" t="n">
        <f aca="false">IF(W28=0,"",-W21/W28)</f>
        <v>0.649830754892742</v>
      </c>
    </row>
    <row r="36" customFormat="false" ht="15" hidden="false" customHeight="true" outlineLevel="0" collapsed="false">
      <c r="B36" s="69" t="s">
        <v>22</v>
      </c>
      <c r="C36" s="102" t="n">
        <f aca="false">IF(C29=0,"",-C22/C29)</f>
        <v>1.26207767851411</v>
      </c>
      <c r="D36" s="102" t="n">
        <f aca="false">IF(D29=0,"",-D22/D29)</f>
        <v>1.26215745493386</v>
      </c>
      <c r="E36" s="102" t="n">
        <f aca="false">IF(E29=0,"",-E22/E29)</f>
        <v>1.24608939770273</v>
      </c>
      <c r="F36" s="102" t="n">
        <f aca="false">IF(F29=0,"",-F22/F29)</f>
        <v>0.953676782553371</v>
      </c>
      <c r="G36" s="102" t="n">
        <f aca="false">IF(G29=0,"",-G22/G29)</f>
        <v>1.02162328889131</v>
      </c>
      <c r="H36" s="102" t="n">
        <f aca="false">IF(H29=0,"",-H22/H29)</f>
        <v>1.03425234161992</v>
      </c>
      <c r="I36" s="102" t="n">
        <f aca="false">IF(I29=0,"",-I22/I29)</f>
        <v>1.01722806612848</v>
      </c>
      <c r="J36" s="102" t="n">
        <f aca="false">IF(J29=0,"",-J22/J29)</f>
        <v>0.998256616226239</v>
      </c>
      <c r="K36" s="102" t="n">
        <f aca="false">IF(K29=0,"",-K22/K29)</f>
        <v>0.977220514873319</v>
      </c>
      <c r="L36" s="102" t="n">
        <f aca="false">IF(L29=0,"",-L22/L29)</f>
        <v>0.953995725603228</v>
      </c>
      <c r="M36" s="102" t="n">
        <f aca="false">IF(M29=0,"",-M22/M29)</f>
        <v>0.92845128316924</v>
      </c>
      <c r="N36" s="102" t="n">
        <f aca="false">IF(N29=0,"",-N22/N29)</f>
        <v>0.900448902934738</v>
      </c>
      <c r="O36" s="102" t="n">
        <f aca="false">IF(O29=0,"",-O22/O29)</f>
        <v>0.869842567762642</v>
      </c>
      <c r="P36" s="102" t="n">
        <f aca="false">IF(P29=0,"",-P22/P29)</f>
        <v>0.836478091085365</v>
      </c>
      <c r="Q36" s="102" t="n">
        <f aca="false">IF(Q29=0,"",-Q22/Q29)</f>
        <v>0.800192654758607</v>
      </c>
      <c r="R36" s="102" t="n">
        <f aca="false">IF(R29=0,"",-R22/R29)</f>
        <v>0.760814320219557</v>
      </c>
      <c r="S36" s="102" t="n">
        <f aca="false">IF(S29=0,"",-S22/S29)</f>
        <v>0.718161511382395</v>
      </c>
      <c r="T36" s="102" t="n">
        <f aca="false">IF(T29=0,"",-T22/T29)</f>
        <v>0.672042467611003</v>
      </c>
      <c r="U36" s="102" t="n">
        <f aca="false">IF(U29=0,"",-U22/U29)</f>
        <v>0.62225466501041</v>
      </c>
      <c r="V36" s="102" t="n">
        <f aca="false">IF(V29=0,"",-V22/V29)</f>
        <v>0.568584204174104</v>
      </c>
      <c r="W36" s="102" t="n">
        <f aca="false">IF(W29=0,"",-W22/W29)</f>
        <v>0.510805162413801</v>
      </c>
    </row>
    <row r="37" customFormat="false" ht="15" hidden="false" customHeight="true" outlineLevel="0" collapsed="false">
      <c r="B37" s="69" t="s">
        <v>23</v>
      </c>
      <c r="C37" s="102" t="n">
        <f aca="false">IF(C30=0,"",-C23/C30)</f>
        <v>0.923643134522248</v>
      </c>
      <c r="D37" s="102" t="n">
        <f aca="false">IF(D30=0,"",-D23/D30)</f>
        <v>0.957218385741972</v>
      </c>
      <c r="E37" s="102" t="n">
        <f aca="false">IF(E30=0,"",-E23/E30)</f>
        <v>0.990757104975692</v>
      </c>
      <c r="F37" s="102" t="n">
        <f aca="false">IF(F30=0,"",-F23/F30)</f>
        <v>0.966982792788725</v>
      </c>
      <c r="G37" s="102" t="n">
        <f aca="false">IF(G30=0,"",-G23/G30)</f>
        <v>0.940892614166604</v>
      </c>
      <c r="H37" s="102" t="n">
        <f aca="false">IF(H30=0,"",-H23/H30)</f>
        <v>0.912351069600557</v>
      </c>
      <c r="I37" s="102" t="n">
        <f aca="false">IF(I30=0,"",-I23/I30)</f>
        <v>0.881215198211381</v>
      </c>
      <c r="J37" s="102" t="n">
        <f aca="false">IF(J30=0,"",-J23/J30)</f>
        <v>0.847334160719462</v>
      </c>
      <c r="K37" s="102" t="n">
        <f aca="false">IF(K30=0,"",-K23/K30)</f>
        <v>0.810548798511197</v>
      </c>
      <c r="L37" s="102" t="n">
        <f aca="false">IF(L30=0,"",-L23/L30)</f>
        <v>0.770691167404875</v>
      </c>
      <c r="M37" s="102" t="n">
        <f aca="false">IF(M30=0,"",-M23/M30)</f>
        <v>0.727584044636459</v>
      </c>
      <c r="N37" s="102" t="n">
        <f aca="false">IF(N30=0,"",-N23/N30)</f>
        <v>0.681040407498129</v>
      </c>
      <c r="O37" s="102" t="n">
        <f aca="false">IF(O30=0,"",-O23/O30)</f>
        <v>0.63086288196971</v>
      </c>
      <c r="P37" s="102" t="n">
        <f aca="false">IF(P30=0,"",-P23/P30)</f>
        <v>0.576843159584809</v>
      </c>
      <c r="Q37" s="102" t="n">
        <f aca="false">IF(Q30=0,"",-Q23/Q30)</f>
        <v>0.518761380669315</v>
      </c>
      <c r="R37" s="102" t="n">
        <f aca="false">IF(R30=0,"",-R23/R30)</f>
        <v>0.456385481979611</v>
      </c>
      <c r="S37" s="102" t="n">
        <f aca="false">IF(S30=0,"",-S23/S30)</f>
        <v>0.389470506650853</v>
      </c>
      <c r="T37" s="102" t="n">
        <f aca="false">IF(T30=0,"",-T23/T30)</f>
        <v>0.317757874241826</v>
      </c>
      <c r="U37" s="102" t="n">
        <f aca="false">IF(U30=0,"",-U23/U30)</f>
        <v>0.240974608531522</v>
      </c>
      <c r="V37" s="102" t="n">
        <f aca="false">IF(V30=0,"",-V23/V30)</f>
        <v>0.158832520583557</v>
      </c>
      <c r="W37" s="102" t="str">
        <f aca="false">IF(W30=0,"",-W23/W30)</f>
        <v/>
      </c>
    </row>
    <row r="38" customFormat="false" ht="15" hidden="false" customHeight="true" outlineLevel="0" collapsed="false">
      <c r="B38" s="69" t="s">
        <v>869</v>
      </c>
      <c r="C38" s="102" t="n">
        <f aca="false">IF(C31=0,"",-C24/C31)</f>
        <v>0.960127921027807</v>
      </c>
      <c r="D38" s="102" t="n">
        <f aca="false">IF(D31=0,"",-D24/D31)</f>
        <v>1.0920466497359</v>
      </c>
      <c r="E38" s="102" t="n">
        <f aca="false">IF(E31=0,"",-E24/E31)</f>
        <v>1.07101264031256</v>
      </c>
      <c r="F38" s="102" t="n">
        <f aca="false">IF(F31=0,"",-F24/F31)</f>
        <v>0.954054316919867</v>
      </c>
      <c r="G38" s="102" t="n">
        <f aca="false">IF(G31=0,"",-G24/G31)</f>
        <v>0.991538578359902</v>
      </c>
      <c r="H38" s="102" t="n">
        <f aca="false">IF(H31=0,"",-H24/H31)</f>
        <v>0.977615869524355</v>
      </c>
      <c r="I38" s="102" t="n">
        <f aca="false">IF(I31=0,"",-I24/I31)</f>
        <v>0.953477524518053</v>
      </c>
      <c r="J38" s="102" t="n">
        <f aca="false">IF(J31=0,"",-J24/J31)</f>
        <v>0.927054275963673</v>
      </c>
      <c r="K38" s="102" t="n">
        <f aca="false">IF(K31=0,"",-K24/K31)</f>
        <v>0.89821481761417</v>
      </c>
      <c r="L38" s="102" t="n">
        <f aca="false">IF(L31=0,"",-L24/L31)</f>
        <v>0.866820717600108</v>
      </c>
      <c r="M38" s="102" t="n">
        <f aca="false">IF(M31=0,"",-M24/M31)</f>
        <v>0.832726024333275</v>
      </c>
      <c r="N38" s="102" t="n">
        <f aca="false">IF(N31=0,"",-N24/N31)</f>
        <v>0.795776849971325</v>
      </c>
      <c r="O38" s="102" t="n">
        <f aca="false">IF(O31=0,"",-O24/O31)</f>
        <v>0.755810930137152</v>
      </c>
      <c r="P38" s="102" t="n">
        <f aca="false">IF(P31=0,"",-P24/P31)</f>
        <v>0.712657158509559</v>
      </c>
      <c r="Q38" s="102" t="n">
        <f aca="false">IF(Q31=0,"",-Q24/Q31)</f>
        <v>0.666135094820122</v>
      </c>
      <c r="R38" s="102" t="n">
        <f aca="false">IF(R31=0,"",-R24/R31)</f>
        <v>0.616054444704557</v>
      </c>
      <c r="S38" s="102" t="n">
        <f aca="false">IF(S31=0,"",-S24/S31)</f>
        <v>0.562214509765239</v>
      </c>
      <c r="T38" s="102" t="n">
        <f aca="false">IF(T31=0,"",-T24/T31)</f>
        <v>0.504403606104314</v>
      </c>
      <c r="U38" s="102" t="n">
        <f aca="false">IF(U31=0,"",-U24/U31)</f>
        <v>0.442398449483916</v>
      </c>
      <c r="V38" s="102" t="n">
        <f aca="false">IF(V31=0,"",-V24/V31)</f>
        <v>0.375963505160926</v>
      </c>
      <c r="W38" s="102" t="n">
        <f aca="false">IF(W31=0,"",-W24/W31)</f>
        <v>0.426735093762762</v>
      </c>
    </row>
    <row r="40" customFormat="false" ht="15" hidden="false" customHeight="true" outlineLevel="0" collapsed="false">
      <c r="B40" s="63" t="s">
        <v>870</v>
      </c>
    </row>
    <row r="41" customFormat="false" ht="15" hidden="false" customHeight="true" outlineLevel="0" collapsed="false">
      <c r="B41" s="13" t="s">
        <v>20</v>
      </c>
      <c r="C41" s="37" t="n">
        <f aca="false">IF(C$3&lt;YEAR(CH_ResynDate),SUMPRODUCT((YEAR('Bridge Period'!$C$6:$K$6)=C$3)*'Bridge Period'!$C$15:$K$15),IF(AND(C$3&gt;=YEAR(CH_ResynDate),C$3-YEAR(CH_ResynDate)+1&lt;=20),INDEX('CH - Pro Forma'!$D$36:$W$36,C$3-YEAR(CH_ResynDate)+1),0))</f>
        <v>-9401.55919999997</v>
      </c>
      <c r="D41" s="37" t="n">
        <f aca="false">IF(D$3&lt;YEAR(CH_ResynDate),SUMPRODUCT((YEAR('Bridge Period'!$C$6:$K$6)=D$3)*'Bridge Period'!$C$15:$K$15),IF(AND(D$3&gt;=YEAR(CH_ResynDate),D$3-YEAR(CH_ResynDate)+1&lt;=20),INDEX('CH - Pro Forma'!$D$36:$W$36,D$3-YEAR(CH_ResynDate)+1),0))</f>
        <v>-37837.6073594539</v>
      </c>
      <c r="E41" s="37" t="n">
        <f aca="false">IF(E$3&lt;YEAR(CH_ResynDate),SUMPRODUCT((YEAR('Bridge Period'!$C$6:$K$6)=E$3)*'Bridge Period'!$C$15:$K$15),IF(AND(E$3&gt;=YEAR(CH_ResynDate),E$3-YEAR(CH_ResynDate)+1&lt;=20),INDEX('CH - Pro Forma'!$D$36:$W$36,E$3-YEAR(CH_ResynDate)+1),0))</f>
        <v>-43825.0917841878</v>
      </c>
      <c r="F41" s="37" t="n">
        <f aca="false">IF(F$3&lt;YEAR(CH_ResynDate),SUMPRODUCT((YEAR('Bridge Period'!$C$6:$K$6)=F$3)*'Bridge Period'!$C$15:$K$15),IF(AND(F$3&gt;=YEAR(CH_ResynDate),F$3-YEAR(CH_ResynDate)+1&lt;=20),INDEX('CH - Pro Forma'!$D$36:$W$36,F$3-YEAR(CH_ResynDate)+1),0))</f>
        <v>-4784.10171853993</v>
      </c>
      <c r="G41" s="37" t="n">
        <f aca="false">IF(G$3&lt;YEAR(CH_ResynDate),SUMPRODUCT((YEAR('Bridge Period'!$C$6:$K$6)=G$3)*'Bridge Period'!$C$15:$K$15),IF(AND(G$3&gt;=YEAR(CH_ResynDate),G$3-YEAR(CH_ResynDate)+1&lt;=20),INDEX('CH - Pro Forma'!$D$36:$W$36,G$3-YEAR(CH_ResynDate)+1),0))</f>
        <v>-13583.300670552</v>
      </c>
      <c r="H41" s="37" t="n">
        <f aca="false">IF(H$3&lt;YEAR(CH_ResynDate),SUMPRODUCT((YEAR('Bridge Period'!$C$6:$K$6)=H$3)*'Bridge Period'!$C$15:$K$15),IF(AND(H$3&gt;=YEAR(CH_ResynDate),H$3-YEAR(CH_ResynDate)+1&lt;=20),INDEX('CH - Pro Forma'!$D$36:$W$36,H$3-YEAR(CH_ResynDate)+1),0))</f>
        <v>-23069.5453734626</v>
      </c>
      <c r="I41" s="37" t="n">
        <f aca="false">IF(I$3&lt;YEAR(CH_ResynDate),SUMPRODUCT((YEAR('Bridge Period'!$C$6:$K$6)=I$3)*'Bridge Period'!$C$15:$K$15),IF(AND(I$3&gt;=YEAR(CH_ResynDate),I$3-YEAR(CH_ResynDate)+1&lt;=20),INDEX('CH - Pro Forma'!$D$36:$W$36,I$3-YEAR(CH_ResynDate)+1),0))</f>
        <v>-33279.1508910764</v>
      </c>
      <c r="J41" s="37" t="n">
        <f aca="false">IF(J$3&lt;YEAR(CH_ResynDate),SUMPRODUCT((YEAR('Bridge Period'!$C$6:$K$6)=J$3)*'Bridge Period'!$C$15:$K$15),IF(AND(J$3&gt;=YEAR(CH_ResynDate),J$3-YEAR(CH_ResynDate)+1&lt;=20),INDEX('CH - Pro Forma'!$D$36:$W$36,J$3-YEAR(CH_ResynDate)+1),0))</f>
        <v>-44250.2824512964</v>
      </c>
      <c r="K41" s="37" t="n">
        <f aca="false">IF(K$3&lt;YEAR(CH_ResynDate),SUMPRODUCT((YEAR('Bridge Period'!$C$6:$K$6)=K$3)*'Bridge Period'!$C$15:$K$15),IF(AND(K$3&gt;=YEAR(CH_ResynDate),K$3-YEAR(CH_ResynDate)+1&lt;=20),INDEX('CH - Pro Forma'!$D$36:$W$36,K$3-YEAR(CH_ResynDate)+1),0))</f>
        <v>-56023.0531904769</v>
      </c>
      <c r="L41" s="37" t="n">
        <f aca="false">IF(L$3&lt;YEAR(CH_ResynDate),SUMPRODUCT((YEAR('Bridge Period'!$C$6:$K$6)=L$3)*'Bridge Period'!$C$15:$K$15),IF(AND(L$3&gt;=YEAR(CH_ResynDate),L$3-YEAR(CH_ResynDate)+1&lt;=20),INDEX('CH - Pro Forma'!$D$36:$W$36,L$3-YEAR(CH_ResynDate)+1),0))</f>
        <v>-68639.6273006643</v>
      </c>
      <c r="M41" s="37" t="n">
        <f aca="false">IF(M$3&lt;YEAR(CH_ResynDate),SUMPRODUCT((YEAR('Bridge Period'!$C$6:$K$6)=M$3)*'Bridge Period'!$C$15:$K$15),IF(AND(M$3&gt;=YEAR(CH_ResynDate),M$3-YEAR(CH_ResynDate)+1&lt;=20),INDEX('CH - Pro Forma'!$D$36:$W$36,M$3-YEAR(CH_ResynDate)+1),0))</f>
        <v>-82144.328888842</v>
      </c>
      <c r="N41" s="37" t="n">
        <f aca="false">IF(N$3&lt;YEAR(CH_ResynDate),SUMPRODUCT((YEAR('Bridge Period'!$C$6:$K$6)=N$3)*'Bridge Period'!$C$15:$K$15),IF(AND(N$3&gt;=YEAR(CH_ResynDate),N$3-YEAR(CH_ResynDate)+1&lt;=20),INDEX('CH - Pro Forma'!$D$36:$W$36,N$3-YEAR(CH_ResynDate)+1),0))</f>
        <v>-96583.7568753852</v>
      </c>
      <c r="O41" s="37" t="n">
        <f aca="false">IF(O$3&lt;YEAR(CH_ResynDate),SUMPRODUCT((YEAR('Bridge Period'!$C$6:$K$6)=O$3)*'Bridge Period'!$C$15:$K$15),IF(AND(O$3&gt;=YEAR(CH_ResynDate),O$3-YEAR(CH_ResynDate)+1&lt;=20),INDEX('CH - Pro Forma'!$D$36:$W$36,O$3-YEAR(CH_ResynDate)+1),0))</f>
        <v>-112006.906278056</v>
      </c>
      <c r="P41" s="37" t="n">
        <f aca="false">IF(P$3&lt;YEAR(CH_ResynDate),SUMPRODUCT((YEAR('Bridge Period'!$C$6:$K$6)=P$3)*'Bridge Period'!$C$15:$K$15),IF(AND(P$3&gt;=YEAR(CH_ResynDate),P$3-YEAR(CH_ResynDate)+1&lt;=20),INDEX('CH - Pro Forma'!$D$36:$W$36,P$3-YEAR(CH_ResynDate)+1),0))</f>
        <v>-128465.296248163</v>
      </c>
      <c r="Q41" s="37" t="n">
        <f aca="false">IF(Q$3&lt;YEAR(CH_ResynDate),SUMPRODUCT((YEAR('Bridge Period'!$C$6:$K$6)=Q$3)*'Bridge Period'!$C$15:$K$15),IF(AND(Q$3&gt;=YEAR(CH_ResynDate),Q$3-YEAR(CH_ResynDate)+1&lt;=20),INDEX('CH - Pro Forma'!$D$36:$W$36,Q$3-YEAR(CH_ResynDate)+1),0))</f>
        <v>-146013.105246975</v>
      </c>
      <c r="R41" s="37" t="n">
        <f aca="false">IF(R$3&lt;YEAR(CH_ResynDate),SUMPRODUCT((YEAR('Bridge Period'!$C$6:$K$6)=R$3)*'Bridge Period'!$C$15:$K$15),IF(AND(R$3&gt;=YEAR(CH_ResynDate),R$3-YEAR(CH_ResynDate)+1&lt;=20),INDEX('CH - Pro Forma'!$D$36:$W$36,R$3-YEAR(CH_ResynDate)+1),0))</f>
        <v>-164707.313773237</v>
      </c>
      <c r="S41" s="37" t="n">
        <f aca="false">IF(S$3&lt;YEAR(CH_ResynDate),SUMPRODUCT((YEAR('Bridge Period'!$C$6:$K$6)=S$3)*'Bridge Period'!$C$15:$K$15),IF(AND(S$3&gt;=YEAR(CH_ResynDate),S$3-YEAR(CH_ResynDate)+1&lt;=20),INDEX('CH - Pro Forma'!$D$36:$W$36,S$3-YEAR(CH_ResynDate)+1),0))</f>
        <v>-184607.855076732</v>
      </c>
      <c r="T41" s="37" t="n">
        <f aca="false">IF(T$3&lt;YEAR(CH_ResynDate),SUMPRODUCT((YEAR('Bridge Period'!$C$6:$K$6)=T$3)*'Bridge Period'!$C$15:$K$15),IF(AND(T$3&gt;=YEAR(CH_ResynDate),T$3-YEAR(CH_ResynDate)+1&lt;=20),INDEX('CH - Pro Forma'!$D$36:$W$36,T$3-YEAR(CH_ResynDate)+1),0))</f>
        <v>-205777.774318358</v>
      </c>
      <c r="U41" s="37" t="n">
        <f aca="false">IF(U$3&lt;YEAR(CH_ResynDate),SUMPRODUCT((YEAR('Bridge Period'!$C$6:$K$6)=U$3)*'Bridge Period'!$C$15:$K$15),IF(AND(U$3&gt;=YEAR(CH_ResynDate),U$3-YEAR(CH_ResynDate)+1&lt;=20),INDEX('CH - Pro Forma'!$D$36:$W$36,U$3-YEAR(CH_ResynDate)+1),0))</f>
        <v>-228283.396664238</v>
      </c>
      <c r="V41" s="37" t="n">
        <f aca="false">IF(V$3&lt;YEAR(CH_ResynDate),SUMPRODUCT((YEAR('Bridge Period'!$C$6:$K$6)=V$3)*'Bridge Period'!$C$15:$K$15),IF(AND(V$3&gt;=YEAR(CH_ResynDate),V$3-YEAR(CH_ResynDate)+1&lt;=20),INDEX('CH - Pro Forma'!$D$36:$W$36,V$3-YEAR(CH_ResynDate)+1),0))</f>
        <v>-252194.504830021</v>
      </c>
      <c r="W41" s="37" t="n">
        <f aca="false">IF(W$3&lt;YEAR(CH_ResynDate),SUMPRODUCT((YEAR('Bridge Period'!$C$6:$K$6)=W$3)*'Bridge Period'!$C$15:$K$15),IF(AND(W$3&gt;=YEAR(CH_ResynDate),W$3-YEAR(CH_ResynDate)+1&lt;=20),INDEX('CH - Pro Forma'!$D$36:$W$36,W$3-YEAR(CH_ResynDate)+1),0))</f>
        <v>-277584.526621881</v>
      </c>
    </row>
    <row r="42" customFormat="false" ht="15" hidden="false" customHeight="true" outlineLevel="0" collapsed="false">
      <c r="B42" s="13" t="s">
        <v>21</v>
      </c>
      <c r="C42" s="37" t="n">
        <f aca="false">IF(C$3&lt;YEAR(NZ_ResynDate),SUMPRODUCT((YEAR('Bridge Period'!$C$22:$K$22)=C$3)*'Bridge Period'!$C$31:$K$31),IF(AND(C$3&gt;=YEAR(NZ_ResynDate),C$3-YEAR(NZ_ResynDate)+1&lt;=20),INDEX('NZ - Pro Forma'!$D$36:$W$36,C$3-YEAR(NZ_ResynDate)+1),0))</f>
        <v>7991.48999999998</v>
      </c>
      <c r="D42" s="37" t="n">
        <f aca="false">IF(D$3&lt;YEAR(NZ_ResynDate),SUMPRODUCT((YEAR('Bridge Period'!$C$22:$K$22)=D$3)*'Bridge Period'!$C$31:$K$31),IF(AND(D$3&gt;=YEAR(NZ_ResynDate),D$3-YEAR(NZ_ResynDate)+1&lt;=20),INDEX('NZ - Pro Forma'!$D$36:$W$36,D$3-YEAR(NZ_ResynDate)+1),0))</f>
        <v>98863.014684499</v>
      </c>
      <c r="E42" s="37" t="n">
        <f aca="false">IF(E$3&lt;YEAR(NZ_ResynDate),SUMPRODUCT((YEAR('Bridge Period'!$C$22:$K$22)=E$3)*'Bridge Period'!$C$31:$K$31),IF(AND(E$3&gt;=YEAR(NZ_ResynDate),E$3-YEAR(NZ_ResynDate)+1&lt;=20),INDEX('NZ - Pro Forma'!$D$36:$W$36,E$3-YEAR(NZ_ResynDate)+1),0))</f>
        <v>80098.4109139339</v>
      </c>
      <c r="F42" s="37" t="n">
        <f aca="false">IF(F$3&lt;YEAR(NZ_ResynDate),SUMPRODUCT((YEAR('Bridge Period'!$C$22:$K$22)=F$3)*'Bridge Period'!$C$31:$K$31),IF(AND(F$3&gt;=YEAR(NZ_ResynDate),F$3-YEAR(NZ_ResynDate)+1&lt;=20),INDEX('NZ - Pro Forma'!$D$36:$W$36,F$3-YEAR(NZ_ResynDate)+1),0))</f>
        <v>-34279.474847816</v>
      </c>
      <c r="G42" s="37" t="n">
        <f aca="false">IF(G$3&lt;YEAR(NZ_ResynDate),SUMPRODUCT((YEAR('Bridge Period'!$C$22:$K$22)=G$3)*'Bridge Period'!$C$31:$K$31),IF(AND(G$3&gt;=YEAR(NZ_ResynDate),G$3-YEAR(NZ_ResynDate)+1&lt;=20),INDEX('NZ - Pro Forma'!$D$36:$W$36,G$3-YEAR(NZ_ResynDate)+1),0))</f>
        <v>21388.5092282077</v>
      </c>
      <c r="H42" s="37" t="n">
        <f aca="false">IF(H$3&lt;YEAR(NZ_ResynDate),SUMPRODUCT((YEAR('Bridge Period'!$C$22:$K$22)=H$3)*'Bridge Period'!$C$31:$K$31),IF(AND(H$3&gt;=YEAR(NZ_ResynDate),H$3-YEAR(NZ_ResynDate)+1&lt;=20),INDEX('NZ - Pro Forma'!$D$36:$W$36,H$3-YEAR(NZ_ResynDate)+1),0))</f>
        <v>17002.0835783312</v>
      </c>
      <c r="I42" s="37" t="n">
        <f aca="false">IF(I$3&lt;YEAR(NZ_ResynDate),SUMPRODUCT((YEAR('Bridge Period'!$C$22:$K$22)=I$3)*'Bridge Period'!$C$31:$K$31),IF(AND(I$3&gt;=YEAR(NZ_ResynDate),I$3-YEAR(NZ_ResynDate)+1&lt;=20),INDEX('NZ - Pro Forma'!$D$36:$W$36,I$3-YEAR(NZ_ResynDate)+1),0))</f>
        <v>12040.945066497</v>
      </c>
      <c r="J42" s="37" t="n">
        <f aca="false">IF(J$3&lt;YEAR(NZ_ResynDate),SUMPRODUCT((YEAR('Bridge Period'!$C$22:$K$22)=J$3)*'Bridge Period'!$C$31:$K$31),IF(AND(J$3&gt;=YEAR(NZ_ResynDate),J$3-YEAR(NZ_ResynDate)+1&lt;=20),INDEX('NZ - Pro Forma'!$D$36:$W$36,J$3-YEAR(NZ_ResynDate)+1),0))</f>
        <v>6472.09167391347</v>
      </c>
      <c r="K42" s="37" t="n">
        <f aca="false">IF(K$3&lt;YEAR(NZ_ResynDate),SUMPRODUCT((YEAR('Bridge Period'!$C$22:$K$22)=K$3)*'Bridge Period'!$C$31:$K$31),IF(AND(K$3&gt;=YEAR(NZ_ResynDate),K$3-YEAR(NZ_ResynDate)+1&lt;=20),INDEX('NZ - Pro Forma'!$D$36:$W$36,K$3-YEAR(NZ_ResynDate)+1),0))</f>
        <v>260.78868148718</v>
      </c>
      <c r="L42" s="37" t="n">
        <f aca="false">IF(L$3&lt;YEAR(NZ_ResynDate),SUMPRODUCT((YEAR('Bridge Period'!$C$22:$K$22)=L$3)*'Bridge Period'!$C$31:$K$31),IF(AND(L$3&gt;=YEAR(NZ_ResynDate),L$3-YEAR(NZ_ResynDate)+1&lt;=20),INDEX('NZ - Pro Forma'!$D$36:$W$36,L$3-YEAR(NZ_ResynDate)+1),0))</f>
        <v>-7366.13784817339</v>
      </c>
      <c r="M42" s="37" t="n">
        <f aca="false">IF(M$3&lt;YEAR(NZ_ResynDate),SUMPRODUCT((YEAR('Bridge Period'!$C$22:$K$22)=M$3)*'Bridge Period'!$C$31:$K$31),IF(AND(M$3&gt;=YEAR(NZ_ResynDate),M$3-YEAR(NZ_ResynDate)+1&lt;=20),INDEX('NZ - Pro Forma'!$D$36:$W$36,M$3-YEAR(NZ_ResynDate)+1),0))</f>
        <v>-15819.255595116</v>
      </c>
      <c r="N42" s="37" t="n">
        <f aca="false">IF(N$3&lt;YEAR(NZ_ResynDate),SUMPRODUCT((YEAR('Bridge Period'!$C$22:$K$22)=N$3)*'Bridge Period'!$C$31:$K$31),IF(AND(N$3&gt;=YEAR(NZ_ResynDate),N$3-YEAR(NZ_ResynDate)+1&lt;=20),INDEX('NZ - Pro Forma'!$D$36:$W$36,N$3-YEAR(NZ_ResynDate)+1),0))</f>
        <v>-25114.599303463</v>
      </c>
      <c r="O42" s="37" t="n">
        <f aca="false">IF(O$3&lt;YEAR(NZ_ResynDate),SUMPRODUCT((YEAR('Bridge Period'!$C$22:$K$22)=O$3)*'Bridge Period'!$C$31:$K$31),IF(AND(O$3&gt;=YEAR(NZ_ResynDate),O$3-YEAR(NZ_ResynDate)+1&lt;=20),INDEX('NZ - Pro Forma'!$D$36:$W$36,O$3-YEAR(NZ_ResynDate)+1),0))</f>
        <v>-35299.5533129633</v>
      </c>
      <c r="P42" s="37" t="n">
        <f aca="false">IF(P$3&lt;YEAR(NZ_ResynDate),SUMPRODUCT((YEAR('Bridge Period'!$C$22:$K$22)=P$3)*'Bridge Period'!$C$31:$K$31),IF(AND(P$3&gt;=YEAR(NZ_ResynDate),P$3-YEAR(NZ_ResynDate)+1&lt;=20),INDEX('NZ - Pro Forma'!$D$36:$W$36,P$3-YEAR(NZ_ResynDate)+1),0))</f>
        <v>-46424.0030399985</v>
      </c>
      <c r="Q42" s="37" t="n">
        <f aca="false">IF(Q$3&lt;YEAR(NZ_ResynDate),SUMPRODUCT((YEAR('Bridge Period'!$C$22:$K$22)=Q$3)*'Bridge Period'!$C$31:$K$31),IF(AND(Q$3&gt;=YEAR(NZ_ResynDate),Q$3-YEAR(NZ_ResynDate)+1&lt;=20),INDEX('NZ - Pro Forma'!$D$36:$W$36,Q$3-YEAR(NZ_ResynDate)+1),0))</f>
        <v>-58540.4701419059</v>
      </c>
      <c r="R42" s="37" t="n">
        <f aca="false">IF(R$3&lt;YEAR(NZ_ResynDate),SUMPRODUCT((YEAR('Bridge Period'!$C$22:$K$22)=R$3)*'Bridge Period'!$C$31:$K$31),IF(AND(R$3&gt;=YEAR(NZ_ResynDate),R$3-YEAR(NZ_ResynDate)+1&lt;=20),INDEX('NZ - Pro Forma'!$D$36:$W$36,R$3-YEAR(NZ_ResynDate)+1),0))</f>
        <v>-71704.2552571406</v>
      </c>
      <c r="S42" s="37" t="n">
        <f aca="false">IF(S$3&lt;YEAR(NZ_ResynDate),SUMPRODUCT((YEAR('Bridge Period'!$C$22:$K$22)=S$3)*'Bridge Period'!$C$31:$K$31),IF(AND(S$3&gt;=YEAR(NZ_ResynDate),S$3-YEAR(NZ_ResynDate)+1&lt;=20),INDEX('NZ - Pro Forma'!$D$36:$W$36,S$3-YEAR(NZ_ResynDate)+1),0))</f>
        <v>-85973.5887581751</v>
      </c>
      <c r="T42" s="37" t="n">
        <f aca="false">IF(T$3&lt;YEAR(NZ_ResynDate),SUMPRODUCT((YEAR('Bridge Period'!$C$22:$K$22)=T$3)*'Bridge Period'!$C$31:$K$31),IF(AND(T$3&gt;=YEAR(NZ_ResynDate),T$3-YEAR(NZ_ResynDate)+1&lt;=20),INDEX('NZ - Pro Forma'!$D$36:$W$36,T$3-YEAR(NZ_ResynDate)+1),0))</f>
        <v>-101409.789979679</v>
      </c>
      <c r="U42" s="37" t="n">
        <f aca="false">IF(U$3&lt;YEAR(NZ_ResynDate),SUMPRODUCT((YEAR('Bridge Period'!$C$22:$K$22)=U$3)*'Bridge Period'!$C$31:$K$31),IF(AND(U$3&gt;=YEAR(NZ_ResynDate),U$3-YEAR(NZ_ResynDate)+1&lt;=20),INDEX('NZ - Pro Forma'!$D$36:$W$36,U$3-YEAR(NZ_ResynDate)+1),0))</f>
        <v>-118077.435411721</v>
      </c>
      <c r="V42" s="37" t="n">
        <f aca="false">IF(V$3&lt;YEAR(NZ_ResynDate),SUMPRODUCT((YEAR('Bridge Period'!$C$22:$K$22)=V$3)*'Bridge Period'!$C$31:$K$31),IF(AND(V$3&gt;=YEAR(NZ_ResynDate),V$3-YEAR(NZ_ResynDate)+1&lt;=20),INDEX('NZ - Pro Forma'!$D$36:$W$36,V$3-YEAR(NZ_ResynDate)+1),0))</f>
        <v>-136044.536376495</v>
      </c>
      <c r="W42" s="37" t="n">
        <f aca="false">IF(W$3&lt;YEAR(NZ_ResynDate),SUMPRODUCT((YEAR('Bridge Period'!$C$22:$K$22)=W$3)*'Bridge Period'!$C$31:$K$31),IF(AND(W$3&gt;=YEAR(NZ_ResynDate),W$3-YEAR(NZ_ResynDate)+1&lt;=20),INDEX('NZ - Pro Forma'!$D$36:$W$36,W$3-YEAR(NZ_ResynDate)+1),0))</f>
        <v>-155382.726737591</v>
      </c>
    </row>
    <row r="43" customFormat="false" ht="15" hidden="false" customHeight="true" outlineLevel="0" collapsed="false">
      <c r="B43" s="13" t="s">
        <v>22</v>
      </c>
      <c r="C43" s="37" t="n">
        <f aca="false">IF(C$3&lt;YEAR(LOM_ResynDate),SUMPRODUCT((YEAR('Bridge Period'!$C$38:$K$38)=C$3)*'Bridge Period'!$C$47:$K$47),IF(AND(C$3&gt;=YEAR(LOM_ResynDate),C$3-YEAR(LOM_ResynDate)+1&lt;=20),INDEX('LOM - Pro Forma'!$D$36:$W$36,C$3-YEAR(LOM_ResynDate)+1),0))</f>
        <v>18739.3848</v>
      </c>
      <c r="D43" s="37" t="n">
        <f aca="false">IF(D$3&lt;YEAR(LOM_ResynDate),SUMPRODUCT((YEAR('Bridge Period'!$C$38:$K$38)=D$3)*'Bridge Period'!$C$47:$K$47),IF(AND(D$3&gt;=YEAR(LOM_ResynDate),D$3-YEAR(LOM_ResynDate)+1&lt;=20),INDEX('LOM - Pro Forma'!$D$36:$W$36,D$3-YEAR(LOM_ResynDate)+1),0))</f>
        <v>74980.3562676132</v>
      </c>
      <c r="E43" s="37" t="n">
        <f aca="false">IF(E$3&lt;YEAR(LOM_ResynDate),SUMPRODUCT((YEAR('Bridge Period'!$C$38:$K$38)=E$3)*'Bridge Period'!$C$47:$K$47),IF(AND(E$3&gt;=YEAR(LOM_ResynDate),E$3-YEAR(LOM_ResynDate)+1&lt;=20),INDEX('LOM - Pro Forma'!$D$36:$W$36,E$3-YEAR(LOM_ResynDate)+1),0))</f>
        <v>58653.9067971196</v>
      </c>
      <c r="F43" s="37" t="n">
        <f aca="false">IF(F$3&lt;YEAR(LOM_ResynDate),SUMPRODUCT((YEAR('Bridge Period'!$C$38:$K$38)=F$3)*'Bridge Period'!$C$47:$K$47),IF(AND(F$3&gt;=YEAR(LOM_ResynDate),F$3-YEAR(LOM_ResynDate)+1&lt;=20),INDEX('LOM - Pro Forma'!$D$36:$W$36,F$3-YEAR(LOM_ResynDate)+1),0))</f>
        <v>-24696.1506153846</v>
      </c>
      <c r="G43" s="37" t="n">
        <f aca="false">IF(G$3&lt;YEAR(LOM_ResynDate),SUMPRODUCT((YEAR('Bridge Period'!$C$38:$K$38)=G$3)*'Bridge Period'!$C$47:$K$47),IF(AND(G$3&gt;=YEAR(LOM_ResynDate),G$3-YEAR(LOM_ResynDate)+1&lt;=20),INDEX('LOM - Pro Forma'!$D$36:$W$36,G$3-YEAR(LOM_ResynDate)+1),0))</f>
        <v>10375.1601426984</v>
      </c>
      <c r="H43" s="37" t="n">
        <f aca="false">IF(H$3&lt;YEAR(LOM_ResynDate),SUMPRODUCT((YEAR('Bridge Period'!$C$38:$K$38)=H$3)*'Bridge Period'!$C$47:$K$47),IF(AND(H$3&gt;=YEAR(LOM_ResynDate),H$3-YEAR(LOM_ResynDate)+1&lt;=20),INDEX('LOM - Pro Forma'!$D$36:$W$36,H$3-YEAR(LOM_ResynDate)+1),0))</f>
        <v>16434.7584382454</v>
      </c>
      <c r="I43" s="37" t="n">
        <f aca="false">IF(I$3&lt;YEAR(LOM_ResynDate),SUMPRODUCT((YEAR('Bridge Period'!$C$38:$K$38)=I$3)*'Bridge Period'!$C$47:$K$47),IF(AND(I$3&gt;=YEAR(LOM_ResynDate),I$3-YEAR(LOM_ResynDate)+1&lt;=20),INDEX('LOM - Pro Forma'!$D$36:$W$36,I$3-YEAR(LOM_ResynDate)+1),0))</f>
        <v>8266.27003553726</v>
      </c>
      <c r="J43" s="37" t="n">
        <f aca="false">IF(J$3&lt;YEAR(LOM_ResynDate),SUMPRODUCT((YEAR('Bridge Period'!$C$38:$K$38)=J$3)*'Bridge Period'!$C$47:$K$47),IF(AND(J$3&gt;=YEAR(LOM_ResynDate),J$3-YEAR(LOM_ResynDate)+1&lt;=20),INDEX('LOM - Pro Forma'!$D$36:$W$36,J$3-YEAR(LOM_ResynDate)+1),0))</f>
        <v>-929.444685201976</v>
      </c>
      <c r="K43" s="37" t="n">
        <f aca="false">IF(K$3&lt;YEAR(LOM_ResynDate),SUMPRODUCT((YEAR('Bridge Period'!$C$38:$K$38)=K$3)*'Bridge Period'!$C$47:$K$47),IF(AND(K$3&gt;=YEAR(LOM_ResynDate),K$3-YEAR(LOM_ResynDate)+1&lt;=20),INDEX('LOM - Pro Forma'!$D$36:$W$36,K$3-YEAR(LOM_ResynDate)+1),0))</f>
        <v>-12144.3549614745</v>
      </c>
      <c r="L43" s="37" t="n">
        <f aca="false">IF(L$3&lt;YEAR(LOM_ResynDate),SUMPRODUCT((YEAR('Bridge Period'!$C$38:$K$38)=L$3)*'Bridge Period'!$C$47:$K$47),IF(AND(L$3&gt;=YEAR(LOM_ResynDate),L$3-YEAR(LOM_ResynDate)+1&lt;=20),INDEX('LOM - Pro Forma'!$D$36:$W$36,L$3-YEAR(LOM_ResynDate)+1),0))</f>
        <v>-24526.1135145274</v>
      </c>
      <c r="M43" s="37" t="n">
        <f aca="false">IF(M$3&lt;YEAR(LOM_ResynDate),SUMPRODUCT((YEAR('Bridge Period'!$C$38:$K$38)=M$3)*'Bridge Period'!$C$47:$K$47),IF(AND(M$3&gt;=YEAR(LOM_ResynDate),M$3-YEAR(LOM_ResynDate)+1&lt;=20),INDEX('LOM - Pro Forma'!$D$36:$W$36,M$3-YEAR(LOM_ResynDate)+1),0))</f>
        <v>-38144.541432722</v>
      </c>
      <c r="N43" s="37" t="n">
        <f aca="false">IF(N$3&lt;YEAR(LOM_ResynDate),SUMPRODUCT((YEAR('Bridge Period'!$C$38:$K$38)=N$3)*'Bridge Period'!$C$47:$K$47),IF(AND(N$3&gt;=YEAR(LOM_ResynDate),N$3-YEAR(LOM_ResynDate)+1&lt;=20),INDEX('LOM - Pro Forma'!$D$36:$W$36,N$3-YEAR(LOM_ResynDate)+1),0))</f>
        <v>-53073.3619676363</v>
      </c>
      <c r="O43" s="37" t="n">
        <f aca="false">IF(O$3&lt;YEAR(LOM_ResynDate),SUMPRODUCT((YEAR('Bridge Period'!$C$38:$K$38)=O$3)*'Bridge Period'!$C$47:$K$47),IF(AND(O$3&gt;=YEAR(LOM_ResynDate),O$3-YEAR(LOM_ResynDate)+1&lt;=20),INDEX('LOM - Pro Forma'!$D$36:$W$36,O$3-YEAR(LOM_ResynDate)+1),0))</f>
        <v>-69390.4207743969</v>
      </c>
      <c r="P43" s="37" t="n">
        <f aca="false">IF(P$3&lt;YEAR(LOM_ResynDate),SUMPRODUCT((YEAR('Bridge Period'!$C$38:$K$38)=P$3)*'Bridge Period'!$C$47:$K$47),IF(AND(P$3&gt;=YEAR(LOM_ResynDate),P$3-YEAR(LOM_ResynDate)+1&lt;=20),INDEX('LOM - Pro Forma'!$D$36:$W$36,P$3-YEAR(LOM_ResynDate)+1),0))</f>
        <v>-87177.9188508172</v>
      </c>
      <c r="Q43" s="37" t="n">
        <f aca="false">IF(Q$3&lt;YEAR(LOM_ResynDate),SUMPRODUCT((YEAR('Bridge Period'!$C$38:$K$38)=Q$3)*'Bridge Period'!$C$47:$K$47),IF(AND(Q$3&gt;=YEAR(LOM_ResynDate),Q$3-YEAR(LOM_ResynDate)+1&lt;=20),INDEX('LOM - Pro Forma'!$D$36:$W$36,Q$3-YEAR(LOM_ResynDate)+1),0))</f>
        <v>-106522.658919942</v>
      </c>
      <c r="R43" s="37" t="n">
        <f aca="false">IF(R$3&lt;YEAR(LOM_ResynDate),SUMPRODUCT((YEAR('Bridge Period'!$C$38:$K$38)=R$3)*'Bridge Period'!$C$47:$K$47),IF(AND(R$3&gt;=YEAR(LOM_ResynDate),R$3-YEAR(LOM_ResynDate)+1&lt;=20),INDEX('LOM - Pro Forma'!$D$36:$W$36,R$3-YEAR(LOM_ResynDate)+1),0))</f>
        <v>-127516.30604473</v>
      </c>
      <c r="S43" s="37" t="n">
        <f aca="false">IF(S$3&lt;YEAR(LOM_ResynDate),SUMPRODUCT((YEAR('Bridge Period'!$C$38:$K$38)=S$3)*'Bridge Period'!$C$47:$K$47),IF(AND(S$3&gt;=YEAR(LOM_ResynDate),S$3-YEAR(LOM_ResynDate)+1&lt;=20),INDEX('LOM - Pro Forma'!$D$36:$W$36,S$3-YEAR(LOM_ResynDate)+1),0))</f>
        <v>-150255.663310347</v>
      </c>
      <c r="T43" s="37" t="n">
        <f aca="false">IF(T$3&lt;YEAR(LOM_ResynDate),SUMPRODUCT((YEAR('Bridge Period'!$C$38:$K$38)=T$3)*'Bridge Period'!$C$47:$K$47),IF(AND(T$3&gt;=YEAR(LOM_ResynDate),T$3-YEAR(LOM_ResynDate)+1&lt;=20),INDEX('LOM - Pro Forma'!$D$36:$W$36,T$3-YEAR(LOM_ResynDate)+1),0))</f>
        <v>-174842.963459091</v>
      </c>
      <c r="U43" s="37" t="n">
        <f aca="false">IF(U$3&lt;YEAR(LOM_ResynDate),SUMPRODUCT((YEAR('Bridge Period'!$C$38:$K$38)=U$3)*'Bridge Period'!$C$47:$K$47),IF(AND(U$3&gt;=YEAR(LOM_ResynDate),U$3-YEAR(LOM_ResynDate)+1&lt;=20),INDEX('LOM - Pro Forma'!$D$36:$W$36,U$3-YEAR(LOM_ResynDate)+1),0))</f>
        <v>-201386.177415459</v>
      </c>
      <c r="V43" s="37" t="n">
        <f aca="false">IF(V$3&lt;YEAR(LOM_ResynDate),SUMPRODUCT((YEAR('Bridge Period'!$C$38:$K$38)=V$3)*'Bridge Period'!$C$47:$K$47),IF(AND(V$3&gt;=YEAR(LOM_ResynDate),V$3-YEAR(LOM_ResynDate)+1&lt;=20),INDEX('LOM - Pro Forma'!$D$36:$W$36,V$3-YEAR(LOM_ResynDate)+1),0))</f>
        <v>-229999.340694492</v>
      </c>
      <c r="W43" s="37" t="n">
        <f aca="false">IF(W$3&lt;YEAR(LOM_ResynDate),SUMPRODUCT((YEAR('Bridge Period'!$C$38:$K$38)=W$3)*'Bridge Period'!$C$47:$K$47),IF(AND(W$3&gt;=YEAR(LOM_ResynDate),W$3-YEAR(LOM_ResynDate)+1&lt;=20),INDEX('LOM - Pro Forma'!$D$36:$W$36,W$3-YEAR(LOM_ResynDate)+1),0))</f>
        <v>-260802.898745463</v>
      </c>
    </row>
    <row r="44" customFormat="false" ht="15" hidden="false" customHeight="true" outlineLevel="0" collapsed="false">
      <c r="B44" s="13" t="s">
        <v>23</v>
      </c>
      <c r="C44" s="37" t="n">
        <f aca="false">IF(C$3&lt;YEAR(SA_ResynDate),SUMPRODUCT((YEAR('Bridge Period'!$C$54:$K$54)=C$3)*'Bridge Period'!$C$63:$K$63),IF(AND(C$3&gt;=YEAR(SA_ResynDate),C$3-YEAR(SA_ResynDate)+1&lt;=20),INDEX('SA - Pro Forma'!$D$36:$W$36,C$3-YEAR(SA_ResynDate)+1),0))</f>
        <v>-48169.3433834714</v>
      </c>
      <c r="D44" s="37" t="n">
        <f aca="false">IF(D$3&lt;YEAR(SA_ResynDate),SUMPRODUCT((YEAR('Bridge Period'!$C$54:$K$54)=D$3)*'Bridge Period'!$C$63:$K$63),IF(AND(D$3&gt;=YEAR(SA_ResynDate),D$3-YEAR(SA_ResynDate)+1&lt;=20),INDEX('SA - Pro Forma'!$D$36:$W$36,D$3-YEAR(SA_ResynDate)+1),0))</f>
        <v>-26988.56553108</v>
      </c>
      <c r="E44" s="37" t="n">
        <f aca="false">IF(E$3&lt;YEAR(SA_ResynDate),SUMPRODUCT((YEAR('Bridge Period'!$C$54:$K$54)=E$3)*'Bridge Period'!$C$63:$K$63),IF(AND(E$3&gt;=YEAR(SA_ResynDate),E$3-YEAR(SA_ResynDate)+1&lt;=20),INDEX('SA - Pro Forma'!$D$36:$W$36,E$3-YEAR(SA_ResynDate)+1),0))</f>
        <v>-5830.83369776339</v>
      </c>
      <c r="F44" s="37" t="n">
        <f aca="false">IF(F$3&lt;YEAR(SA_ResynDate),SUMPRODUCT((YEAR('Bridge Period'!$C$54:$K$54)=F$3)*'Bridge Period'!$C$63:$K$63),IF(AND(F$3&gt;=YEAR(SA_ResynDate),F$3-YEAR(SA_ResynDate)+1&lt;=20),INDEX('SA - Pro Forma'!$D$36:$W$36,F$3-YEAR(SA_ResynDate)+1),0))</f>
        <v>-20828.7386048677</v>
      </c>
      <c r="G44" s="37" t="n">
        <f aca="false">IF(G$3&lt;YEAR(SA_ResynDate),SUMPRODUCT((YEAR('Bridge Period'!$C$54:$K$54)=G$3)*'Bridge Period'!$C$63:$K$63),IF(AND(G$3&gt;=YEAR(SA_ResynDate),G$3-YEAR(SA_ResynDate)+1&lt;=20),INDEX('SA - Pro Forma'!$D$36:$W$36,G$3-YEAR(SA_ResynDate)+1),0))</f>
        <v>-37287.5961695642</v>
      </c>
      <c r="H44" s="37" t="n">
        <f aca="false">IF(H$3&lt;YEAR(SA_ResynDate),SUMPRODUCT((YEAR('Bridge Period'!$C$54:$K$54)=H$3)*'Bridge Period'!$C$63:$K$63),IF(AND(H$3&gt;=YEAR(SA_ResynDate),H$3-YEAR(SA_ResynDate)+1&lt;=20),INDEX('SA - Pro Forma'!$D$36:$W$36,H$3-YEAR(SA_ResynDate)+1),0))</f>
        <v>-55292.8855733984</v>
      </c>
      <c r="I44" s="37" t="n">
        <f aca="false">IF(I$3&lt;YEAR(SA_ResynDate),SUMPRODUCT((YEAR('Bridge Period'!$C$54:$K$54)=I$3)*'Bridge Period'!$C$63:$K$63),IF(AND(I$3&gt;=YEAR(SA_ResynDate),I$3-YEAR(SA_ResynDate)+1&lt;=20),INDEX('SA - Pro Forma'!$D$36:$W$36,I$3-YEAR(SA_ResynDate)+1),0))</f>
        <v>-74934.7929658098</v>
      </c>
      <c r="J44" s="37" t="n">
        <f aca="false">IF(J$3&lt;YEAR(SA_ResynDate),SUMPRODUCT((YEAR('Bridge Period'!$C$54:$K$54)=J$3)*'Bridge Period'!$C$63:$K$63),IF(AND(J$3&gt;=YEAR(SA_ResynDate),J$3-YEAR(SA_ResynDate)+1&lt;=20),INDEX('SA - Pro Forma'!$D$36:$W$36,J$3-YEAR(SA_ResynDate)+1),0))</f>
        <v>-96308.4745453927</v>
      </c>
      <c r="K44" s="37" t="n">
        <f aca="false">IF(K$3&lt;YEAR(SA_ResynDate),SUMPRODUCT((YEAR('Bridge Period'!$C$54:$K$54)=K$3)*'Bridge Period'!$C$63:$K$63),IF(AND(K$3&gt;=YEAR(SA_ResynDate),K$3-YEAR(SA_ResynDate)+1&lt;=20),INDEX('SA - Pro Forma'!$D$36:$W$36,K$3-YEAR(SA_ResynDate)+1),0))</f>
        <v>-119514.334720619</v>
      </c>
      <c r="L44" s="37" t="n">
        <f aca="false">IF(L$3&lt;YEAR(SA_ResynDate),SUMPRODUCT((YEAR('Bridge Period'!$C$54:$K$54)=L$3)*'Bridge Period'!$C$63:$K$63),IF(AND(L$3&gt;=YEAR(SA_ResynDate),L$3-YEAR(SA_ResynDate)+1&lt;=20),INDEX('SA - Pro Forma'!$D$36:$W$36,L$3-YEAR(SA_ResynDate)+1),0))</f>
        <v>-144658.320231281</v>
      </c>
      <c r="M44" s="37" t="n">
        <f aca="false">IF(M$3&lt;YEAR(SA_ResynDate),SUMPRODUCT((YEAR('Bridge Period'!$C$54:$K$54)=M$3)*'Bridge Period'!$C$63:$K$63),IF(AND(M$3&gt;=YEAR(SA_ResynDate),M$3-YEAR(SA_ResynDate)+1&lt;=20),INDEX('SA - Pro Forma'!$D$36:$W$36,M$3-YEAR(SA_ResynDate)+1),0))</f>
        <v>-171852.231164022</v>
      </c>
      <c r="N44" s="37" t="n">
        <f aca="false">IF(N$3&lt;YEAR(SA_ResynDate),SUMPRODUCT((YEAR('Bridge Period'!$C$54:$K$54)=N$3)*'Bridge Period'!$C$63:$K$63),IF(AND(N$3&gt;=YEAR(SA_ResynDate),N$3-YEAR(SA_ResynDate)+1&lt;=20),INDEX('SA - Pro Forma'!$D$36:$W$36,N$3-YEAR(SA_ResynDate)+1),0))</f>
        <v>-201214.049850583</v>
      </c>
      <c r="O44" s="37" t="n">
        <f aca="false">IF(O$3&lt;YEAR(SA_ResynDate),SUMPRODUCT((YEAR('Bridge Period'!$C$54:$K$54)=O$3)*'Bridge Period'!$C$63:$K$63),IF(AND(O$3&gt;=YEAR(SA_ResynDate),O$3-YEAR(SA_ResynDate)+1&lt;=20),INDEX('SA - Pro Forma'!$D$36:$W$36,O$3-YEAR(SA_ResynDate)+1),0))</f>
        <v>-232868.288695884</v>
      </c>
      <c r="P44" s="37" t="n">
        <f aca="false">IF(P$3&lt;YEAR(SA_ResynDate),SUMPRODUCT((YEAR('Bridge Period'!$C$54:$K$54)=P$3)*'Bridge Period'!$C$63:$K$63),IF(AND(P$3&gt;=YEAR(SA_ResynDate),P$3-YEAR(SA_ResynDate)+1&lt;=20),INDEX('SA - Pro Forma'!$D$36:$W$36,P$3-YEAR(SA_ResynDate)+1),0))</f>
        <v>-266946.358045081</v>
      </c>
      <c r="Q44" s="37" t="n">
        <f aca="false">IF(Q$3&lt;YEAR(SA_ResynDate),SUMPRODUCT((YEAR('Bridge Period'!$C$54:$K$54)=Q$3)*'Bridge Period'!$C$63:$K$63),IF(AND(Q$3&gt;=YEAR(SA_ResynDate),Q$3-YEAR(SA_ResynDate)+1&lt;=20),INDEX('SA - Pro Forma'!$D$36:$W$36,Q$3-YEAR(SA_ResynDate)+1),0))</f>
        <v>-303586.955264442</v>
      </c>
      <c r="R44" s="37" t="n">
        <f aca="false">IF(R$3&lt;YEAR(SA_ResynDate),SUMPRODUCT((YEAR('Bridge Period'!$C$54:$K$54)=R$3)*'Bridge Period'!$C$63:$K$63),IF(AND(R$3&gt;=YEAR(SA_ResynDate),R$3-YEAR(SA_ResynDate)+1&lt;=20),INDEX('SA - Pro Forma'!$D$36:$W$36,R$3-YEAR(SA_ResynDate)+1),0))</f>
        <v>-342936.476280498</v>
      </c>
      <c r="S44" s="37" t="n">
        <f aca="false">IF(S$3&lt;YEAR(SA_ResynDate),SUMPRODUCT((YEAR('Bridge Period'!$C$54:$K$54)=S$3)*'Bridge Period'!$C$63:$K$63),IF(AND(S$3&gt;=YEAR(SA_ResynDate),S$3-YEAR(SA_ResynDate)+1&lt;=20),INDEX('SA - Pro Forma'!$D$36:$W$36,S$3-YEAR(SA_ResynDate)+1),0))</f>
        <v>-385149.450895683</v>
      </c>
      <c r="T44" s="37" t="n">
        <f aca="false">IF(T$3&lt;YEAR(SA_ResynDate),SUMPRODUCT((YEAR('Bridge Period'!$C$54:$K$54)=T$3)*'Bridge Period'!$C$63:$K$63),IF(AND(T$3&gt;=YEAR(SA_ResynDate),T$3-YEAR(SA_ResynDate)+1&lt;=20),INDEX('SA - Pro Forma'!$D$36:$W$36,T$3-YEAR(SA_ResynDate)+1),0))</f>
        <v>-430389.003276858</v>
      </c>
      <c r="U44" s="37" t="n">
        <f aca="false">IF(U$3&lt;YEAR(SA_ResynDate),SUMPRODUCT((YEAR('Bridge Period'!$C$54:$K$54)=U$3)*'Bridge Period'!$C$63:$K$63),IF(AND(U$3&gt;=YEAR(SA_ResynDate),U$3-YEAR(SA_ResynDate)+1&lt;=20),INDEX('SA - Pro Forma'!$D$36:$W$36,U$3-YEAR(SA_ResynDate)+1),0))</f>
        <v>-478827.339095941</v>
      </c>
      <c r="V44" s="37" t="n">
        <f aca="false">IF(V$3&lt;YEAR(SA_ResynDate),SUMPRODUCT((YEAR('Bridge Period'!$C$54:$K$54)=V$3)*'Bridge Period'!$C$63:$K$63),IF(AND(V$3&gt;=YEAR(SA_ResynDate),V$3-YEAR(SA_ResynDate)+1&lt;=20),INDEX('SA - Pro Forma'!$D$36:$W$36,V$3-YEAR(SA_ResynDate)+1),0))</f>
        <v>-530646.260889604</v>
      </c>
      <c r="W44" s="37" t="n">
        <f aca="false">IF(W$3&lt;YEAR(SA_ResynDate),SUMPRODUCT((YEAR('Bridge Period'!$C$54:$K$54)=W$3)*'Bridge Period'!$C$63:$K$63),IF(AND(W$3&gt;=YEAR(SA_ResynDate),W$3-YEAR(SA_ResynDate)+1&lt;=20),INDEX('SA - Pro Forma'!$D$36:$W$36,W$3-YEAR(SA_ResynDate)+1),0))</f>
        <v>0</v>
      </c>
    </row>
    <row r="45" customFormat="false" ht="15" hidden="false" customHeight="true" outlineLevel="0" collapsed="false">
      <c r="B45" s="19" t="s">
        <v>858</v>
      </c>
      <c r="C45" s="84" t="n">
        <f aca="false">SUM(C41:C44)</f>
        <v>-30840.0277834714</v>
      </c>
      <c r="D45" s="84" t="n">
        <f aca="false">SUM(D41:D44)</f>
        <v>109017.198061578</v>
      </c>
      <c r="E45" s="84" t="n">
        <f aca="false">SUM(E41:E44)</f>
        <v>89096.3922291023</v>
      </c>
      <c r="F45" s="84" t="n">
        <f aca="false">SUM(F41:F44)</f>
        <v>-84588.4657866082</v>
      </c>
      <c r="G45" s="84" t="n">
        <f aca="false">SUM(G41:G44)</f>
        <v>-19107.22746921</v>
      </c>
      <c r="H45" s="84" t="n">
        <f aca="false">SUM(H41:H44)</f>
        <v>-44925.5889302844</v>
      </c>
      <c r="I45" s="84" t="n">
        <f aca="false">SUM(I41:I44)</f>
        <v>-87906.728754852</v>
      </c>
      <c r="J45" s="84" t="n">
        <f aca="false">SUM(J41:J44)</f>
        <v>-135016.110007978</v>
      </c>
      <c r="K45" s="84" t="n">
        <f aca="false">SUM(K41:K44)</f>
        <v>-187420.954191083</v>
      </c>
      <c r="L45" s="84" t="n">
        <f aca="false">SUM(L41:L44)</f>
        <v>-245190.198894646</v>
      </c>
      <c r="M45" s="84" t="n">
        <f aca="false">SUM(M41:M44)</f>
        <v>-307960.357080702</v>
      </c>
      <c r="N45" s="84" t="n">
        <f aca="false">SUM(N41:N44)</f>
        <v>-375985.767997068</v>
      </c>
      <c r="O45" s="84" t="n">
        <f aca="false">SUM(O41:O44)</f>
        <v>-449565.169061301</v>
      </c>
      <c r="P45" s="84" t="n">
        <f aca="false">SUM(P41:P44)</f>
        <v>-529013.57618406</v>
      </c>
      <c r="Q45" s="84" t="n">
        <f aca="false">SUM(Q41:Q44)</f>
        <v>-614663.189573265</v>
      </c>
      <c r="R45" s="84" t="n">
        <f aca="false">SUM(R41:R44)</f>
        <v>-706864.351355606</v>
      </c>
      <c r="S45" s="84" t="n">
        <f aca="false">SUM(S41:S44)</f>
        <v>-805986.558040937</v>
      </c>
      <c r="T45" s="84" t="n">
        <f aca="false">SUM(T41:T44)</f>
        <v>-912419.531033986</v>
      </c>
      <c r="U45" s="84" t="n">
        <f aca="false">SUM(U41:U44)</f>
        <v>-1026574.34858736</v>
      </c>
      <c r="V45" s="84" t="n">
        <f aca="false">SUM(V41:V44)</f>
        <v>-1148884.64279061</v>
      </c>
      <c r="W45" s="84" t="n">
        <f aca="false">SUM(W41:W44)</f>
        <v>-693770.152104935</v>
      </c>
    </row>
    <row r="47" customFormat="false" ht="15" hidden="false" customHeight="true" outlineLevel="0" collapsed="false">
      <c r="B47" s="63" t="s">
        <v>871</v>
      </c>
    </row>
    <row r="48" customFormat="false" ht="15" hidden="false" customHeight="true" outlineLevel="0" collapsed="false">
      <c r="B48" s="13" t="s">
        <v>20</v>
      </c>
      <c r="C48" s="37" t="n">
        <f aca="false">IF(C$3&lt;YEAR(CH_ResynDate),0,IF(AND(C$3&gt;=YEAR(CH_ResynDate),C$3-YEAR(CH_ResynDate)+1&lt;=20),INDEX('CH - Waterfall'!$C$19:$V$19,C$3-YEAR(CH_ResynDate)+1),0))</f>
        <v>0</v>
      </c>
      <c r="D48" s="37" t="n">
        <f aca="false">IF(D$3&lt;YEAR(CH_ResynDate),0,IF(AND(D$3&gt;=YEAR(CH_ResynDate),D$3-YEAR(CH_ResynDate)+1&lt;=20),INDEX('CH - Waterfall'!$C$19:$V$19,D$3-YEAR(CH_ResynDate)+1),0))</f>
        <v>0</v>
      </c>
      <c r="E48" s="37" t="n">
        <f aca="false">IF(E$3&lt;YEAR(CH_ResynDate),0,IF(AND(E$3&gt;=YEAR(CH_ResynDate),E$3-YEAR(CH_ResynDate)+1&lt;=20),INDEX('CH - Waterfall'!$C$19:$V$19,E$3-YEAR(CH_ResynDate)+1),0))</f>
        <v>816531.2064</v>
      </c>
      <c r="F48" s="37" t="n">
        <f aca="false">IF(F$3&lt;YEAR(CH_ResynDate),0,IF(AND(F$3&gt;=YEAR(CH_ResynDate),F$3-YEAR(CH_ResynDate)+1&lt;=20),INDEX('CH - Waterfall'!$C$19:$V$19,F$3-YEAR(CH_ResynDate)+1),0))</f>
        <v>816531.2064</v>
      </c>
      <c r="G48" s="37" t="n">
        <f aca="false">IF(G$3&lt;YEAR(CH_ResynDate),0,IF(AND(G$3&gt;=YEAR(CH_ResynDate),G$3-YEAR(CH_ResynDate)+1&lt;=20),INDEX('CH - Waterfall'!$C$19:$V$19,G$3-YEAR(CH_ResynDate)+1),0))</f>
        <v>816531.2064</v>
      </c>
      <c r="H48" s="37" t="n">
        <f aca="false">IF(H$3&lt;YEAR(CH_ResynDate),0,IF(AND(H$3&gt;=YEAR(CH_ResynDate),H$3-YEAR(CH_ResynDate)+1&lt;=20),INDEX('CH - Waterfall'!$C$19:$V$19,H$3-YEAR(CH_ResynDate)+1),0))</f>
        <v>816531.2064</v>
      </c>
      <c r="I48" s="37" t="n">
        <f aca="false">IF(I$3&lt;YEAR(CH_ResynDate),0,IF(AND(I$3&gt;=YEAR(CH_ResynDate),I$3-YEAR(CH_ResynDate)+1&lt;=20),INDEX('CH - Waterfall'!$C$19:$V$19,I$3-YEAR(CH_ResynDate)+1),0))</f>
        <v>816531.2064</v>
      </c>
      <c r="J48" s="37" t="n">
        <f aca="false">IF(J$3&lt;YEAR(CH_ResynDate),0,IF(AND(J$3&gt;=YEAR(CH_ResynDate),J$3-YEAR(CH_ResynDate)+1&lt;=20),INDEX('CH - Waterfall'!$C$19:$V$19,J$3-YEAR(CH_ResynDate)+1),0))</f>
        <v>816531.2064</v>
      </c>
      <c r="K48" s="37" t="n">
        <f aca="false">IF(K$3&lt;YEAR(CH_ResynDate),0,IF(AND(K$3&gt;=YEAR(CH_ResynDate),K$3-YEAR(CH_ResynDate)+1&lt;=20),INDEX('CH - Waterfall'!$C$19:$V$19,K$3-YEAR(CH_ResynDate)+1),0))</f>
        <v>816531.2064</v>
      </c>
      <c r="L48" s="37" t="n">
        <f aca="false">IF(L$3&lt;YEAR(CH_ResynDate),0,IF(AND(L$3&gt;=YEAR(CH_ResynDate),L$3-YEAR(CH_ResynDate)+1&lt;=20),INDEX('CH - Waterfall'!$C$19:$V$19,L$3-YEAR(CH_ResynDate)+1),0))</f>
        <v>816531.2064</v>
      </c>
      <c r="M48" s="37" t="n">
        <f aca="false">IF(M$3&lt;YEAR(CH_ResynDate),0,IF(AND(M$3&gt;=YEAR(CH_ResynDate),M$3-YEAR(CH_ResynDate)+1&lt;=20),INDEX('CH - Waterfall'!$C$19:$V$19,M$3-YEAR(CH_ResynDate)+1),0))</f>
        <v>816531.2064</v>
      </c>
      <c r="N48" s="37" t="n">
        <f aca="false">IF(N$3&lt;YEAR(CH_ResynDate),0,IF(AND(N$3&gt;=YEAR(CH_ResynDate),N$3-YEAR(CH_ResynDate)+1&lt;=20),INDEX('CH - Waterfall'!$C$19:$V$19,N$3-YEAR(CH_ResynDate)+1),0))</f>
        <v>816531.2064</v>
      </c>
      <c r="O48" s="37" t="n">
        <f aca="false">IF(O$3&lt;YEAR(CH_ResynDate),0,IF(AND(O$3&gt;=YEAR(CH_ResynDate),O$3-YEAR(CH_ResynDate)+1&lt;=20),INDEX('CH - Waterfall'!$C$19:$V$19,O$3-YEAR(CH_ResynDate)+1),0))</f>
        <v>816531.2064</v>
      </c>
      <c r="P48" s="37" t="n">
        <f aca="false">IF(P$3&lt;YEAR(CH_ResynDate),0,IF(AND(P$3&gt;=YEAR(CH_ResynDate),P$3-YEAR(CH_ResynDate)+1&lt;=20),INDEX('CH - Waterfall'!$C$19:$V$19,P$3-YEAR(CH_ResynDate)+1),0))</f>
        <v>816531.2064</v>
      </c>
      <c r="Q48" s="37" t="n">
        <f aca="false">IF(Q$3&lt;YEAR(CH_ResynDate),0,IF(AND(Q$3&gt;=YEAR(CH_ResynDate),Q$3-YEAR(CH_ResynDate)+1&lt;=20),INDEX('CH - Waterfall'!$C$19:$V$19,Q$3-YEAR(CH_ResynDate)+1),0))</f>
        <v>816531.2064</v>
      </c>
      <c r="R48" s="37" t="n">
        <f aca="false">IF(R$3&lt;YEAR(CH_ResynDate),0,IF(AND(R$3&gt;=YEAR(CH_ResynDate),R$3-YEAR(CH_ResynDate)+1&lt;=20),INDEX('CH - Waterfall'!$C$19:$V$19,R$3-YEAR(CH_ResynDate)+1),0))</f>
        <v>816531.2064</v>
      </c>
      <c r="S48" s="37" t="n">
        <f aca="false">IF(S$3&lt;YEAR(CH_ResynDate),0,IF(AND(S$3&gt;=YEAR(CH_ResynDate),S$3-YEAR(CH_ResynDate)+1&lt;=20),INDEX('CH - Waterfall'!$C$19:$V$19,S$3-YEAR(CH_ResynDate)+1),0))</f>
        <v>816531.2064</v>
      </c>
      <c r="T48" s="37" t="n">
        <f aca="false">IF(T$3&lt;YEAR(CH_ResynDate),0,IF(AND(T$3&gt;=YEAR(CH_ResynDate),T$3-YEAR(CH_ResynDate)+1&lt;=20),INDEX('CH - Waterfall'!$C$19:$V$19,T$3-YEAR(CH_ResynDate)+1),0))</f>
        <v>816531.2064</v>
      </c>
      <c r="U48" s="37" t="n">
        <f aca="false">IF(U$3&lt;YEAR(CH_ResynDate),0,IF(AND(U$3&gt;=YEAR(CH_ResynDate),U$3-YEAR(CH_ResynDate)+1&lt;=20),INDEX('CH - Waterfall'!$C$19:$V$19,U$3-YEAR(CH_ResynDate)+1),0))</f>
        <v>816531.2064</v>
      </c>
      <c r="V48" s="37" t="n">
        <f aca="false">IF(V$3&lt;YEAR(CH_ResynDate),0,IF(AND(V$3&gt;=YEAR(CH_ResynDate),V$3-YEAR(CH_ResynDate)+1&lt;=20),INDEX('CH - Waterfall'!$C$19:$V$19,V$3-YEAR(CH_ResynDate)+1),0))</f>
        <v>816531.2064</v>
      </c>
      <c r="W48" s="37" t="n">
        <f aca="false">IF(W$3&lt;YEAR(CH_ResynDate),0,IF(AND(W$3&gt;=YEAR(CH_ResynDate),W$3-YEAR(CH_ResynDate)+1&lt;=20),INDEX('CH - Waterfall'!$C$19:$V$19,W$3-YEAR(CH_ResynDate)+1),0))</f>
        <v>816531.2064</v>
      </c>
    </row>
    <row r="49" customFormat="false" ht="15" hidden="false" customHeight="true" outlineLevel="0" collapsed="false">
      <c r="B49" s="13" t="s">
        <v>21</v>
      </c>
      <c r="C49" s="37" t="n">
        <f aca="false">IF(C$3&lt;YEAR(NZ_ResynDate),0,IF(AND(C$3&gt;=YEAR(NZ_ResynDate),C$3-YEAR(NZ_ResynDate)+1&lt;=20),INDEX('NZ - Waterfall'!$C$19:$V$19,C$3-YEAR(NZ_ResynDate)+1),0))</f>
        <v>0</v>
      </c>
      <c r="D49" s="37" t="n">
        <f aca="false">IF(D$3&lt;YEAR(NZ_ResynDate),0,IF(AND(D$3&gt;=YEAR(NZ_ResynDate),D$3-YEAR(NZ_ResynDate)+1&lt;=20),INDEX('NZ - Waterfall'!$C$19:$V$19,D$3-YEAR(NZ_ResynDate)+1),0))</f>
        <v>0</v>
      </c>
      <c r="E49" s="37" t="n">
        <f aca="false">IF(E$3&lt;YEAR(NZ_ResynDate),0,IF(AND(E$3&gt;=YEAR(NZ_ResynDate),E$3-YEAR(NZ_ResynDate)+1&lt;=20),INDEX('NZ - Waterfall'!$C$19:$V$19,E$3-YEAR(NZ_ResynDate)+1),0))</f>
        <v>0</v>
      </c>
      <c r="F49" s="37" t="n">
        <f aca="false">IF(F$3&lt;YEAR(NZ_ResynDate),0,IF(AND(F$3&gt;=YEAR(NZ_ResynDate),F$3-YEAR(NZ_ResynDate)+1&lt;=20),INDEX('NZ - Waterfall'!$C$19:$V$19,F$3-YEAR(NZ_ResynDate)+1),0))</f>
        <v>1010943.3984</v>
      </c>
      <c r="G49" s="37" t="n">
        <f aca="false">IF(G$3&lt;YEAR(NZ_ResynDate),0,IF(AND(G$3&gt;=YEAR(NZ_ResynDate),G$3-YEAR(NZ_ResynDate)+1&lt;=20),INDEX('NZ - Waterfall'!$C$19:$V$19,G$3-YEAR(NZ_ResynDate)+1),0))</f>
        <v>989554.889171792</v>
      </c>
      <c r="H49" s="37" t="n">
        <f aca="false">IF(H$3&lt;YEAR(NZ_ResynDate),0,IF(AND(H$3&gt;=YEAR(NZ_ResynDate),H$3-YEAR(NZ_ResynDate)+1&lt;=20),INDEX('NZ - Waterfall'!$C$19:$V$19,H$3-YEAR(NZ_ResynDate)+1),0))</f>
        <v>972552.80559346</v>
      </c>
      <c r="I49" s="37" t="n">
        <f aca="false">IF(I$3&lt;YEAR(NZ_ResynDate),0,IF(AND(I$3&gt;=YEAR(NZ_ResynDate),I$3-YEAR(NZ_ResynDate)+1&lt;=20),INDEX('NZ - Waterfall'!$C$19:$V$19,I$3-YEAR(NZ_ResynDate)+1),0))</f>
        <v>960511.860526963</v>
      </c>
      <c r="J49" s="37" t="n">
        <f aca="false">IF(J$3&lt;YEAR(NZ_ResynDate),0,IF(AND(J$3&gt;=YEAR(NZ_ResynDate),J$3-YEAR(NZ_ResynDate)+1&lt;=20),INDEX('NZ - Waterfall'!$C$19:$V$19,J$3-YEAR(NZ_ResynDate)+1),0))</f>
        <v>954039.76885305</v>
      </c>
      <c r="K49" s="37" t="n">
        <f aca="false">IF(K$3&lt;YEAR(NZ_ResynDate),0,IF(AND(K$3&gt;=YEAR(NZ_ResynDate),K$3-YEAR(NZ_ResynDate)+1&lt;=20),INDEX('NZ - Waterfall'!$C$19:$V$19,K$3-YEAR(NZ_ResynDate)+1),0))</f>
        <v>953778.980171563</v>
      </c>
      <c r="L49" s="37" t="n">
        <f aca="false">IF(L$3&lt;YEAR(NZ_ResynDate),0,IF(AND(L$3&gt;=YEAR(NZ_ResynDate),L$3-YEAR(NZ_ResynDate)+1&lt;=20),INDEX('NZ - Waterfall'!$C$19:$V$19,L$3-YEAR(NZ_ResynDate)+1),0))</f>
        <v>953778.980171563</v>
      </c>
      <c r="M49" s="37" t="n">
        <f aca="false">IF(M$3&lt;YEAR(NZ_ResynDate),0,IF(AND(M$3&gt;=YEAR(NZ_ResynDate),M$3-YEAR(NZ_ResynDate)+1&lt;=20),INDEX('NZ - Waterfall'!$C$19:$V$19,M$3-YEAR(NZ_ResynDate)+1),0))</f>
        <v>953778.980171563</v>
      </c>
      <c r="N49" s="37" t="n">
        <f aca="false">IF(N$3&lt;YEAR(NZ_ResynDate),0,IF(AND(N$3&gt;=YEAR(NZ_ResynDate),N$3-YEAR(NZ_ResynDate)+1&lt;=20),INDEX('NZ - Waterfall'!$C$19:$V$19,N$3-YEAR(NZ_ResynDate)+1),0))</f>
        <v>953778.980171563</v>
      </c>
      <c r="O49" s="37" t="n">
        <f aca="false">IF(O$3&lt;YEAR(NZ_ResynDate),0,IF(AND(O$3&gt;=YEAR(NZ_ResynDate),O$3-YEAR(NZ_ResynDate)+1&lt;=20),INDEX('NZ - Waterfall'!$C$19:$V$19,O$3-YEAR(NZ_ResynDate)+1),0))</f>
        <v>953778.980171563</v>
      </c>
      <c r="P49" s="37" t="n">
        <f aca="false">IF(P$3&lt;YEAR(NZ_ResynDate),0,IF(AND(P$3&gt;=YEAR(NZ_ResynDate),P$3-YEAR(NZ_ResynDate)+1&lt;=20),INDEX('NZ - Waterfall'!$C$19:$V$19,P$3-YEAR(NZ_ResynDate)+1),0))</f>
        <v>953778.980171563</v>
      </c>
      <c r="Q49" s="37" t="n">
        <f aca="false">IF(Q$3&lt;YEAR(NZ_ResynDate),0,IF(AND(Q$3&gt;=YEAR(NZ_ResynDate),Q$3-YEAR(NZ_ResynDate)+1&lt;=20),INDEX('NZ - Waterfall'!$C$19:$V$19,Q$3-YEAR(NZ_ResynDate)+1),0))</f>
        <v>953778.980171563</v>
      </c>
      <c r="R49" s="37" t="n">
        <f aca="false">IF(R$3&lt;YEAR(NZ_ResynDate),0,IF(AND(R$3&gt;=YEAR(NZ_ResynDate),R$3-YEAR(NZ_ResynDate)+1&lt;=20),INDEX('NZ - Waterfall'!$C$19:$V$19,R$3-YEAR(NZ_ResynDate)+1),0))</f>
        <v>953778.980171563</v>
      </c>
      <c r="S49" s="37" t="n">
        <f aca="false">IF(S$3&lt;YEAR(NZ_ResynDate),0,IF(AND(S$3&gt;=YEAR(NZ_ResynDate),S$3-YEAR(NZ_ResynDate)+1&lt;=20),INDEX('NZ - Waterfall'!$C$19:$V$19,S$3-YEAR(NZ_ResynDate)+1),0))</f>
        <v>953778.980171563</v>
      </c>
      <c r="T49" s="37" t="n">
        <f aca="false">IF(T$3&lt;YEAR(NZ_ResynDate),0,IF(AND(T$3&gt;=YEAR(NZ_ResynDate),T$3-YEAR(NZ_ResynDate)+1&lt;=20),INDEX('NZ - Waterfall'!$C$19:$V$19,T$3-YEAR(NZ_ResynDate)+1),0))</f>
        <v>953778.980171563</v>
      </c>
      <c r="U49" s="37" t="n">
        <f aca="false">IF(U$3&lt;YEAR(NZ_ResynDate),0,IF(AND(U$3&gt;=YEAR(NZ_ResynDate),U$3-YEAR(NZ_ResynDate)+1&lt;=20),INDEX('NZ - Waterfall'!$C$19:$V$19,U$3-YEAR(NZ_ResynDate)+1),0))</f>
        <v>953778.980171563</v>
      </c>
      <c r="V49" s="37" t="n">
        <f aca="false">IF(V$3&lt;YEAR(NZ_ResynDate),0,IF(AND(V$3&gt;=YEAR(NZ_ResynDate),V$3-YEAR(NZ_ResynDate)+1&lt;=20),INDEX('NZ - Waterfall'!$C$19:$V$19,V$3-YEAR(NZ_ResynDate)+1),0))</f>
        <v>953778.980171563</v>
      </c>
      <c r="W49" s="37" t="n">
        <f aca="false">IF(W$3&lt;YEAR(NZ_ResynDate),0,IF(AND(W$3&gt;=YEAR(NZ_ResynDate),W$3-YEAR(NZ_ResynDate)+1&lt;=20),INDEX('NZ - Waterfall'!$C$19:$V$19,W$3-YEAR(NZ_ResynDate)+1),0))</f>
        <v>953778.980171563</v>
      </c>
    </row>
    <row r="50" customFormat="false" ht="15" hidden="false" customHeight="true" outlineLevel="0" collapsed="false">
      <c r="B50" s="13" t="s">
        <v>22</v>
      </c>
      <c r="C50" s="37" t="n">
        <f aca="false">IF(C$3&lt;YEAR(LOM_ResynDate),0,IF(AND(C$3&gt;=YEAR(LOM_ResynDate),C$3-YEAR(LOM_ResynDate)+1&lt;=20),INDEX('LOM - Waterfall'!$C$19:$V$19,C$3-YEAR(LOM_ResynDate)+1),0))</f>
        <v>0</v>
      </c>
      <c r="D50" s="37" t="n">
        <f aca="false">IF(D$3&lt;YEAR(LOM_ResynDate),0,IF(AND(D$3&gt;=YEAR(LOM_ResynDate),D$3-YEAR(LOM_ResynDate)+1&lt;=20),INDEX('LOM - Waterfall'!$C$19:$V$19,D$3-YEAR(LOM_ResynDate)+1),0))</f>
        <v>0</v>
      </c>
      <c r="E50" s="37" t="n">
        <f aca="false">IF(E$3&lt;YEAR(LOM_ResynDate),0,IF(AND(E$3&gt;=YEAR(LOM_ResynDate),E$3-YEAR(LOM_ResynDate)+1&lt;=20),INDEX('LOM - Waterfall'!$C$19:$V$19,E$3-YEAR(LOM_ResynDate)+1),0))</f>
        <v>0</v>
      </c>
      <c r="F50" s="37" t="n">
        <f aca="false">IF(F$3&lt;YEAR(LOM_ResynDate),0,IF(AND(F$3&gt;=YEAR(LOM_ResynDate),F$3-YEAR(LOM_ResynDate)+1&lt;=20),INDEX('LOM - Waterfall'!$C$19:$V$19,F$3-YEAR(LOM_ResynDate)+1),0))</f>
        <v>1571626.77342039</v>
      </c>
      <c r="G50" s="37" t="n">
        <f aca="false">IF(G$3&lt;YEAR(LOM_ResynDate),0,IF(AND(G$3&gt;=YEAR(LOM_ResynDate),G$3-YEAR(LOM_ResynDate)+1&lt;=20),INDEX('LOM - Waterfall'!$C$19:$V$19,G$3-YEAR(LOM_ResynDate)+1),0))</f>
        <v>1561251.6132777</v>
      </c>
      <c r="H50" s="37" t="n">
        <f aca="false">IF(H$3&lt;YEAR(LOM_ResynDate),0,IF(AND(H$3&gt;=YEAR(LOM_ResynDate),H$3-YEAR(LOM_ResynDate)+1&lt;=20),INDEX('LOM - Waterfall'!$C$19:$V$19,H$3-YEAR(LOM_ResynDate)+1),0))</f>
        <v>1544816.85483945</v>
      </c>
      <c r="I50" s="37" t="n">
        <f aca="false">IF(I$3&lt;YEAR(LOM_ResynDate),0,IF(AND(I$3&gt;=YEAR(LOM_ResynDate),I$3-YEAR(LOM_ResynDate)+1&lt;=20),INDEX('LOM - Waterfall'!$C$19:$V$19,I$3-YEAR(LOM_ResynDate)+1),0))</f>
        <v>1536550.58480391</v>
      </c>
      <c r="J50" s="37" t="n">
        <f aca="false">IF(J$3&lt;YEAR(LOM_ResynDate),0,IF(AND(J$3&gt;=YEAR(LOM_ResynDate),J$3-YEAR(LOM_ResynDate)+1&lt;=20),INDEX('LOM - Waterfall'!$C$19:$V$19,J$3-YEAR(LOM_ResynDate)+1),0))</f>
        <v>1536550.58480391</v>
      </c>
      <c r="K50" s="37" t="n">
        <f aca="false">IF(K$3&lt;YEAR(LOM_ResynDate),0,IF(AND(K$3&gt;=YEAR(LOM_ResynDate),K$3-YEAR(LOM_ResynDate)+1&lt;=20),INDEX('LOM - Waterfall'!$C$19:$V$19,K$3-YEAR(LOM_ResynDate)+1),0))</f>
        <v>1536550.58480391</v>
      </c>
      <c r="L50" s="37" t="n">
        <f aca="false">IF(L$3&lt;YEAR(LOM_ResynDate),0,IF(AND(L$3&gt;=YEAR(LOM_ResynDate),L$3-YEAR(LOM_ResynDate)+1&lt;=20),INDEX('LOM - Waterfall'!$C$19:$V$19,L$3-YEAR(LOM_ResynDate)+1),0))</f>
        <v>1536550.58480391</v>
      </c>
      <c r="M50" s="37" t="n">
        <f aca="false">IF(M$3&lt;YEAR(LOM_ResynDate),0,IF(AND(M$3&gt;=YEAR(LOM_ResynDate),M$3-YEAR(LOM_ResynDate)+1&lt;=20),INDEX('LOM - Waterfall'!$C$19:$V$19,M$3-YEAR(LOM_ResynDate)+1),0))</f>
        <v>1536550.58480391</v>
      </c>
      <c r="N50" s="37" t="n">
        <f aca="false">IF(N$3&lt;YEAR(LOM_ResynDate),0,IF(AND(N$3&gt;=YEAR(LOM_ResynDate),N$3-YEAR(LOM_ResynDate)+1&lt;=20),INDEX('LOM - Waterfall'!$C$19:$V$19,N$3-YEAR(LOM_ResynDate)+1),0))</f>
        <v>1536550.58480391</v>
      </c>
      <c r="O50" s="37" t="n">
        <f aca="false">IF(O$3&lt;YEAR(LOM_ResynDate),0,IF(AND(O$3&gt;=YEAR(LOM_ResynDate),O$3-YEAR(LOM_ResynDate)+1&lt;=20),INDEX('LOM - Waterfall'!$C$19:$V$19,O$3-YEAR(LOM_ResynDate)+1),0))</f>
        <v>1536550.58480391</v>
      </c>
      <c r="P50" s="37" t="n">
        <f aca="false">IF(P$3&lt;YEAR(LOM_ResynDate),0,IF(AND(P$3&gt;=YEAR(LOM_ResynDate),P$3-YEAR(LOM_ResynDate)+1&lt;=20),INDEX('LOM - Waterfall'!$C$19:$V$19,P$3-YEAR(LOM_ResynDate)+1),0))</f>
        <v>1536550.58480391</v>
      </c>
      <c r="Q50" s="37" t="n">
        <f aca="false">IF(Q$3&lt;YEAR(LOM_ResynDate),0,IF(AND(Q$3&gt;=YEAR(LOM_ResynDate),Q$3-YEAR(LOM_ResynDate)+1&lt;=20),INDEX('LOM - Waterfall'!$C$19:$V$19,Q$3-YEAR(LOM_ResynDate)+1),0))</f>
        <v>1536550.58480391</v>
      </c>
      <c r="R50" s="37" t="n">
        <f aca="false">IF(R$3&lt;YEAR(LOM_ResynDate),0,IF(AND(R$3&gt;=YEAR(LOM_ResynDate),R$3-YEAR(LOM_ResynDate)+1&lt;=20),INDEX('LOM - Waterfall'!$C$19:$V$19,R$3-YEAR(LOM_ResynDate)+1),0))</f>
        <v>1536550.58480391</v>
      </c>
      <c r="S50" s="37" t="n">
        <f aca="false">IF(S$3&lt;YEAR(LOM_ResynDate),0,IF(AND(S$3&gt;=YEAR(LOM_ResynDate),S$3-YEAR(LOM_ResynDate)+1&lt;=20),INDEX('LOM - Waterfall'!$C$19:$V$19,S$3-YEAR(LOM_ResynDate)+1),0))</f>
        <v>1536550.58480391</v>
      </c>
      <c r="T50" s="37" t="n">
        <f aca="false">IF(T$3&lt;YEAR(LOM_ResynDate),0,IF(AND(T$3&gt;=YEAR(LOM_ResynDate),T$3-YEAR(LOM_ResynDate)+1&lt;=20),INDEX('LOM - Waterfall'!$C$19:$V$19,T$3-YEAR(LOM_ResynDate)+1),0))</f>
        <v>1536550.58480391</v>
      </c>
      <c r="U50" s="37" t="n">
        <f aca="false">IF(U$3&lt;YEAR(LOM_ResynDate),0,IF(AND(U$3&gt;=YEAR(LOM_ResynDate),U$3-YEAR(LOM_ResynDate)+1&lt;=20),INDEX('LOM - Waterfall'!$C$19:$V$19,U$3-YEAR(LOM_ResynDate)+1),0))</f>
        <v>1536550.58480391</v>
      </c>
      <c r="V50" s="37" t="n">
        <f aca="false">IF(V$3&lt;YEAR(LOM_ResynDate),0,IF(AND(V$3&gt;=YEAR(LOM_ResynDate),V$3-YEAR(LOM_ResynDate)+1&lt;=20),INDEX('LOM - Waterfall'!$C$19:$V$19,V$3-YEAR(LOM_ResynDate)+1),0))</f>
        <v>1536550.58480391</v>
      </c>
      <c r="W50" s="37" t="n">
        <f aca="false">IF(W$3&lt;YEAR(LOM_ResynDate),0,IF(AND(W$3&gt;=YEAR(LOM_ResynDate),W$3-YEAR(LOM_ResynDate)+1&lt;=20),INDEX('LOM - Waterfall'!$C$19:$V$19,W$3-YEAR(LOM_ResynDate)+1),0))</f>
        <v>1536550.58480391</v>
      </c>
    </row>
    <row r="51" customFormat="false" ht="15" hidden="false" customHeight="true" outlineLevel="0" collapsed="false">
      <c r="B51" s="13" t="s">
        <v>23</v>
      </c>
      <c r="C51" s="37" t="n">
        <f aca="false">IF(C$3&lt;YEAR(SA_ResynDate),0,IF(AND(C$3&gt;=YEAR(SA_ResynDate),C$3-YEAR(SA_ResynDate)+1&lt;=20),INDEX('SA - Waterfall'!$C$19:$V$19,C$3-YEAR(SA_ResynDate)+1),0))</f>
        <v>1799327.85145224</v>
      </c>
      <c r="D51" s="37" t="n">
        <f aca="false">IF(D$3&lt;YEAR(SA_ResynDate),0,IF(AND(D$3&gt;=YEAR(SA_ResynDate),D$3-YEAR(SA_ResynDate)+1&lt;=20),INDEX('SA - Waterfall'!$C$19:$V$19,D$3-YEAR(SA_ResynDate)+1),0))</f>
        <v>1799327.85145224</v>
      </c>
      <c r="E51" s="37" t="n">
        <f aca="false">IF(E$3&lt;YEAR(SA_ResynDate),0,IF(AND(E$3&gt;=YEAR(SA_ResynDate),E$3-YEAR(SA_ResynDate)+1&lt;=20),INDEX('SA - Waterfall'!$C$19:$V$19,E$3-YEAR(SA_ResynDate)+1),0))</f>
        <v>1799327.85145224</v>
      </c>
      <c r="F51" s="37" t="n">
        <f aca="false">IF(F$3&lt;YEAR(SA_ResynDate),0,IF(AND(F$3&gt;=YEAR(SA_ResynDate),F$3-YEAR(SA_ResynDate)+1&lt;=20),INDEX('SA - Waterfall'!$C$19:$V$19,F$3-YEAR(SA_ResynDate)+1),0))</f>
        <v>1799327.85145224</v>
      </c>
      <c r="G51" s="37" t="n">
        <f aca="false">IF(G$3&lt;YEAR(SA_ResynDate),0,IF(AND(G$3&gt;=YEAR(SA_ResynDate),G$3-YEAR(SA_ResynDate)+1&lt;=20),INDEX('SA - Waterfall'!$C$19:$V$19,G$3-YEAR(SA_ResynDate)+1),0))</f>
        <v>1799327.85145224</v>
      </c>
      <c r="H51" s="37" t="n">
        <f aca="false">IF(H$3&lt;YEAR(SA_ResynDate),0,IF(AND(H$3&gt;=YEAR(SA_ResynDate),H$3-YEAR(SA_ResynDate)+1&lt;=20),INDEX('SA - Waterfall'!$C$19:$V$19,H$3-YEAR(SA_ResynDate)+1),0))</f>
        <v>1799327.85145224</v>
      </c>
      <c r="I51" s="37" t="n">
        <f aca="false">IF(I$3&lt;YEAR(SA_ResynDate),0,IF(AND(I$3&gt;=YEAR(SA_ResynDate),I$3-YEAR(SA_ResynDate)+1&lt;=20),INDEX('SA - Waterfall'!$C$19:$V$19,I$3-YEAR(SA_ResynDate)+1),0))</f>
        <v>1799327.85145224</v>
      </c>
      <c r="J51" s="37" t="n">
        <f aca="false">IF(J$3&lt;YEAR(SA_ResynDate),0,IF(AND(J$3&gt;=YEAR(SA_ResynDate),J$3-YEAR(SA_ResynDate)+1&lt;=20),INDEX('SA - Waterfall'!$C$19:$V$19,J$3-YEAR(SA_ResynDate)+1),0))</f>
        <v>1799327.85145224</v>
      </c>
      <c r="K51" s="37" t="n">
        <f aca="false">IF(K$3&lt;YEAR(SA_ResynDate),0,IF(AND(K$3&gt;=YEAR(SA_ResynDate),K$3-YEAR(SA_ResynDate)+1&lt;=20),INDEX('SA - Waterfall'!$C$19:$V$19,K$3-YEAR(SA_ResynDate)+1),0))</f>
        <v>1799327.85145224</v>
      </c>
      <c r="L51" s="37" t="n">
        <f aca="false">IF(L$3&lt;YEAR(SA_ResynDate),0,IF(AND(L$3&gt;=YEAR(SA_ResynDate),L$3-YEAR(SA_ResynDate)+1&lt;=20),INDEX('SA - Waterfall'!$C$19:$V$19,L$3-YEAR(SA_ResynDate)+1),0))</f>
        <v>1799327.85145224</v>
      </c>
      <c r="M51" s="37" t="n">
        <f aca="false">IF(M$3&lt;YEAR(SA_ResynDate),0,IF(AND(M$3&gt;=YEAR(SA_ResynDate),M$3-YEAR(SA_ResynDate)+1&lt;=20),INDEX('SA - Waterfall'!$C$19:$V$19,M$3-YEAR(SA_ResynDate)+1),0))</f>
        <v>1799327.85145224</v>
      </c>
      <c r="N51" s="37" t="n">
        <f aca="false">IF(N$3&lt;YEAR(SA_ResynDate),0,IF(AND(N$3&gt;=YEAR(SA_ResynDate),N$3-YEAR(SA_ResynDate)+1&lt;=20),INDEX('SA - Waterfall'!$C$19:$V$19,N$3-YEAR(SA_ResynDate)+1),0))</f>
        <v>1799327.85145224</v>
      </c>
      <c r="O51" s="37" t="n">
        <f aca="false">IF(O$3&lt;YEAR(SA_ResynDate),0,IF(AND(O$3&gt;=YEAR(SA_ResynDate),O$3-YEAR(SA_ResynDate)+1&lt;=20),INDEX('SA - Waterfall'!$C$19:$V$19,O$3-YEAR(SA_ResynDate)+1),0))</f>
        <v>1799327.85145224</v>
      </c>
      <c r="P51" s="37" t="n">
        <f aca="false">IF(P$3&lt;YEAR(SA_ResynDate),0,IF(AND(P$3&gt;=YEAR(SA_ResynDate),P$3-YEAR(SA_ResynDate)+1&lt;=20),INDEX('SA - Waterfall'!$C$19:$V$19,P$3-YEAR(SA_ResynDate)+1),0))</f>
        <v>1799327.85145224</v>
      </c>
      <c r="Q51" s="37" t="n">
        <f aca="false">IF(Q$3&lt;YEAR(SA_ResynDate),0,IF(AND(Q$3&gt;=YEAR(SA_ResynDate),Q$3-YEAR(SA_ResynDate)+1&lt;=20),INDEX('SA - Waterfall'!$C$19:$V$19,Q$3-YEAR(SA_ResynDate)+1),0))</f>
        <v>1799327.85145224</v>
      </c>
      <c r="R51" s="37" t="n">
        <f aca="false">IF(R$3&lt;YEAR(SA_ResynDate),0,IF(AND(R$3&gt;=YEAR(SA_ResynDate),R$3-YEAR(SA_ResynDate)+1&lt;=20),INDEX('SA - Waterfall'!$C$19:$V$19,R$3-YEAR(SA_ResynDate)+1),0))</f>
        <v>1799327.85145224</v>
      </c>
      <c r="S51" s="37" t="n">
        <f aca="false">IF(S$3&lt;YEAR(SA_ResynDate),0,IF(AND(S$3&gt;=YEAR(SA_ResynDate),S$3-YEAR(SA_ResynDate)+1&lt;=20),INDEX('SA - Waterfall'!$C$19:$V$19,S$3-YEAR(SA_ResynDate)+1),0))</f>
        <v>1799327.85145224</v>
      </c>
      <c r="T51" s="37" t="n">
        <f aca="false">IF(T$3&lt;YEAR(SA_ResynDate),0,IF(AND(T$3&gt;=YEAR(SA_ResynDate),T$3-YEAR(SA_ResynDate)+1&lt;=20),INDEX('SA - Waterfall'!$C$19:$V$19,T$3-YEAR(SA_ResynDate)+1),0))</f>
        <v>1799327.85145224</v>
      </c>
      <c r="U51" s="37" t="n">
        <f aca="false">IF(U$3&lt;YEAR(SA_ResynDate),0,IF(AND(U$3&gt;=YEAR(SA_ResynDate),U$3-YEAR(SA_ResynDate)+1&lt;=20),INDEX('SA - Waterfall'!$C$19:$V$19,U$3-YEAR(SA_ResynDate)+1),0))</f>
        <v>1799327.85145224</v>
      </c>
      <c r="V51" s="37" t="n">
        <f aca="false">IF(V$3&lt;YEAR(SA_ResynDate),0,IF(AND(V$3&gt;=YEAR(SA_ResynDate),V$3-YEAR(SA_ResynDate)+1&lt;=20),INDEX('SA - Waterfall'!$C$19:$V$19,V$3-YEAR(SA_ResynDate)+1),0))</f>
        <v>1799327.85145224</v>
      </c>
      <c r="W51" s="37" t="n">
        <f aca="false">IF(W$3&lt;YEAR(SA_ResynDate),0,IF(AND(W$3&gt;=YEAR(SA_ResynDate),W$3-YEAR(SA_ResynDate)+1&lt;=20),INDEX('SA - Waterfall'!$C$19:$V$19,W$3-YEAR(SA_ResynDate)+1),0))</f>
        <v>0</v>
      </c>
    </row>
    <row r="52" customFormat="false" ht="15" hidden="false" customHeight="true" outlineLevel="0" collapsed="false">
      <c r="B52" s="19" t="s">
        <v>858</v>
      </c>
      <c r="C52" s="84" t="n">
        <f aca="false">SUM(C48:C51)</f>
        <v>1799327.85145224</v>
      </c>
      <c r="D52" s="84" t="n">
        <f aca="false">SUM(D48:D51)</f>
        <v>1799327.85145224</v>
      </c>
      <c r="E52" s="84" t="n">
        <f aca="false">SUM(E48:E51)</f>
        <v>2615859.05785223</v>
      </c>
      <c r="F52" s="84" t="n">
        <f aca="false">SUM(F48:F51)</f>
        <v>5198429.22967263</v>
      </c>
      <c r="G52" s="84" t="n">
        <f aca="false">SUM(G48:G51)</f>
        <v>5166665.56030172</v>
      </c>
      <c r="H52" s="84" t="n">
        <f aca="false">SUM(H48:H51)</f>
        <v>5133228.71828515</v>
      </c>
      <c r="I52" s="84" t="n">
        <f aca="false">SUM(I48:I51)</f>
        <v>5112921.50318311</v>
      </c>
      <c r="J52" s="84" t="n">
        <f aca="false">SUM(J48:J51)</f>
        <v>5106449.4115092</v>
      </c>
      <c r="K52" s="84" t="n">
        <f aca="false">SUM(K48:K51)</f>
        <v>5106188.62282771</v>
      </c>
      <c r="L52" s="84" t="n">
        <f aca="false">SUM(L48:L51)</f>
        <v>5106188.62282771</v>
      </c>
      <c r="M52" s="84" t="n">
        <f aca="false">SUM(M48:M51)</f>
        <v>5106188.62282771</v>
      </c>
      <c r="N52" s="84" t="n">
        <f aca="false">SUM(N48:N51)</f>
        <v>5106188.62282771</v>
      </c>
      <c r="O52" s="84" t="n">
        <f aca="false">SUM(O48:O51)</f>
        <v>5106188.62282771</v>
      </c>
      <c r="P52" s="84" t="n">
        <f aca="false">SUM(P48:P51)</f>
        <v>5106188.62282771</v>
      </c>
      <c r="Q52" s="84" t="n">
        <f aca="false">SUM(Q48:Q51)</f>
        <v>5106188.62282771</v>
      </c>
      <c r="R52" s="84" t="n">
        <f aca="false">SUM(R48:R51)</f>
        <v>5106188.62282771</v>
      </c>
      <c r="S52" s="84" t="n">
        <f aca="false">SUM(S48:S51)</f>
        <v>5106188.62282771</v>
      </c>
      <c r="T52" s="84" t="n">
        <f aca="false">SUM(T48:T51)</f>
        <v>5106188.62282771</v>
      </c>
      <c r="U52" s="84" t="n">
        <f aca="false">SUM(U48:U51)</f>
        <v>5106188.62282771</v>
      </c>
      <c r="V52" s="84" t="n">
        <f aca="false">SUM(V48:V51)</f>
        <v>5106188.62282771</v>
      </c>
      <c r="W52" s="84" t="n">
        <f aca="false">SUM(W48:W51)</f>
        <v>3306860.77137547</v>
      </c>
    </row>
    <row r="54" customFormat="false" ht="15" hidden="false" customHeight="true" outlineLevel="0" collapsed="false">
      <c r="B54" s="63" t="s">
        <v>872</v>
      </c>
    </row>
    <row r="55" customFormat="false" ht="15" hidden="false" customHeight="true" outlineLevel="0" collapsed="false">
      <c r="B55" s="13" t="s">
        <v>20</v>
      </c>
      <c r="C55" s="37" t="n">
        <f aca="false">IF(AND(C$3&gt;=YEAR(CH_ResynDate),C$3-YEAR(CH_ResynDate)+1&lt;=20),INDEX('CH - Waterfall'!$C$11:$V$11,C$3-YEAR(CH_ResynDate)+1),0)</f>
        <v>0</v>
      </c>
      <c r="D55" s="37" t="n">
        <f aca="false">IF(AND(D$3&gt;=YEAR(CH_ResynDate),D$3-YEAR(CH_ResynDate)+1&lt;=20),INDEX('CH - Waterfall'!$C$11:$V$11,D$3-YEAR(CH_ResynDate)+1),0)+C55</f>
        <v>0</v>
      </c>
      <c r="E55" s="37" t="n">
        <f aca="false">IF(AND(E$3&gt;=YEAR(CH_ResynDate),E$3-YEAR(CH_ResynDate)+1&lt;=20),INDEX('CH - Waterfall'!$C$11:$V$11,E$3-YEAR(CH_ResynDate)+1),0)+D55</f>
        <v>0</v>
      </c>
      <c r="F55" s="37" t="n">
        <f aca="false">IF(AND(F$3&gt;=YEAR(CH_ResynDate),F$3-YEAR(CH_ResynDate)+1&lt;=20),INDEX('CH - Waterfall'!$C$11:$V$11,F$3-YEAR(CH_ResynDate)+1),0)+E55</f>
        <v>0</v>
      </c>
      <c r="G55" s="37" t="n">
        <f aca="false">IF(AND(G$3&gt;=YEAR(CH_ResynDate),G$3-YEAR(CH_ResynDate)+1&lt;=20),INDEX('CH - Waterfall'!$C$11:$V$11,G$3-YEAR(CH_ResynDate)+1),0)+F55</f>
        <v>0</v>
      </c>
      <c r="H55" s="37" t="n">
        <f aca="false">IF(AND(H$3&gt;=YEAR(CH_ResynDate),H$3-YEAR(CH_ResynDate)+1&lt;=20),INDEX('CH - Waterfall'!$C$11:$V$11,H$3-YEAR(CH_ResynDate)+1),0)+G55</f>
        <v>0</v>
      </c>
      <c r="I55" s="37" t="n">
        <f aca="false">IF(AND(I$3&gt;=YEAR(CH_ResynDate),I$3-YEAR(CH_ResynDate)+1&lt;=20),INDEX('CH - Waterfall'!$C$11:$V$11,I$3-YEAR(CH_ResynDate)+1),0)+H55</f>
        <v>0</v>
      </c>
      <c r="J55" s="37" t="n">
        <f aca="false">IF(AND(J$3&gt;=YEAR(CH_ResynDate),J$3-YEAR(CH_ResynDate)+1&lt;=20),INDEX('CH - Waterfall'!$C$11:$V$11,J$3-YEAR(CH_ResynDate)+1),0)+I55</f>
        <v>0</v>
      </c>
      <c r="K55" s="37" t="n">
        <f aca="false">IF(AND(K$3&gt;=YEAR(CH_ResynDate),K$3-YEAR(CH_ResynDate)+1&lt;=20),INDEX('CH - Waterfall'!$C$11:$V$11,K$3-YEAR(CH_ResynDate)+1),0)+J55</f>
        <v>0</v>
      </c>
      <c r="L55" s="37" t="n">
        <f aca="false">IF(AND(L$3&gt;=YEAR(CH_ResynDate),L$3-YEAR(CH_ResynDate)+1&lt;=20),INDEX('CH - Waterfall'!$C$11:$V$11,L$3-YEAR(CH_ResynDate)+1),0)+K55</f>
        <v>0</v>
      </c>
      <c r="M55" s="37" t="n">
        <f aca="false">IF(AND(M$3&gt;=YEAR(CH_ResynDate),M$3-YEAR(CH_ResynDate)+1&lt;=20),INDEX('CH - Waterfall'!$C$11:$V$11,M$3-YEAR(CH_ResynDate)+1),0)+L55</f>
        <v>0</v>
      </c>
      <c r="N55" s="37" t="n">
        <f aca="false">IF(AND(N$3&gt;=YEAR(CH_ResynDate),N$3-YEAR(CH_ResynDate)+1&lt;=20),INDEX('CH - Waterfall'!$C$11:$V$11,N$3-YEAR(CH_ResynDate)+1),0)+M55</f>
        <v>0</v>
      </c>
      <c r="O55" s="37" t="n">
        <f aca="false">IF(AND(O$3&gt;=YEAR(CH_ResynDate),O$3-YEAR(CH_ResynDate)+1&lt;=20),INDEX('CH - Waterfall'!$C$11:$V$11,O$3-YEAR(CH_ResynDate)+1),0)+N55</f>
        <v>0</v>
      </c>
      <c r="P55" s="37" t="n">
        <f aca="false">IF(AND(P$3&gt;=YEAR(CH_ResynDate),P$3-YEAR(CH_ResynDate)+1&lt;=20),INDEX('CH - Waterfall'!$C$11:$V$11,P$3-YEAR(CH_ResynDate)+1),0)+O55</f>
        <v>0</v>
      </c>
      <c r="Q55" s="37" t="n">
        <f aca="false">IF(AND(Q$3&gt;=YEAR(CH_ResynDate),Q$3-YEAR(CH_ResynDate)+1&lt;=20),INDEX('CH - Waterfall'!$C$11:$V$11,Q$3-YEAR(CH_ResynDate)+1),0)+P55</f>
        <v>0</v>
      </c>
      <c r="R55" s="37" t="n">
        <f aca="false">IF(AND(R$3&gt;=YEAR(CH_ResynDate),R$3-YEAR(CH_ResynDate)+1&lt;=20),INDEX('CH - Waterfall'!$C$11:$V$11,R$3-YEAR(CH_ResynDate)+1),0)+Q55</f>
        <v>0</v>
      </c>
      <c r="S55" s="37" t="n">
        <f aca="false">IF(AND(S$3&gt;=YEAR(CH_ResynDate),S$3-YEAR(CH_ResynDate)+1&lt;=20),INDEX('CH - Waterfall'!$C$11:$V$11,S$3-YEAR(CH_ResynDate)+1),0)+R55</f>
        <v>0</v>
      </c>
      <c r="T55" s="37" t="n">
        <f aca="false">IF(AND(T$3&gt;=YEAR(CH_ResynDate),T$3-YEAR(CH_ResynDate)+1&lt;=20),INDEX('CH - Waterfall'!$C$11:$V$11,T$3-YEAR(CH_ResynDate)+1),0)+S55</f>
        <v>0</v>
      </c>
      <c r="U55" s="37" t="n">
        <f aca="false">IF(AND(U$3&gt;=YEAR(CH_ResynDate),U$3-YEAR(CH_ResynDate)+1&lt;=20),INDEX('CH - Waterfall'!$C$11:$V$11,U$3-YEAR(CH_ResynDate)+1),0)+T55</f>
        <v>0</v>
      </c>
      <c r="V55" s="37" t="n">
        <f aca="false">IF(AND(V$3&gt;=YEAR(CH_ResynDate),V$3-YEAR(CH_ResynDate)+1&lt;=20),INDEX('CH - Waterfall'!$C$11:$V$11,V$3-YEAR(CH_ResynDate)+1),0)+U55</f>
        <v>0</v>
      </c>
      <c r="W55" s="37" t="n">
        <f aca="false">IF(AND(W$3&gt;=YEAR(CH_ResynDate),W$3-YEAR(CH_ResynDate)+1&lt;=20),INDEX('CH - Waterfall'!$C$11:$V$11,W$3-YEAR(CH_ResynDate)+1),0)+V55</f>
        <v>0</v>
      </c>
    </row>
    <row r="56" customFormat="false" ht="15" hidden="false" customHeight="true" outlineLevel="0" collapsed="false">
      <c r="B56" s="13" t="s">
        <v>21</v>
      </c>
      <c r="C56" s="37" t="n">
        <f aca="false">IF(AND(C$3&gt;=YEAR(NZ_ResynDate),C$3-YEAR(NZ_ResynDate)+1&lt;=20),INDEX('NZ - Waterfall'!$C$11:$V$11,C$3-YEAR(NZ_ResynDate)+1),0)</f>
        <v>0</v>
      </c>
      <c r="D56" s="37" t="n">
        <f aca="false">IF(AND(D$3&gt;=YEAR(NZ_ResynDate),D$3-YEAR(NZ_ResynDate)+1&lt;=20),INDEX('NZ - Waterfall'!$C$11:$V$11,D$3-YEAR(NZ_ResynDate)+1),0)+C56</f>
        <v>0</v>
      </c>
      <c r="E56" s="37" t="n">
        <f aca="false">IF(AND(E$3&gt;=YEAR(NZ_ResynDate),E$3-YEAR(NZ_ResynDate)+1&lt;=20),INDEX('NZ - Waterfall'!$C$11:$V$11,E$3-YEAR(NZ_ResynDate)+1),0)+D56</f>
        <v>0</v>
      </c>
      <c r="F56" s="37" t="n">
        <f aca="false">IF(AND(F$3&gt;=YEAR(NZ_ResynDate),F$3-YEAR(NZ_ResynDate)+1&lt;=20),INDEX('NZ - Waterfall'!$C$11:$V$11,F$3-YEAR(NZ_ResynDate)+1),0)+E56</f>
        <v>0</v>
      </c>
      <c r="G56" s="37" t="n">
        <f aca="false">IF(AND(G$3&gt;=YEAR(NZ_ResynDate),G$3-YEAR(NZ_ResynDate)+1&lt;=20),INDEX('NZ - Waterfall'!$C$11:$V$11,G$3-YEAR(NZ_ResynDate)+1),0)+F56</f>
        <v>21388.5092282077</v>
      </c>
      <c r="H56" s="37" t="n">
        <f aca="false">IF(AND(H$3&gt;=YEAR(NZ_ResynDate),H$3-YEAR(NZ_ResynDate)+1&lt;=20),INDEX('NZ - Waterfall'!$C$11:$V$11,H$3-YEAR(NZ_ResynDate)+1),0)+G56</f>
        <v>38390.592806539</v>
      </c>
      <c r="I56" s="37" t="n">
        <f aca="false">IF(AND(I$3&gt;=YEAR(NZ_ResynDate),I$3-YEAR(NZ_ResynDate)+1&lt;=20),INDEX('NZ - Waterfall'!$C$11:$V$11,I$3-YEAR(NZ_ResynDate)+1),0)+H56</f>
        <v>50431.5378730359</v>
      </c>
      <c r="J56" s="37" t="n">
        <f aca="false">IF(AND(J$3&gt;=YEAR(NZ_ResynDate),J$3-YEAR(NZ_ResynDate)+1&lt;=20),INDEX('NZ - Waterfall'!$C$11:$V$11,J$3-YEAR(NZ_ResynDate)+1),0)+I56</f>
        <v>56903.6295469494</v>
      </c>
      <c r="K56" s="37" t="n">
        <f aca="false">IF(AND(K$3&gt;=YEAR(NZ_ResynDate),K$3-YEAR(NZ_ResynDate)+1&lt;=20),INDEX('NZ - Waterfall'!$C$11:$V$11,K$3-YEAR(NZ_ResynDate)+1),0)+J56</f>
        <v>57164.4182284366</v>
      </c>
      <c r="L56" s="37" t="n">
        <f aca="false">IF(AND(L$3&gt;=YEAR(NZ_ResynDate),L$3-YEAR(NZ_ResynDate)+1&lt;=20),INDEX('NZ - Waterfall'!$C$11:$V$11,L$3-YEAR(NZ_ResynDate)+1),0)+K56</f>
        <v>57164.4182284366</v>
      </c>
      <c r="M56" s="37" t="n">
        <f aca="false">IF(AND(M$3&gt;=YEAR(NZ_ResynDate),M$3-YEAR(NZ_ResynDate)+1&lt;=20),INDEX('NZ - Waterfall'!$C$11:$V$11,M$3-YEAR(NZ_ResynDate)+1),0)+L56</f>
        <v>57164.4182284366</v>
      </c>
      <c r="N56" s="37" t="n">
        <f aca="false">IF(AND(N$3&gt;=YEAR(NZ_ResynDate),N$3-YEAR(NZ_ResynDate)+1&lt;=20),INDEX('NZ - Waterfall'!$C$11:$V$11,N$3-YEAR(NZ_ResynDate)+1),0)+M56</f>
        <v>57164.4182284366</v>
      </c>
      <c r="O56" s="37" t="n">
        <f aca="false">IF(AND(O$3&gt;=YEAR(NZ_ResynDate),O$3-YEAR(NZ_ResynDate)+1&lt;=20),INDEX('NZ - Waterfall'!$C$11:$V$11,O$3-YEAR(NZ_ResynDate)+1),0)+N56</f>
        <v>57164.4182284366</v>
      </c>
      <c r="P56" s="37" t="n">
        <f aca="false">IF(AND(P$3&gt;=YEAR(NZ_ResynDate),P$3-YEAR(NZ_ResynDate)+1&lt;=20),INDEX('NZ - Waterfall'!$C$11:$V$11,P$3-YEAR(NZ_ResynDate)+1),0)+O56</f>
        <v>57164.4182284366</v>
      </c>
      <c r="Q56" s="37" t="n">
        <f aca="false">IF(AND(Q$3&gt;=YEAR(NZ_ResynDate),Q$3-YEAR(NZ_ResynDate)+1&lt;=20),INDEX('NZ - Waterfall'!$C$11:$V$11,Q$3-YEAR(NZ_ResynDate)+1),0)+P56</f>
        <v>57164.4182284366</v>
      </c>
      <c r="R56" s="37" t="n">
        <f aca="false">IF(AND(R$3&gt;=YEAR(NZ_ResynDate),R$3-YEAR(NZ_ResynDate)+1&lt;=20),INDEX('NZ - Waterfall'!$C$11:$V$11,R$3-YEAR(NZ_ResynDate)+1),0)+Q56</f>
        <v>57164.4182284366</v>
      </c>
      <c r="S56" s="37" t="n">
        <f aca="false">IF(AND(S$3&gt;=YEAR(NZ_ResynDate),S$3-YEAR(NZ_ResynDate)+1&lt;=20),INDEX('NZ - Waterfall'!$C$11:$V$11,S$3-YEAR(NZ_ResynDate)+1),0)+R56</f>
        <v>57164.4182284366</v>
      </c>
      <c r="T56" s="37" t="n">
        <f aca="false">IF(AND(T$3&gt;=YEAR(NZ_ResynDate),T$3-YEAR(NZ_ResynDate)+1&lt;=20),INDEX('NZ - Waterfall'!$C$11:$V$11,T$3-YEAR(NZ_ResynDate)+1),0)+S56</f>
        <v>57164.4182284366</v>
      </c>
      <c r="U56" s="37" t="n">
        <f aca="false">IF(AND(U$3&gt;=YEAR(NZ_ResynDate),U$3-YEAR(NZ_ResynDate)+1&lt;=20),INDEX('NZ - Waterfall'!$C$11:$V$11,U$3-YEAR(NZ_ResynDate)+1),0)+T56</f>
        <v>57164.4182284366</v>
      </c>
      <c r="V56" s="37" t="n">
        <f aca="false">IF(AND(V$3&gt;=YEAR(NZ_ResynDate),V$3-YEAR(NZ_ResynDate)+1&lt;=20),INDEX('NZ - Waterfall'!$C$11:$V$11,V$3-YEAR(NZ_ResynDate)+1),0)+U56</f>
        <v>57164.4182284366</v>
      </c>
      <c r="W56" s="37" t="n">
        <f aca="false">IF(AND(W$3&gt;=YEAR(NZ_ResynDate),W$3-YEAR(NZ_ResynDate)+1&lt;=20),INDEX('NZ - Waterfall'!$C$11:$V$11,W$3-YEAR(NZ_ResynDate)+1),0)+V56</f>
        <v>57164.4182284366</v>
      </c>
    </row>
    <row r="57" customFormat="false" ht="15" hidden="false" customHeight="true" outlineLevel="0" collapsed="false">
      <c r="B57" s="13" t="s">
        <v>22</v>
      </c>
      <c r="C57" s="37" t="n">
        <f aca="false">IF(AND(C$3&gt;=YEAR(LOM_ResynDate),C$3-YEAR(LOM_ResynDate)+1&lt;=20),INDEX('LOM - Waterfall'!$C$11:$V$11,C$3-YEAR(LOM_ResynDate)+1),0)</f>
        <v>0</v>
      </c>
      <c r="D57" s="37" t="n">
        <f aca="false">IF(AND(D$3&gt;=YEAR(LOM_ResynDate),D$3-YEAR(LOM_ResynDate)+1&lt;=20),INDEX('LOM - Waterfall'!$C$11:$V$11,D$3-YEAR(LOM_ResynDate)+1),0)+C57</f>
        <v>0</v>
      </c>
      <c r="E57" s="37" t="n">
        <f aca="false">IF(AND(E$3&gt;=YEAR(LOM_ResynDate),E$3-YEAR(LOM_ResynDate)+1&lt;=20),INDEX('LOM - Waterfall'!$C$11:$V$11,E$3-YEAR(LOM_ResynDate)+1),0)+D57</f>
        <v>0</v>
      </c>
      <c r="F57" s="37" t="n">
        <f aca="false">IF(AND(F$3&gt;=YEAR(LOM_ResynDate),F$3-YEAR(LOM_ResynDate)+1&lt;=20),INDEX('LOM - Waterfall'!$C$11:$V$11,F$3-YEAR(LOM_ResynDate)+1),0)+E57</f>
        <v>0</v>
      </c>
      <c r="G57" s="37" t="n">
        <f aca="false">IF(AND(G$3&gt;=YEAR(LOM_ResynDate),G$3-YEAR(LOM_ResynDate)+1&lt;=20),INDEX('LOM - Waterfall'!$C$11:$V$11,G$3-YEAR(LOM_ResynDate)+1),0)+F57</f>
        <v>10375.1601426984</v>
      </c>
      <c r="H57" s="37" t="n">
        <f aca="false">IF(AND(H$3&gt;=YEAR(LOM_ResynDate),H$3-YEAR(LOM_ResynDate)+1&lt;=20),INDEX('LOM - Waterfall'!$C$11:$V$11,H$3-YEAR(LOM_ResynDate)+1),0)+G57</f>
        <v>26809.9185809438</v>
      </c>
      <c r="I57" s="37" t="n">
        <f aca="false">IF(AND(I$3&gt;=YEAR(LOM_ResynDate),I$3-YEAR(LOM_ResynDate)+1&lt;=20),INDEX('LOM - Waterfall'!$C$11:$V$11,I$3-YEAR(LOM_ResynDate)+1),0)+H57</f>
        <v>35076.1886164811</v>
      </c>
      <c r="J57" s="37" t="n">
        <f aca="false">IF(AND(J$3&gt;=YEAR(LOM_ResynDate),J$3-YEAR(LOM_ResynDate)+1&lt;=20),INDEX('LOM - Waterfall'!$C$11:$V$11,J$3-YEAR(LOM_ResynDate)+1),0)+I57</f>
        <v>35076.1886164811</v>
      </c>
      <c r="K57" s="37" t="n">
        <f aca="false">IF(AND(K$3&gt;=YEAR(LOM_ResynDate),K$3-YEAR(LOM_ResynDate)+1&lt;=20),INDEX('LOM - Waterfall'!$C$11:$V$11,K$3-YEAR(LOM_ResynDate)+1),0)+J57</f>
        <v>35076.1886164811</v>
      </c>
      <c r="L57" s="37" t="n">
        <f aca="false">IF(AND(L$3&gt;=YEAR(LOM_ResynDate),L$3-YEAR(LOM_ResynDate)+1&lt;=20),INDEX('LOM - Waterfall'!$C$11:$V$11,L$3-YEAR(LOM_ResynDate)+1),0)+K57</f>
        <v>35076.1886164811</v>
      </c>
      <c r="M57" s="37" t="n">
        <f aca="false">IF(AND(M$3&gt;=YEAR(LOM_ResynDate),M$3-YEAR(LOM_ResynDate)+1&lt;=20),INDEX('LOM - Waterfall'!$C$11:$V$11,M$3-YEAR(LOM_ResynDate)+1),0)+L57</f>
        <v>35076.1886164811</v>
      </c>
      <c r="N57" s="37" t="n">
        <f aca="false">IF(AND(N$3&gt;=YEAR(LOM_ResynDate),N$3-YEAR(LOM_ResynDate)+1&lt;=20),INDEX('LOM - Waterfall'!$C$11:$V$11,N$3-YEAR(LOM_ResynDate)+1),0)+M57</f>
        <v>35076.1886164811</v>
      </c>
      <c r="O57" s="37" t="n">
        <f aca="false">IF(AND(O$3&gt;=YEAR(LOM_ResynDate),O$3-YEAR(LOM_ResynDate)+1&lt;=20),INDEX('LOM - Waterfall'!$C$11:$V$11,O$3-YEAR(LOM_ResynDate)+1),0)+N57</f>
        <v>35076.1886164811</v>
      </c>
      <c r="P57" s="37" t="n">
        <f aca="false">IF(AND(P$3&gt;=YEAR(LOM_ResynDate),P$3-YEAR(LOM_ResynDate)+1&lt;=20),INDEX('LOM - Waterfall'!$C$11:$V$11,P$3-YEAR(LOM_ResynDate)+1),0)+O57</f>
        <v>35076.1886164811</v>
      </c>
      <c r="Q57" s="37" t="n">
        <f aca="false">IF(AND(Q$3&gt;=YEAR(LOM_ResynDate),Q$3-YEAR(LOM_ResynDate)+1&lt;=20),INDEX('LOM - Waterfall'!$C$11:$V$11,Q$3-YEAR(LOM_ResynDate)+1),0)+P57</f>
        <v>35076.1886164811</v>
      </c>
      <c r="R57" s="37" t="n">
        <f aca="false">IF(AND(R$3&gt;=YEAR(LOM_ResynDate),R$3-YEAR(LOM_ResynDate)+1&lt;=20),INDEX('LOM - Waterfall'!$C$11:$V$11,R$3-YEAR(LOM_ResynDate)+1),0)+Q57</f>
        <v>35076.1886164811</v>
      </c>
      <c r="S57" s="37" t="n">
        <f aca="false">IF(AND(S$3&gt;=YEAR(LOM_ResynDate),S$3-YEAR(LOM_ResynDate)+1&lt;=20),INDEX('LOM - Waterfall'!$C$11:$V$11,S$3-YEAR(LOM_ResynDate)+1),0)+R57</f>
        <v>35076.1886164811</v>
      </c>
      <c r="T57" s="37" t="n">
        <f aca="false">IF(AND(T$3&gt;=YEAR(LOM_ResynDate),T$3-YEAR(LOM_ResynDate)+1&lt;=20),INDEX('LOM - Waterfall'!$C$11:$V$11,T$3-YEAR(LOM_ResynDate)+1),0)+S57</f>
        <v>35076.1886164811</v>
      </c>
      <c r="U57" s="37" t="n">
        <f aca="false">IF(AND(U$3&gt;=YEAR(LOM_ResynDate),U$3-YEAR(LOM_ResynDate)+1&lt;=20),INDEX('LOM - Waterfall'!$C$11:$V$11,U$3-YEAR(LOM_ResynDate)+1),0)+T57</f>
        <v>35076.1886164811</v>
      </c>
      <c r="V57" s="37" t="n">
        <f aca="false">IF(AND(V$3&gt;=YEAR(LOM_ResynDate),V$3-YEAR(LOM_ResynDate)+1&lt;=20),INDEX('LOM - Waterfall'!$C$11:$V$11,V$3-YEAR(LOM_ResynDate)+1),0)+U57</f>
        <v>35076.1886164811</v>
      </c>
      <c r="W57" s="37" t="n">
        <f aca="false">IF(AND(W$3&gt;=YEAR(LOM_ResynDate),W$3-YEAR(LOM_ResynDate)+1&lt;=20),INDEX('LOM - Waterfall'!$C$11:$V$11,W$3-YEAR(LOM_ResynDate)+1),0)+V57</f>
        <v>35076.1886164811</v>
      </c>
    </row>
    <row r="58" customFormat="false" ht="15" hidden="false" customHeight="true" outlineLevel="0" collapsed="false">
      <c r="B58" s="13" t="s">
        <v>23</v>
      </c>
      <c r="C58" s="37" t="n">
        <f aca="false">IF(AND(C$3&gt;=YEAR(SA_ResynDate),C$3-YEAR(SA_ResynDate)+1&lt;=20),INDEX('SA - Waterfall'!$C$11:$V$11,C$3-YEAR(SA_ResynDate)+1),0)</f>
        <v>0</v>
      </c>
      <c r="D58" s="37" t="n">
        <f aca="false">IF(AND(D$3&gt;=YEAR(SA_ResynDate),D$3-YEAR(SA_ResynDate)+1&lt;=20),INDEX('SA - Waterfall'!$C$11:$V$11,D$3-YEAR(SA_ResynDate)+1),0)+C58</f>
        <v>0</v>
      </c>
      <c r="E58" s="37" t="n">
        <f aca="false">IF(AND(E$3&gt;=YEAR(SA_ResynDate),E$3-YEAR(SA_ResynDate)+1&lt;=20),INDEX('SA - Waterfall'!$C$11:$V$11,E$3-YEAR(SA_ResynDate)+1),0)+D58</f>
        <v>0</v>
      </c>
      <c r="F58" s="37" t="n">
        <f aca="false">IF(AND(F$3&gt;=YEAR(SA_ResynDate),F$3-YEAR(SA_ResynDate)+1&lt;=20),INDEX('SA - Waterfall'!$C$11:$V$11,F$3-YEAR(SA_ResynDate)+1),0)+E58</f>
        <v>0</v>
      </c>
      <c r="G58" s="37" t="n">
        <f aca="false">IF(AND(G$3&gt;=YEAR(SA_ResynDate),G$3-YEAR(SA_ResynDate)+1&lt;=20),INDEX('SA - Waterfall'!$C$11:$V$11,G$3-YEAR(SA_ResynDate)+1),0)+F58</f>
        <v>0</v>
      </c>
      <c r="H58" s="37" t="n">
        <f aca="false">IF(AND(H$3&gt;=YEAR(SA_ResynDate),H$3-YEAR(SA_ResynDate)+1&lt;=20),INDEX('SA - Waterfall'!$C$11:$V$11,H$3-YEAR(SA_ResynDate)+1),0)+G58</f>
        <v>0</v>
      </c>
      <c r="I58" s="37" t="n">
        <f aca="false">IF(AND(I$3&gt;=YEAR(SA_ResynDate),I$3-YEAR(SA_ResynDate)+1&lt;=20),INDEX('SA - Waterfall'!$C$11:$V$11,I$3-YEAR(SA_ResynDate)+1),0)+H58</f>
        <v>0</v>
      </c>
      <c r="J58" s="37" t="n">
        <f aca="false">IF(AND(J$3&gt;=YEAR(SA_ResynDate),J$3-YEAR(SA_ResynDate)+1&lt;=20),INDEX('SA - Waterfall'!$C$11:$V$11,J$3-YEAR(SA_ResynDate)+1),0)+I58</f>
        <v>0</v>
      </c>
      <c r="K58" s="37" t="n">
        <f aca="false">IF(AND(K$3&gt;=YEAR(SA_ResynDate),K$3-YEAR(SA_ResynDate)+1&lt;=20),INDEX('SA - Waterfall'!$C$11:$V$11,K$3-YEAR(SA_ResynDate)+1),0)+J58</f>
        <v>0</v>
      </c>
      <c r="L58" s="37" t="n">
        <f aca="false">IF(AND(L$3&gt;=YEAR(SA_ResynDate),L$3-YEAR(SA_ResynDate)+1&lt;=20),INDEX('SA - Waterfall'!$C$11:$V$11,L$3-YEAR(SA_ResynDate)+1),0)+K58</f>
        <v>0</v>
      </c>
      <c r="M58" s="37" t="n">
        <f aca="false">IF(AND(M$3&gt;=YEAR(SA_ResynDate),M$3-YEAR(SA_ResynDate)+1&lt;=20),INDEX('SA - Waterfall'!$C$11:$V$11,M$3-YEAR(SA_ResynDate)+1),0)+L58</f>
        <v>0</v>
      </c>
      <c r="N58" s="37" t="n">
        <f aca="false">IF(AND(N$3&gt;=YEAR(SA_ResynDate),N$3-YEAR(SA_ResynDate)+1&lt;=20),INDEX('SA - Waterfall'!$C$11:$V$11,N$3-YEAR(SA_ResynDate)+1),0)+M58</f>
        <v>0</v>
      </c>
      <c r="O58" s="37" t="n">
        <f aca="false">IF(AND(O$3&gt;=YEAR(SA_ResynDate),O$3-YEAR(SA_ResynDate)+1&lt;=20),INDEX('SA - Waterfall'!$C$11:$V$11,O$3-YEAR(SA_ResynDate)+1),0)+N58</f>
        <v>0</v>
      </c>
      <c r="P58" s="37" t="n">
        <f aca="false">IF(AND(P$3&gt;=YEAR(SA_ResynDate),P$3-YEAR(SA_ResynDate)+1&lt;=20),INDEX('SA - Waterfall'!$C$11:$V$11,P$3-YEAR(SA_ResynDate)+1),0)+O58</f>
        <v>0</v>
      </c>
      <c r="Q58" s="37" t="n">
        <f aca="false">IF(AND(Q$3&gt;=YEAR(SA_ResynDate),Q$3-YEAR(SA_ResynDate)+1&lt;=20),INDEX('SA - Waterfall'!$C$11:$V$11,Q$3-YEAR(SA_ResynDate)+1),0)+P58</f>
        <v>0</v>
      </c>
      <c r="R58" s="37" t="n">
        <f aca="false">IF(AND(R$3&gt;=YEAR(SA_ResynDate),R$3-YEAR(SA_ResynDate)+1&lt;=20),INDEX('SA - Waterfall'!$C$11:$V$11,R$3-YEAR(SA_ResynDate)+1),0)+Q58</f>
        <v>0</v>
      </c>
      <c r="S58" s="37" t="n">
        <f aca="false">IF(AND(S$3&gt;=YEAR(SA_ResynDate),S$3-YEAR(SA_ResynDate)+1&lt;=20),INDEX('SA - Waterfall'!$C$11:$V$11,S$3-YEAR(SA_ResynDate)+1),0)+R58</f>
        <v>0</v>
      </c>
      <c r="T58" s="37" t="n">
        <f aca="false">IF(AND(T$3&gt;=YEAR(SA_ResynDate),T$3-YEAR(SA_ResynDate)+1&lt;=20),INDEX('SA - Waterfall'!$C$11:$V$11,T$3-YEAR(SA_ResynDate)+1),0)+S58</f>
        <v>0</v>
      </c>
      <c r="U58" s="37" t="n">
        <f aca="false">IF(AND(U$3&gt;=YEAR(SA_ResynDate),U$3-YEAR(SA_ResynDate)+1&lt;=20),INDEX('SA - Waterfall'!$C$11:$V$11,U$3-YEAR(SA_ResynDate)+1),0)+T58</f>
        <v>0</v>
      </c>
      <c r="V58" s="37" t="n">
        <f aca="false">IF(AND(V$3&gt;=YEAR(SA_ResynDate),V$3-YEAR(SA_ResynDate)+1&lt;=20),INDEX('SA - Waterfall'!$C$11:$V$11,V$3-YEAR(SA_ResynDate)+1),0)+U58</f>
        <v>0</v>
      </c>
      <c r="W58" s="37" t="n">
        <f aca="false">IF(AND(W$3&gt;=YEAR(SA_ResynDate),W$3-YEAR(SA_ResynDate)+1&lt;=20),INDEX('SA - Waterfall'!$C$11:$V$11,W$3-YEAR(SA_ResynDate)+1),0)+V58</f>
        <v>0</v>
      </c>
    </row>
    <row r="59" customFormat="false" ht="15" hidden="false" customHeight="true" outlineLevel="0" collapsed="false">
      <c r="B59" s="19" t="s">
        <v>858</v>
      </c>
      <c r="C59" s="84" t="n">
        <f aca="false">SUM(C55:C58)</f>
        <v>0</v>
      </c>
      <c r="D59" s="84" t="n">
        <f aca="false">SUM(D55:D58)</f>
        <v>0</v>
      </c>
      <c r="E59" s="84" t="n">
        <f aca="false">SUM(E55:E58)</f>
        <v>0</v>
      </c>
      <c r="F59" s="84" t="n">
        <f aca="false">SUM(F55:F58)</f>
        <v>0</v>
      </c>
      <c r="G59" s="84" t="n">
        <f aca="false">SUM(G55:G58)</f>
        <v>31763.6693709062</v>
      </c>
      <c r="H59" s="84" t="n">
        <f aca="false">SUM(H55:H58)</f>
        <v>65200.5113874828</v>
      </c>
      <c r="I59" s="84" t="n">
        <f aca="false">SUM(I55:I58)</f>
        <v>85507.726489517</v>
      </c>
      <c r="J59" s="84" t="n">
        <f aca="false">SUM(J55:J58)</f>
        <v>91979.8181634305</v>
      </c>
      <c r="K59" s="84" t="n">
        <f aca="false">SUM(K55:K58)</f>
        <v>92240.6068449177</v>
      </c>
      <c r="L59" s="84" t="n">
        <f aca="false">SUM(L55:L58)</f>
        <v>92240.6068449177</v>
      </c>
      <c r="M59" s="84" t="n">
        <f aca="false">SUM(M55:M58)</f>
        <v>92240.6068449177</v>
      </c>
      <c r="N59" s="84" t="n">
        <f aca="false">SUM(N55:N58)</f>
        <v>92240.6068449177</v>
      </c>
      <c r="O59" s="84" t="n">
        <f aca="false">SUM(O55:O58)</f>
        <v>92240.6068449177</v>
      </c>
      <c r="P59" s="84" t="n">
        <f aca="false">SUM(P55:P58)</f>
        <v>92240.6068449177</v>
      </c>
      <c r="Q59" s="84" t="n">
        <f aca="false">SUM(Q55:Q58)</f>
        <v>92240.6068449177</v>
      </c>
      <c r="R59" s="84" t="n">
        <f aca="false">SUM(R55:R58)</f>
        <v>92240.6068449177</v>
      </c>
      <c r="S59" s="84" t="n">
        <f aca="false">SUM(S55:S58)</f>
        <v>92240.6068449177</v>
      </c>
      <c r="T59" s="84" t="n">
        <f aca="false">SUM(T55:T58)</f>
        <v>92240.6068449177</v>
      </c>
      <c r="U59" s="84" t="n">
        <f aca="false">SUM(U55:U58)</f>
        <v>92240.6068449177</v>
      </c>
      <c r="V59" s="84" t="n">
        <f aca="false">SUM(V55:V58)</f>
        <v>92240.6068449177</v>
      </c>
      <c r="W59" s="84" t="n">
        <f aca="false">SUM(W55:W58)</f>
        <v>92240.6068449177</v>
      </c>
    </row>
    <row r="61" customFormat="false" ht="15" hidden="false" customHeight="true" outlineLevel="0" collapsed="false">
      <c r="B61" s="63" t="s">
        <v>873</v>
      </c>
    </row>
    <row r="62" customFormat="false" ht="15" hidden="false" customHeight="true" outlineLevel="0" collapsed="false">
      <c r="B62" s="13" t="s">
        <v>874</v>
      </c>
      <c r="C62" s="87" t="n">
        <f aca="false">PortfolioMaxPrice</f>
        <v>3500000</v>
      </c>
    </row>
    <row r="63" customFormat="false" ht="15" hidden="false" customHeight="true" outlineLevel="0" collapsed="false">
      <c r="B63" s="13" t="s">
        <v>849</v>
      </c>
      <c r="C63" s="66" t="n">
        <f aca="false">PortfolioMaxPrice/507</f>
        <v>6903.35305719921</v>
      </c>
    </row>
    <row r="64" customFormat="false" ht="15" hidden="false" customHeight="true" outlineLevel="0" collapsed="false">
      <c r="B64" s="13" t="s">
        <v>875</v>
      </c>
      <c r="C64" s="106" t="n">
        <f aca="false">G38</f>
        <v>0.991538578359902</v>
      </c>
    </row>
    <row r="65" customFormat="false" ht="15" hidden="false" customHeight="true" outlineLevel="0" collapsed="false">
      <c r="B65" s="13" t="s">
        <v>876</v>
      </c>
      <c r="C65" s="26" t="str">
        <f aca="false">IFERROR(INDEX($C$3:$W$3,MATCH(TRUE(),INDEX($C$52:$W$52&lt;=0.5,0),0)),"NOT REPAID")</f>
        <v>NOT REPAID</v>
      </c>
    </row>
    <row r="67" customFormat="false" ht="15" hidden="false" customHeight="true" outlineLevel="0" collapsed="false">
      <c r="B67" s="63" t="s">
        <v>877</v>
      </c>
    </row>
    <row r="68" customFormat="false" ht="15" hidden="false" customHeight="true" outlineLevel="0" collapsed="false">
      <c r="B68" s="40" t="s">
        <v>878</v>
      </c>
      <c r="C68" s="40" t="s">
        <v>2</v>
      </c>
      <c r="D68" s="40" t="s">
        <v>3</v>
      </c>
      <c r="E68" s="40" t="s">
        <v>4</v>
      </c>
      <c r="F68" s="40" t="s">
        <v>5</v>
      </c>
      <c r="G68" s="40" t="s">
        <v>858</v>
      </c>
    </row>
    <row r="69" customFormat="false" ht="15" hidden="false" customHeight="true" outlineLevel="0" collapsed="false">
      <c r="B69" s="15" t="s">
        <v>879</v>
      </c>
      <c r="C69" s="111" t="n">
        <v>0</v>
      </c>
      <c r="D69" s="111" t="n">
        <v>0</v>
      </c>
      <c r="E69" s="111" t="n">
        <v>3000000</v>
      </c>
      <c r="F69" s="111" t="n">
        <v>500000</v>
      </c>
      <c r="G69" s="111" t="n">
        <v>3500000</v>
      </c>
    </row>
    <row r="70" customFormat="false" ht="15" hidden="false" customHeight="true" outlineLevel="0" collapsed="false">
      <c r="B70" s="15" t="s">
        <v>880</v>
      </c>
      <c r="C70" s="111" t="n">
        <v>0</v>
      </c>
      <c r="D70" s="111" t="n">
        <v>0</v>
      </c>
      <c r="E70" s="111" t="n">
        <v>2700000</v>
      </c>
      <c r="F70" s="111" t="n">
        <v>500000</v>
      </c>
      <c r="G70" s="111" t="n">
        <v>3200000</v>
      </c>
    </row>
    <row r="71" customFormat="false" ht="15" hidden="false" customHeight="true" outlineLevel="0" collapsed="false">
      <c r="B71" s="15" t="s">
        <v>881</v>
      </c>
      <c r="C71" s="111" t="n">
        <v>0</v>
      </c>
      <c r="D71" s="111" t="n">
        <v>0</v>
      </c>
      <c r="E71" s="111" t="n">
        <v>3150000</v>
      </c>
      <c r="F71" s="111" t="n">
        <v>500000</v>
      </c>
      <c r="G71" s="111" t="n">
        <v>3650000</v>
      </c>
    </row>
    <row r="72" customFormat="false" ht="15" hidden="false" customHeight="true" outlineLevel="0" collapsed="false">
      <c r="B72" s="15" t="s">
        <v>882</v>
      </c>
      <c r="C72" s="111" t="n">
        <v>0</v>
      </c>
      <c r="D72" s="111" t="n">
        <v>0</v>
      </c>
      <c r="E72" s="111" t="n">
        <v>3150000</v>
      </c>
      <c r="F72" s="111" t="n">
        <v>500000</v>
      </c>
      <c r="G72" s="111" t="n">
        <v>3650000</v>
      </c>
    </row>
    <row r="73" customFormat="false" ht="15" hidden="false" customHeight="true" outlineLevel="0" collapsed="false">
      <c r="B73" s="15" t="s">
        <v>883</v>
      </c>
      <c r="C73" s="111" t="n">
        <v>0</v>
      </c>
      <c r="D73" s="111" t="n">
        <v>0</v>
      </c>
      <c r="E73" s="111" t="n">
        <v>2700000</v>
      </c>
      <c r="F73" s="111" t="n">
        <v>500000</v>
      </c>
      <c r="G73" s="111" t="n">
        <v>3200000</v>
      </c>
    </row>
    <row r="74" customFormat="false" ht="15" hidden="false" customHeight="true" outlineLevel="0" collapsed="false">
      <c r="B74" s="15" t="s">
        <v>884</v>
      </c>
      <c r="C74" s="111" t="n">
        <v>0</v>
      </c>
      <c r="D74" s="111" t="n">
        <v>0</v>
      </c>
      <c r="E74" s="111" t="n">
        <v>2550000</v>
      </c>
      <c r="F74" s="111" t="n">
        <v>0</v>
      </c>
      <c r="G74" s="111" t="n">
        <v>2550000</v>
      </c>
    </row>
    <row r="75" customFormat="false" ht="15" hidden="false" customHeight="true" outlineLevel="0" collapsed="false">
      <c r="B75" s="15" t="s">
        <v>885</v>
      </c>
      <c r="C75" s="111" t="n">
        <v>0</v>
      </c>
      <c r="D75" s="111" t="n">
        <v>0</v>
      </c>
      <c r="E75" s="111" t="n">
        <v>3300000</v>
      </c>
      <c r="F75" s="111" t="n">
        <v>1000000</v>
      </c>
      <c r="G75" s="111" t="n">
        <v>4300000</v>
      </c>
    </row>
    <row r="76" customFormat="false" ht="15" hidden="false" customHeight="true" outlineLevel="0" collapsed="false">
      <c r="B76" s="15" t="s">
        <v>886</v>
      </c>
      <c r="C76" s="111" t="n">
        <v>852761</v>
      </c>
      <c r="D76" s="111" t="n">
        <v>1700000</v>
      </c>
      <c r="E76" s="111" t="n">
        <v>5250000</v>
      </c>
      <c r="F76" s="111" t="n">
        <v>4250000</v>
      </c>
      <c r="G76" s="111" t="n">
        <v>12052761</v>
      </c>
    </row>
    <row r="77" customFormat="false" ht="15" hidden="false" customHeight="true" outlineLevel="0" collapsed="false">
      <c r="B77" s="15" t="s">
        <v>887</v>
      </c>
      <c r="C77" s="111" t="n">
        <v>0</v>
      </c>
      <c r="D77" s="111" t="n">
        <v>0</v>
      </c>
      <c r="E77" s="111" t="n">
        <v>600000</v>
      </c>
      <c r="F77" s="111" t="n">
        <v>0</v>
      </c>
      <c r="G77" s="111" t="n">
        <v>600000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.43"/>
    <col collapsed="false" customWidth="true" hidden="false" outlineLevel="0" max="2" min="2" style="1" width="16"/>
    <col collapsed="false" customWidth="true" hidden="false" outlineLevel="0" max="3" min="3" style="1" width="26"/>
    <col collapsed="false" customWidth="true" hidden="false" outlineLevel="0" max="11" min="4" style="1" width="9"/>
    <col collapsed="false" customWidth="true" hidden="false" outlineLevel="0" max="12" min="12" style="1" width="2"/>
    <col collapsed="false" customWidth="true" hidden="false" outlineLevel="0" max="13" min="13" style="1" width="46"/>
  </cols>
  <sheetData>
    <row r="1" customFormat="false" ht="17.25" hidden="false" customHeight="true" outlineLevel="0" collapsed="false">
      <c r="A1" s="11" t="s">
        <v>888</v>
      </c>
    </row>
    <row r="2" customFormat="false" ht="15" hidden="false" customHeight="true" outlineLevel="0" collapsed="false">
      <c r="B2" s="3" t="s">
        <v>889</v>
      </c>
      <c r="C2" s="3" t="s">
        <v>671</v>
      </c>
      <c r="D2" s="112" t="n">
        <v>2026</v>
      </c>
      <c r="E2" s="112" t="n">
        <v>2027</v>
      </c>
      <c r="F2" s="112" t="n">
        <v>2028</v>
      </c>
      <c r="G2" s="112" t="n">
        <v>2029</v>
      </c>
      <c r="H2" s="112" t="n">
        <v>2030</v>
      </c>
      <c r="I2" s="112" t="n">
        <v>2031</v>
      </c>
      <c r="J2" s="112" t="n">
        <v>2032</v>
      </c>
      <c r="K2" s="112" t="n">
        <v>2033</v>
      </c>
    </row>
    <row r="3" customFormat="false" ht="15" hidden="false" customHeight="true" outlineLevel="0" collapsed="false">
      <c r="B3" s="19" t="s">
        <v>20</v>
      </c>
      <c r="C3" s="13" t="s">
        <v>890</v>
      </c>
      <c r="D3" s="56" t="str">
        <f aca="false">IF(YEAR($M3)=2026,"TCCP","")</f>
        <v/>
      </c>
      <c r="E3" s="56" t="str">
        <f aca="false">IF(YEAR($M3)=2027,"TCCP","")</f>
        <v>TCCP</v>
      </c>
      <c r="F3" s="56" t="str">
        <f aca="false">IF(YEAR($M3)=2028,"TCCP","")</f>
        <v/>
      </c>
      <c r="G3" s="56" t="str">
        <f aca="false">IF(YEAR($M3)=2029,"TCCP","")</f>
        <v/>
      </c>
      <c r="H3" s="56" t="str">
        <f aca="false">IF(YEAR($M3)=2030,"TCCP","")</f>
        <v/>
      </c>
      <c r="I3" s="56" t="str">
        <f aca="false">IF(YEAR($M3)=2031,"TCCP","")</f>
        <v/>
      </c>
      <c r="J3" s="56" t="str">
        <f aca="false">IF(YEAR($M3)=2032,"TCCP","")</f>
        <v/>
      </c>
      <c r="K3" s="56" t="str">
        <f aca="false">IF(YEAR($M3)=2033,"TCCP","")</f>
        <v/>
      </c>
      <c r="M3" s="105" t="n">
        <v>46752</v>
      </c>
    </row>
    <row r="4" customFormat="false" ht="15" hidden="false" customHeight="true" outlineLevel="0" collapsed="false">
      <c r="C4" s="13" t="s">
        <v>891</v>
      </c>
      <c r="D4" s="56" t="str">
        <f aca="false">IF(YEAR($M4)=2026,"HAP","")</f>
        <v/>
      </c>
      <c r="E4" s="56" t="str">
        <f aca="false">IF(YEAR($M4)=2027,"HAP","")</f>
        <v/>
      </c>
      <c r="F4" s="56" t="str">
        <f aca="false">IF(YEAR($M4)=2028,"HAP","")</f>
        <v/>
      </c>
      <c r="G4" s="56" t="str">
        <f aca="false">IF(YEAR($M4)=2029,"HAP","")</f>
        <v/>
      </c>
      <c r="H4" s="56" t="str">
        <f aca="false">IF(YEAR($M4)=2030,"HAP","")</f>
        <v/>
      </c>
      <c r="I4" s="56" t="str">
        <f aca="false">IF(YEAR($M4)=2031,"HAP","")</f>
        <v/>
      </c>
      <c r="J4" s="56" t="str">
        <f aca="false">IF(YEAR($M4)=2032,"HAP","")</f>
        <v>HAP</v>
      </c>
      <c r="K4" s="56" t="str">
        <f aca="false">IF(YEAR($M4)=2033,"HAP","")</f>
        <v/>
      </c>
      <c r="M4" s="105" t="n">
        <v>48395</v>
      </c>
    </row>
    <row r="5" customFormat="false" ht="15" hidden="false" customHeight="true" outlineLevel="0" collapsed="false">
      <c r="C5" s="13" t="s">
        <v>892</v>
      </c>
      <c r="D5" s="56" t="str">
        <f aca="false">IF(2026&gt;=$M5,"----","")</f>
        <v/>
      </c>
      <c r="E5" s="56" t="str">
        <f aca="false">IF(2027&gt;=$M5,"----","")</f>
        <v/>
      </c>
      <c r="F5" s="56" t="str">
        <f aca="false">IF(2028&gt;=$M5,"----","")</f>
        <v>----</v>
      </c>
      <c r="G5" s="56" t="str">
        <f aca="false">IF(2029&gt;=$M5,"----","")</f>
        <v>----</v>
      </c>
      <c r="H5" s="56" t="str">
        <f aca="false">IF(2030&gt;=$M5,"----","")</f>
        <v>----</v>
      </c>
      <c r="I5" s="56" t="str">
        <f aca="false">IF(2031&gt;=$M5,"----","")</f>
        <v>----</v>
      </c>
      <c r="J5" s="56" t="str">
        <f aca="false">IF(2032&gt;=$M5,"----","")</f>
        <v>----</v>
      </c>
      <c r="K5" s="56" t="str">
        <f aca="false">IF(2033&gt;=$M5,"----","")</f>
        <v>----</v>
      </c>
      <c r="M5" s="113" t="n">
        <v>2028</v>
      </c>
    </row>
    <row r="6" customFormat="false" ht="15" hidden="false" customHeight="true" outlineLevel="0" collapsed="false">
      <c r="C6" s="13" t="s">
        <v>893</v>
      </c>
      <c r="D6" s="58" t="str">
        <f aca="false">IF(AND(2026&gt;=YEAR(CH_ResynDate),2026&lt;=YEAR(EDATE(CH_ResynDate,CH_RehabMonths))),"XXXX","")</f>
        <v/>
      </c>
      <c r="E6" s="58" t="str">
        <f aca="false">IF(AND(2027&gt;=YEAR(CH_ResynDate),2027&lt;=YEAR(EDATE(CH_ResynDate,CH_RehabMonths))),"XXXX","")</f>
        <v/>
      </c>
      <c r="F6" s="58" t="str">
        <f aca="false">IF(AND(2028&gt;=YEAR(CH_ResynDate),2028&lt;=YEAR(EDATE(CH_ResynDate,CH_RehabMonths))),"XXXX","")</f>
        <v>XXXX</v>
      </c>
      <c r="G6" s="58" t="str">
        <f aca="false">IF(AND(2029&gt;=YEAR(CH_ResynDate),2029&lt;=YEAR(EDATE(CH_ResynDate,CH_RehabMonths))),"XXXX","")</f>
        <v>XXXX</v>
      </c>
      <c r="H6" s="58" t="str">
        <f aca="false">IF(AND(2030&gt;=YEAR(CH_ResynDate),2030&lt;=YEAR(EDATE(CH_ResynDate,CH_RehabMonths))),"XXXX","")</f>
        <v/>
      </c>
      <c r="I6" s="58" t="str">
        <f aca="false">IF(AND(2031&gt;=YEAR(CH_ResynDate),2031&lt;=YEAR(EDATE(CH_ResynDate,CH_RehabMonths))),"XXXX","")</f>
        <v/>
      </c>
      <c r="J6" s="58" t="str">
        <f aca="false">IF(AND(2032&gt;=YEAR(CH_ResynDate),2032&lt;=YEAR(EDATE(CH_ResynDate,CH_RehabMonths))),"XXXX","")</f>
        <v/>
      </c>
      <c r="K6" s="58" t="str">
        <f aca="false">IF(AND(2033&gt;=YEAR(CH_ResynDate),2033&lt;=YEAR(EDATE(CH_ResynDate,CH_RehabMonths))),"XXXX","")</f>
        <v/>
      </c>
      <c r="M6" s="76" t="n">
        <f aca="false">CH_ResynDate</f>
        <v>46753</v>
      </c>
    </row>
    <row r="8" customFormat="false" ht="15" hidden="false" customHeight="true" outlineLevel="0" collapsed="false">
      <c r="B8" s="19" t="s">
        <v>21</v>
      </c>
      <c r="C8" s="13" t="s">
        <v>890</v>
      </c>
      <c r="D8" s="56" t="str">
        <f aca="false">IF(YEAR($M8)=2026,"TCCP","")</f>
        <v/>
      </c>
      <c r="E8" s="56" t="str">
        <f aca="false">IF(YEAR($M8)=2027,"TCCP","")</f>
        <v/>
      </c>
      <c r="F8" s="56" t="str">
        <f aca="false">IF(YEAR($M8)=2028,"TCCP","")</f>
        <v>TCCP</v>
      </c>
      <c r="G8" s="56" t="str">
        <f aca="false">IF(YEAR($M8)=2029,"TCCP","")</f>
        <v/>
      </c>
      <c r="H8" s="56" t="str">
        <f aca="false">IF(YEAR($M8)=2030,"TCCP","")</f>
        <v/>
      </c>
      <c r="I8" s="56" t="str">
        <f aca="false">IF(YEAR($M8)=2031,"TCCP","")</f>
        <v/>
      </c>
      <c r="J8" s="56" t="str">
        <f aca="false">IF(YEAR($M8)=2032,"TCCP","")</f>
        <v/>
      </c>
      <c r="K8" s="56" t="str">
        <f aca="false">IF(YEAR($M8)=2033,"TCCP","")</f>
        <v/>
      </c>
      <c r="M8" s="105" t="n">
        <v>47118</v>
      </c>
    </row>
    <row r="9" customFormat="false" ht="15" hidden="false" customHeight="true" outlineLevel="0" collapsed="false">
      <c r="C9" s="13" t="s">
        <v>891</v>
      </c>
      <c r="D9" s="56" t="str">
        <f aca="false">IF(YEAR($M9)=2026,"HAP","")</f>
        <v/>
      </c>
      <c r="E9" s="56" t="str">
        <f aca="false">IF(YEAR($M9)=2027,"HAP","")</f>
        <v/>
      </c>
      <c r="F9" s="56" t="str">
        <f aca="false">IF(YEAR($M9)=2028,"HAP","")</f>
        <v/>
      </c>
      <c r="G9" s="56" t="str">
        <f aca="false">IF(YEAR($M9)=2029,"HAP","")</f>
        <v/>
      </c>
      <c r="H9" s="56" t="str">
        <f aca="false">IF(YEAR($M9)=2030,"HAP","")</f>
        <v/>
      </c>
      <c r="I9" s="56" t="str">
        <f aca="false">IF(YEAR($M9)=2031,"HAP","")</f>
        <v/>
      </c>
      <c r="J9" s="56" t="str">
        <f aca="false">IF(YEAR($M9)=2032,"HAP","")</f>
        <v/>
      </c>
      <c r="K9" s="56" t="str">
        <f aca="false">IF(YEAR($M9)=2033,"HAP","")</f>
        <v>HAP</v>
      </c>
      <c r="M9" s="105" t="n">
        <v>48944</v>
      </c>
    </row>
    <row r="10" customFormat="false" ht="15" hidden="false" customHeight="true" outlineLevel="0" collapsed="false">
      <c r="C10" s="13" t="s">
        <v>892</v>
      </c>
      <c r="D10" s="56" t="str">
        <f aca="false">IF(2026&gt;=$M10,"----","")</f>
        <v/>
      </c>
      <c r="E10" s="56" t="str">
        <f aca="false">IF(2027&gt;=$M10,"----","")</f>
        <v/>
      </c>
      <c r="F10" s="56" t="str">
        <f aca="false">IF(2028&gt;=$M10,"----","")</f>
        <v/>
      </c>
      <c r="G10" s="56" t="str">
        <f aca="false">IF(2029&gt;=$M10,"----","")</f>
        <v>----</v>
      </c>
      <c r="H10" s="56" t="str">
        <f aca="false">IF(2030&gt;=$M10,"----","")</f>
        <v>----</v>
      </c>
      <c r="I10" s="56" t="str">
        <f aca="false">IF(2031&gt;=$M10,"----","")</f>
        <v>----</v>
      </c>
      <c r="J10" s="56" t="str">
        <f aca="false">IF(2032&gt;=$M10,"----","")</f>
        <v>----</v>
      </c>
      <c r="K10" s="56" t="str">
        <f aca="false">IF(2033&gt;=$M10,"----","")</f>
        <v>----</v>
      </c>
      <c r="M10" s="113" t="n">
        <v>2029</v>
      </c>
    </row>
    <row r="11" customFormat="false" ht="15" hidden="false" customHeight="true" outlineLevel="0" collapsed="false">
      <c r="C11" s="13" t="s">
        <v>893</v>
      </c>
      <c r="D11" s="58" t="str">
        <f aca="false">IF(AND(2026&gt;=YEAR(NZ_ResynDate),2026&lt;=YEAR(EDATE(NZ_ResynDate,NZ_RehabMonths))),"XXXX","")</f>
        <v/>
      </c>
      <c r="E11" s="58" t="str">
        <f aca="false">IF(AND(2027&gt;=YEAR(NZ_ResynDate),2027&lt;=YEAR(EDATE(NZ_ResynDate,NZ_RehabMonths))),"XXXX","")</f>
        <v/>
      </c>
      <c r="F11" s="58" t="str">
        <f aca="false">IF(AND(2028&gt;=YEAR(NZ_ResynDate),2028&lt;=YEAR(EDATE(NZ_ResynDate,NZ_RehabMonths))),"XXXX","")</f>
        <v/>
      </c>
      <c r="G11" s="58" t="str">
        <f aca="false">IF(AND(2029&gt;=YEAR(NZ_ResynDate),2029&lt;=YEAR(EDATE(NZ_ResynDate,NZ_RehabMonths))),"XXXX","")</f>
        <v>XXXX</v>
      </c>
      <c r="H11" s="58" t="str">
        <f aca="false">IF(AND(2030&gt;=YEAR(NZ_ResynDate),2030&lt;=YEAR(EDATE(NZ_ResynDate,NZ_RehabMonths))),"XXXX","")</f>
        <v>XXXX</v>
      </c>
      <c r="I11" s="58" t="str">
        <f aca="false">IF(AND(2031&gt;=YEAR(NZ_ResynDate),2031&lt;=YEAR(EDATE(NZ_ResynDate,NZ_RehabMonths))),"XXXX","")</f>
        <v/>
      </c>
      <c r="J11" s="58" t="str">
        <f aca="false">IF(AND(2032&gt;=YEAR(NZ_ResynDate),2032&lt;=YEAR(EDATE(NZ_ResynDate,NZ_RehabMonths))),"XXXX","")</f>
        <v/>
      </c>
      <c r="K11" s="58" t="str">
        <f aca="false">IF(AND(2033&gt;=YEAR(NZ_ResynDate),2033&lt;=YEAR(EDATE(NZ_ResynDate,NZ_RehabMonths))),"XXXX","")</f>
        <v/>
      </c>
      <c r="M11" s="76" t="n">
        <f aca="false">NZ_ResynDate</f>
        <v>47119</v>
      </c>
    </row>
    <row r="13" customFormat="false" ht="15" hidden="false" customHeight="true" outlineLevel="0" collapsed="false">
      <c r="B13" s="19" t="s">
        <v>22</v>
      </c>
      <c r="C13" s="13" t="s">
        <v>890</v>
      </c>
      <c r="D13" s="56" t="str">
        <f aca="false">IF(YEAR($M13)=2026,"TCCP","")</f>
        <v/>
      </c>
      <c r="E13" s="56" t="str">
        <f aca="false">IF(YEAR($M13)=2027,"TCCP","")</f>
        <v/>
      </c>
      <c r="F13" s="56" t="str">
        <f aca="false">IF(YEAR($M13)=2028,"TCCP","")</f>
        <v>TCCP</v>
      </c>
      <c r="G13" s="56" t="str">
        <f aca="false">IF(YEAR($M13)=2029,"TCCP","")</f>
        <v/>
      </c>
      <c r="H13" s="56" t="str">
        <f aca="false">IF(YEAR($M13)=2030,"TCCP","")</f>
        <v/>
      </c>
      <c r="I13" s="56" t="str">
        <f aca="false">IF(YEAR($M13)=2031,"TCCP","")</f>
        <v/>
      </c>
      <c r="J13" s="56" t="str">
        <f aca="false">IF(YEAR($M13)=2032,"TCCP","")</f>
        <v/>
      </c>
      <c r="K13" s="56" t="str">
        <f aca="false">IF(YEAR($M13)=2033,"TCCP","")</f>
        <v/>
      </c>
      <c r="M13" s="105" t="n">
        <v>47118</v>
      </c>
    </row>
    <row r="14" customFormat="false" ht="15" hidden="false" customHeight="true" outlineLevel="0" collapsed="false">
      <c r="C14" s="13" t="s">
        <v>891</v>
      </c>
      <c r="D14" s="56" t="str">
        <f aca="false">IF(YEAR($M14)=2026,"HAP","")</f>
        <v/>
      </c>
      <c r="E14" s="56" t="str">
        <f aca="false">IF(YEAR($M14)=2027,"HAP","")</f>
        <v/>
      </c>
      <c r="F14" s="56" t="str">
        <f aca="false">IF(YEAR($M14)=2028,"HAP","")</f>
        <v/>
      </c>
      <c r="G14" s="56" t="str">
        <f aca="false">IF(YEAR($M14)=2029,"HAP","")</f>
        <v/>
      </c>
      <c r="H14" s="56" t="str">
        <f aca="false">IF(YEAR($M14)=2030,"HAP","")</f>
        <v/>
      </c>
      <c r="I14" s="56" t="str">
        <f aca="false">IF(YEAR($M14)=2031,"HAP","")</f>
        <v/>
      </c>
      <c r="J14" s="56" t="str">
        <f aca="false">IF(YEAR($M14)=2032,"HAP","")</f>
        <v/>
      </c>
      <c r="K14" s="56" t="str">
        <f aca="false">IF(YEAR($M14)=2033,"HAP","")</f>
        <v>HAP</v>
      </c>
      <c r="M14" s="105" t="n">
        <v>48669</v>
      </c>
    </row>
    <row r="15" customFormat="false" ht="15" hidden="false" customHeight="true" outlineLevel="0" collapsed="false">
      <c r="C15" s="13" t="s">
        <v>892</v>
      </c>
      <c r="D15" s="56" t="str">
        <f aca="false">IF(2026&gt;=$M15,"----","")</f>
        <v/>
      </c>
      <c r="E15" s="56" t="str">
        <f aca="false">IF(2027&gt;=$M15,"----","")</f>
        <v/>
      </c>
      <c r="F15" s="56" t="str">
        <f aca="false">IF(2028&gt;=$M15,"----","")</f>
        <v/>
      </c>
      <c r="G15" s="56" t="str">
        <f aca="false">IF(2029&gt;=$M15,"----","")</f>
        <v>----</v>
      </c>
      <c r="H15" s="56" t="str">
        <f aca="false">IF(2030&gt;=$M15,"----","")</f>
        <v>----</v>
      </c>
      <c r="I15" s="56" t="str">
        <f aca="false">IF(2031&gt;=$M15,"----","")</f>
        <v>----</v>
      </c>
      <c r="J15" s="56" t="str">
        <f aca="false">IF(2032&gt;=$M15,"----","")</f>
        <v>----</v>
      </c>
      <c r="K15" s="56" t="str">
        <f aca="false">IF(2033&gt;=$M15,"----","")</f>
        <v>----</v>
      </c>
      <c r="M15" s="113" t="n">
        <v>2029</v>
      </c>
    </row>
    <row r="16" customFormat="false" ht="15" hidden="false" customHeight="true" outlineLevel="0" collapsed="false">
      <c r="C16" s="13" t="s">
        <v>893</v>
      </c>
      <c r="D16" s="58" t="str">
        <f aca="false">IF(AND(2026&gt;=YEAR(LOM_ResynDate),2026&lt;=YEAR(EDATE(LOM_ResynDate,LOM_RehabMonths))),"XXXX","")</f>
        <v/>
      </c>
      <c r="E16" s="58" t="str">
        <f aca="false">IF(AND(2027&gt;=YEAR(LOM_ResynDate),2027&lt;=YEAR(EDATE(LOM_ResynDate,LOM_RehabMonths))),"XXXX","")</f>
        <v/>
      </c>
      <c r="F16" s="58" t="str">
        <f aca="false">IF(AND(2028&gt;=YEAR(LOM_ResynDate),2028&lt;=YEAR(EDATE(LOM_ResynDate,LOM_RehabMonths))),"XXXX","")</f>
        <v/>
      </c>
      <c r="G16" s="58" t="str">
        <f aca="false">IF(AND(2029&gt;=YEAR(LOM_ResynDate),2029&lt;=YEAR(EDATE(LOM_ResynDate,LOM_RehabMonths))),"XXXX","")</f>
        <v>XXXX</v>
      </c>
      <c r="H16" s="58" t="str">
        <f aca="false">IF(AND(2030&gt;=YEAR(LOM_ResynDate),2030&lt;=YEAR(EDATE(LOM_ResynDate,LOM_RehabMonths))),"XXXX","")</f>
        <v>XXXX</v>
      </c>
      <c r="I16" s="58" t="str">
        <f aca="false">IF(AND(2031&gt;=YEAR(LOM_ResynDate),2031&lt;=YEAR(EDATE(LOM_ResynDate,LOM_RehabMonths))),"XXXX","")</f>
        <v/>
      </c>
      <c r="J16" s="58" t="str">
        <f aca="false">IF(AND(2032&gt;=YEAR(LOM_ResynDate),2032&lt;=YEAR(EDATE(LOM_ResynDate,LOM_RehabMonths))),"XXXX","")</f>
        <v/>
      </c>
      <c r="K16" s="58" t="str">
        <f aca="false">IF(AND(2033&gt;=YEAR(LOM_ResynDate),2033&lt;=YEAR(EDATE(LOM_ResynDate,LOM_RehabMonths))),"XXXX","")</f>
        <v/>
      </c>
      <c r="M16" s="76" t="n">
        <f aca="false">LOM_ResynDate</f>
        <v>47119</v>
      </c>
    </row>
    <row r="18" customFormat="false" ht="15" hidden="false" customHeight="true" outlineLevel="0" collapsed="false">
      <c r="B18" s="19" t="s">
        <v>23</v>
      </c>
      <c r="C18" s="13" t="s">
        <v>890</v>
      </c>
      <c r="D18" s="56" t="str">
        <f aca="false">IF(YEAR($M18)=2026,"TCCP","")</f>
        <v/>
      </c>
      <c r="E18" s="56" t="str">
        <f aca="false">IF(YEAR($M18)=2027,"TCCP","")</f>
        <v/>
      </c>
      <c r="F18" s="56" t="str">
        <f aca="false">IF(YEAR($M18)=2028,"TCCP","")</f>
        <v/>
      </c>
      <c r="G18" s="56" t="str">
        <f aca="false">IF(YEAR($M18)=2029,"TCCP","")</f>
        <v/>
      </c>
      <c r="H18" s="56" t="str">
        <f aca="false">IF(YEAR($M18)=2030,"TCCP","")</f>
        <v/>
      </c>
      <c r="I18" s="56" t="str">
        <f aca="false">IF(YEAR($M18)=2031,"TCCP","")</f>
        <v/>
      </c>
      <c r="J18" s="56" t="str">
        <f aca="false">IF(YEAR($M18)=2032,"TCCP","")</f>
        <v/>
      </c>
      <c r="K18" s="56" t="str">
        <f aca="false">IF(YEAR($M18)=2033,"TCCP","")</f>
        <v/>
      </c>
      <c r="M18" s="105" t="n">
        <v>45291</v>
      </c>
    </row>
    <row r="19" customFormat="false" ht="15" hidden="false" customHeight="true" outlineLevel="0" collapsed="false">
      <c r="C19" s="13" t="s">
        <v>891</v>
      </c>
      <c r="D19" s="56" t="str">
        <f aca="false">IF(YEAR($M19)=2026,"HAP","")</f>
        <v/>
      </c>
      <c r="E19" s="56" t="str">
        <f aca="false">IF(YEAR($M19)=2027,"HAP","")</f>
        <v/>
      </c>
      <c r="F19" s="56" t="str">
        <f aca="false">IF(YEAR($M19)=2028,"HAP","")</f>
        <v/>
      </c>
      <c r="G19" s="56" t="str">
        <f aca="false">IF(YEAR($M19)=2029,"HAP","")</f>
        <v/>
      </c>
      <c r="H19" s="56" t="str">
        <f aca="false">IF(YEAR($M19)=2030,"HAP","")</f>
        <v>HAP</v>
      </c>
      <c r="I19" s="56" t="str">
        <f aca="false">IF(YEAR($M19)=2031,"HAP","")</f>
        <v/>
      </c>
      <c r="J19" s="56" t="str">
        <f aca="false">IF(YEAR($M19)=2032,"HAP","")</f>
        <v/>
      </c>
      <c r="K19" s="56" t="str">
        <f aca="false">IF(YEAR($M19)=2033,"HAP","")</f>
        <v/>
      </c>
      <c r="M19" s="105" t="n">
        <v>47603</v>
      </c>
    </row>
    <row r="20" customFormat="false" ht="15" hidden="false" customHeight="true" outlineLevel="0" collapsed="false">
      <c r="C20" s="13" t="s">
        <v>892</v>
      </c>
      <c r="D20" s="56" t="str">
        <f aca="false">IF(2026&gt;=$M20,"----","")</f>
        <v>----</v>
      </c>
      <c r="E20" s="56" t="str">
        <f aca="false">IF(2027&gt;=$M20,"----","")</f>
        <v>----</v>
      </c>
      <c r="F20" s="56" t="str">
        <f aca="false">IF(2028&gt;=$M20,"----","")</f>
        <v>----</v>
      </c>
      <c r="G20" s="56" t="str">
        <f aca="false">IF(2029&gt;=$M20,"----","")</f>
        <v>----</v>
      </c>
      <c r="H20" s="56" t="str">
        <f aca="false">IF(2030&gt;=$M20,"----","")</f>
        <v>----</v>
      </c>
      <c r="I20" s="56" t="str">
        <f aca="false">IF(2031&gt;=$M20,"----","")</f>
        <v>----</v>
      </c>
      <c r="J20" s="56" t="str">
        <f aca="false">IF(2032&gt;=$M20,"----","")</f>
        <v>----</v>
      </c>
      <c r="K20" s="56" t="str">
        <f aca="false">IF(2033&gt;=$M20,"----","")</f>
        <v>----</v>
      </c>
      <c r="M20" s="113" t="n">
        <v>2026</v>
      </c>
    </row>
    <row r="21" customFormat="false" ht="15" hidden="false" customHeight="true" outlineLevel="0" collapsed="false">
      <c r="C21" s="13" t="s">
        <v>893</v>
      </c>
      <c r="D21" s="58" t="str">
        <f aca="false">IF(AND(2026&gt;=YEAR(SA_ResynDate),2026&lt;=YEAR(EDATE(SA_ResynDate,SA_RehabMonths))),"XXXX","")</f>
        <v>XXXX</v>
      </c>
      <c r="E21" s="58" t="str">
        <f aca="false">IF(AND(2027&gt;=YEAR(SA_ResynDate),2027&lt;=YEAR(EDATE(SA_ResynDate,SA_RehabMonths))),"XXXX","")</f>
        <v>XXXX</v>
      </c>
      <c r="F21" s="58" t="str">
        <f aca="false">IF(AND(2028&gt;=YEAR(SA_ResynDate),2028&lt;=YEAR(EDATE(SA_ResynDate,SA_RehabMonths))),"XXXX","")</f>
        <v>XXXX</v>
      </c>
      <c r="G21" s="58" t="str">
        <f aca="false">IF(AND(2029&gt;=YEAR(SA_ResynDate),2029&lt;=YEAR(EDATE(SA_ResynDate,SA_RehabMonths))),"XXXX","")</f>
        <v/>
      </c>
      <c r="H21" s="58" t="str">
        <f aca="false">IF(AND(2030&gt;=YEAR(SA_ResynDate),2030&lt;=YEAR(EDATE(SA_ResynDate,SA_RehabMonths))),"XXXX","")</f>
        <v/>
      </c>
      <c r="I21" s="58" t="str">
        <f aca="false">IF(AND(2031&gt;=YEAR(SA_ResynDate),2031&lt;=YEAR(EDATE(SA_ResynDate,SA_RehabMonths))),"XXXX","")</f>
        <v/>
      </c>
      <c r="J21" s="58" t="str">
        <f aca="false">IF(AND(2032&gt;=YEAR(SA_ResynDate),2032&lt;=YEAR(EDATE(SA_ResynDate,SA_RehabMonths))),"XXXX","")</f>
        <v/>
      </c>
      <c r="K21" s="58" t="str">
        <f aca="false">IF(AND(2033&gt;=YEAR(SA_ResynDate),2033&lt;=YEAR(EDATE(SA_ResynDate,SA_RehabMonths))),"XXXX","")</f>
        <v/>
      </c>
      <c r="M21" s="76" t="n">
        <f aca="false">SA_ResynDate</f>
        <v>46357</v>
      </c>
    </row>
    <row r="23" customFormat="false" ht="15" hidden="false" customHeight="true" outlineLevel="0" collapsed="false">
      <c r="B23" s="36" t="s">
        <v>894</v>
      </c>
    </row>
    <row r="24" customFormat="false" ht="15" hidden="false" customHeight="true" outlineLevel="0" collapsed="false">
      <c r="B24" s="36" t="s">
        <v>895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5F"/>
    <pageSetUpPr fitToPage="false"/>
  </sheetPr>
  <dimension ref="A1:N76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6"/>
    <col collapsed="false" customWidth="true" hidden="false" outlineLevel="0" max="3" min="3" style="1" width="34"/>
    <col collapsed="false" customWidth="true" hidden="false" outlineLevel="0" max="4" min="4" style="1" width="12"/>
    <col collapsed="false" customWidth="true" hidden="false" outlineLevel="0" max="5" min="5" style="1" width="9"/>
    <col collapsed="false" customWidth="true" hidden="false" outlineLevel="0" max="6" min="6" style="1" width="11"/>
    <col collapsed="false" customWidth="true" hidden="false" outlineLevel="0" max="7" min="7" style="1" width="9"/>
    <col collapsed="false" customWidth="true" hidden="false" outlineLevel="0" max="8" min="8" style="1" width="14"/>
    <col collapsed="false" customWidth="true" hidden="false" outlineLevel="0" max="9" min="9" style="1" width="30"/>
    <col collapsed="false" customWidth="true" hidden="false" outlineLevel="0" max="10" min="10" style="1" width="44"/>
    <col collapsed="false" customWidth="true" hidden="false" outlineLevel="0" max="11" min="11" style="1" width="26"/>
    <col collapsed="false" customWidth="true" hidden="false" outlineLevel="0" max="12" min="12" style="1" width="18"/>
    <col collapsed="false" customWidth="true" hidden="false" outlineLevel="0" max="13" min="13" style="1" width="26"/>
    <col collapsed="false" customWidth="true" hidden="false" outlineLevel="0" max="14" min="14" style="1" width="44"/>
  </cols>
  <sheetData>
    <row r="1" customFormat="false" ht="26.25" hidden="false" customHeight="true" outlineLevel="0" collapsed="false">
      <c r="A1" s="114" t="s">
        <v>896</v>
      </c>
    </row>
    <row r="2" customFormat="false" ht="15" hidden="false" customHeight="true" outlineLevel="0" collapsed="false">
      <c r="A2" s="36" t="s">
        <v>897</v>
      </c>
    </row>
    <row r="3" customFormat="false" ht="15" hidden="false" customHeight="true" outlineLevel="0" collapsed="false">
      <c r="A3" s="8" t="s">
        <v>898</v>
      </c>
      <c r="B3" s="115" t="s">
        <v>899</v>
      </c>
    </row>
    <row r="5" customFormat="false" ht="15" hidden="false" customHeight="true" outlineLevel="0" collapsed="false">
      <c r="A5" s="12" t="s">
        <v>900</v>
      </c>
      <c r="B5" s="12" t="s">
        <v>901</v>
      </c>
      <c r="C5" s="12" t="s">
        <v>27</v>
      </c>
      <c r="D5" s="12" t="s">
        <v>902</v>
      </c>
      <c r="E5" s="12" t="s">
        <v>29</v>
      </c>
      <c r="F5" s="12" t="s">
        <v>903</v>
      </c>
      <c r="G5" s="12" t="s">
        <v>904</v>
      </c>
      <c r="H5" s="12" t="s">
        <v>905</v>
      </c>
      <c r="I5" s="12" t="s">
        <v>906</v>
      </c>
      <c r="J5" s="12" t="s">
        <v>907</v>
      </c>
      <c r="K5" s="12" t="s">
        <v>908</v>
      </c>
      <c r="L5" s="12" t="s">
        <v>909</v>
      </c>
      <c r="M5" s="12" t="s">
        <v>30</v>
      </c>
      <c r="N5" s="12" t="s">
        <v>910</v>
      </c>
    </row>
    <row r="6" customFormat="false" ht="15" hidden="false" customHeight="true" outlineLevel="0" collapsed="false">
      <c r="A6" s="6" t="s">
        <v>911</v>
      </c>
      <c r="B6" s="6" t="s">
        <v>912</v>
      </c>
      <c r="C6" s="6" t="s">
        <v>913</v>
      </c>
      <c r="D6" s="6" t="s">
        <v>914</v>
      </c>
      <c r="E6" s="6" t="s">
        <v>41</v>
      </c>
      <c r="F6" s="6" t="s">
        <v>915</v>
      </c>
      <c r="G6" s="6" t="s">
        <v>916</v>
      </c>
      <c r="H6" s="6" t="n">
        <v>0</v>
      </c>
      <c r="I6" s="6" t="s">
        <v>917</v>
      </c>
      <c r="J6" s="6" t="s">
        <v>918</v>
      </c>
      <c r="K6" s="6" t="s">
        <v>919</v>
      </c>
      <c r="L6" s="6" t="s">
        <v>911</v>
      </c>
      <c r="M6" s="6" t="s">
        <v>920</v>
      </c>
      <c r="N6" s="6" t="s">
        <v>921</v>
      </c>
    </row>
    <row r="7" customFormat="false" ht="15" hidden="false" customHeight="true" outlineLevel="0" collapsed="false">
      <c r="A7" s="6" t="s">
        <v>922</v>
      </c>
      <c r="B7" s="6" t="s">
        <v>912</v>
      </c>
      <c r="C7" s="6" t="s">
        <v>923</v>
      </c>
      <c r="D7" s="6" t="s">
        <v>914</v>
      </c>
      <c r="E7" s="6" t="s">
        <v>41</v>
      </c>
      <c r="F7" s="6" t="s">
        <v>915</v>
      </c>
      <c r="G7" s="6" t="s">
        <v>924</v>
      </c>
      <c r="H7" s="6" t="n">
        <v>0</v>
      </c>
      <c r="I7" s="6" t="s">
        <v>925</v>
      </c>
      <c r="J7" s="6" t="s">
        <v>926</v>
      </c>
      <c r="K7" s="6" t="s">
        <v>919</v>
      </c>
      <c r="L7" s="6" t="s">
        <v>922</v>
      </c>
      <c r="M7" s="6" t="s">
        <v>920</v>
      </c>
    </row>
    <row r="8" customFormat="false" ht="15" hidden="false" customHeight="true" outlineLevel="0" collapsed="false">
      <c r="A8" s="6" t="s">
        <v>927</v>
      </c>
      <c r="B8" s="6" t="s">
        <v>928</v>
      </c>
      <c r="C8" s="6" t="s">
        <v>929</v>
      </c>
      <c r="D8" s="6" t="s">
        <v>914</v>
      </c>
      <c r="E8" s="6" t="s">
        <v>41</v>
      </c>
      <c r="F8" s="6" t="s">
        <v>915</v>
      </c>
      <c r="G8" s="6" t="s">
        <v>930</v>
      </c>
      <c r="I8" s="6" t="s">
        <v>931</v>
      </c>
      <c r="J8" s="6" t="s">
        <v>932</v>
      </c>
      <c r="K8" s="6" t="s">
        <v>933</v>
      </c>
      <c r="L8" s="6" t="s">
        <v>927</v>
      </c>
      <c r="M8" s="6" t="s">
        <v>934</v>
      </c>
      <c r="N8" s="6" t="s">
        <v>935</v>
      </c>
    </row>
    <row r="9" customFormat="false" ht="15" hidden="false" customHeight="true" outlineLevel="0" collapsed="false">
      <c r="A9" s="6" t="s">
        <v>936</v>
      </c>
      <c r="B9" s="6" t="s">
        <v>928</v>
      </c>
      <c r="C9" s="6" t="s">
        <v>937</v>
      </c>
      <c r="D9" s="6" t="s">
        <v>914</v>
      </c>
      <c r="E9" s="6" t="s">
        <v>41</v>
      </c>
      <c r="F9" s="6" t="s">
        <v>915</v>
      </c>
      <c r="G9" s="6" t="s">
        <v>930</v>
      </c>
      <c r="I9" s="6" t="s">
        <v>938</v>
      </c>
      <c r="J9" s="6" t="s">
        <v>939</v>
      </c>
      <c r="K9" s="6" t="s">
        <v>933</v>
      </c>
      <c r="L9" s="6" t="s">
        <v>936</v>
      </c>
      <c r="M9" s="6" t="s">
        <v>940</v>
      </c>
      <c r="N9" s="6" t="s">
        <v>941</v>
      </c>
    </row>
    <row r="10" customFormat="false" ht="15" hidden="false" customHeight="true" outlineLevel="0" collapsed="false">
      <c r="A10" s="6" t="s">
        <v>942</v>
      </c>
      <c r="B10" s="6" t="s">
        <v>928</v>
      </c>
      <c r="C10" s="6" t="s">
        <v>943</v>
      </c>
      <c r="D10" s="6" t="s">
        <v>914</v>
      </c>
      <c r="E10" s="6" t="s">
        <v>41</v>
      </c>
      <c r="F10" s="6" t="s">
        <v>915</v>
      </c>
      <c r="G10" s="6" t="s">
        <v>930</v>
      </c>
      <c r="H10" s="6" t="n">
        <v>0.3</v>
      </c>
      <c r="I10" s="6" t="s">
        <v>944</v>
      </c>
      <c r="J10" s="6" t="s">
        <v>945</v>
      </c>
      <c r="K10" s="6" t="s">
        <v>946</v>
      </c>
      <c r="L10" s="6" t="s">
        <v>942</v>
      </c>
      <c r="M10" s="6" t="s">
        <v>947</v>
      </c>
    </row>
    <row r="11" customFormat="false" ht="15" hidden="false" customHeight="true" outlineLevel="0" collapsed="false">
      <c r="A11" s="6" t="s">
        <v>948</v>
      </c>
      <c r="B11" s="6" t="s">
        <v>928</v>
      </c>
      <c r="C11" s="6" t="s">
        <v>949</v>
      </c>
      <c r="D11" s="6" t="s">
        <v>914</v>
      </c>
      <c r="E11" s="6" t="s">
        <v>35</v>
      </c>
      <c r="F11" s="6" t="s">
        <v>950</v>
      </c>
      <c r="G11" s="6" t="s">
        <v>100</v>
      </c>
      <c r="I11" s="6" t="s">
        <v>951</v>
      </c>
      <c r="J11" s="6" t="s">
        <v>952</v>
      </c>
      <c r="K11" s="6" t="s">
        <v>953</v>
      </c>
      <c r="L11" s="6" t="s">
        <v>948</v>
      </c>
      <c r="M11" s="6" t="s">
        <v>947</v>
      </c>
      <c r="N11" s="6" t="s">
        <v>954</v>
      </c>
    </row>
    <row r="12" customFormat="false" ht="15" hidden="false" customHeight="true" outlineLevel="0" collapsed="false">
      <c r="A12" s="6" t="s">
        <v>955</v>
      </c>
      <c r="B12" s="6" t="s">
        <v>912</v>
      </c>
      <c r="C12" s="6" t="s">
        <v>956</v>
      </c>
      <c r="D12" s="6" t="s">
        <v>914</v>
      </c>
      <c r="E12" s="6" t="s">
        <v>41</v>
      </c>
      <c r="F12" s="6" t="s">
        <v>957</v>
      </c>
      <c r="G12" s="6" t="s">
        <v>100</v>
      </c>
      <c r="I12" s="6" t="s">
        <v>958</v>
      </c>
      <c r="J12" s="6" t="s">
        <v>959</v>
      </c>
      <c r="K12" s="6" t="s">
        <v>960</v>
      </c>
      <c r="L12" s="6" t="s">
        <v>955</v>
      </c>
      <c r="M12" s="6" t="s">
        <v>961</v>
      </c>
      <c r="N12" s="6" t="s">
        <v>962</v>
      </c>
    </row>
    <row r="13" customFormat="false" ht="15" hidden="false" customHeight="true" outlineLevel="0" collapsed="false">
      <c r="A13" s="6" t="s">
        <v>963</v>
      </c>
      <c r="B13" s="6" t="s">
        <v>8</v>
      </c>
      <c r="C13" s="6" t="s">
        <v>964</v>
      </c>
      <c r="D13" s="6" t="s">
        <v>965</v>
      </c>
      <c r="E13" s="6" t="s">
        <v>41</v>
      </c>
      <c r="F13" s="6" t="s">
        <v>915</v>
      </c>
      <c r="G13" s="6" t="s">
        <v>966</v>
      </c>
      <c r="I13" s="6" t="s">
        <v>967</v>
      </c>
      <c r="J13" s="6" t="s">
        <v>968</v>
      </c>
      <c r="K13" s="6" t="s">
        <v>969</v>
      </c>
      <c r="L13" s="6" t="s">
        <v>970</v>
      </c>
      <c r="M13" s="6" t="s">
        <v>971</v>
      </c>
      <c r="N13" s="6" t="s">
        <v>972</v>
      </c>
    </row>
    <row r="14" customFormat="false" ht="15" hidden="false" customHeight="true" outlineLevel="0" collapsed="false">
      <c r="A14" s="6" t="s">
        <v>973</v>
      </c>
      <c r="B14" s="6" t="s">
        <v>8</v>
      </c>
      <c r="C14" s="6" t="s">
        <v>974</v>
      </c>
      <c r="D14" s="6" t="s">
        <v>965</v>
      </c>
      <c r="E14" s="6" t="s">
        <v>41</v>
      </c>
      <c r="F14" s="6" t="s">
        <v>915</v>
      </c>
      <c r="G14" s="6" t="s">
        <v>966</v>
      </c>
      <c r="I14" s="6" t="s">
        <v>975</v>
      </c>
      <c r="J14" s="6" t="s">
        <v>976</v>
      </c>
      <c r="K14" s="6" t="s">
        <v>977</v>
      </c>
      <c r="L14" s="6" t="s">
        <v>970</v>
      </c>
      <c r="M14" s="6" t="s">
        <v>971</v>
      </c>
      <c r="N14" s="6" t="s">
        <v>978</v>
      </c>
    </row>
    <row r="15" customFormat="false" ht="15" hidden="false" customHeight="true" outlineLevel="0" collapsed="false">
      <c r="A15" s="6" t="s">
        <v>979</v>
      </c>
      <c r="B15" s="6" t="s">
        <v>980</v>
      </c>
      <c r="C15" s="6" t="s">
        <v>601</v>
      </c>
      <c r="D15" s="6" t="s">
        <v>965</v>
      </c>
      <c r="E15" s="6" t="s">
        <v>41</v>
      </c>
      <c r="F15" s="6" t="s">
        <v>915</v>
      </c>
      <c r="G15" s="6" t="s">
        <v>930</v>
      </c>
      <c r="I15" s="6" t="s">
        <v>981</v>
      </c>
      <c r="J15" s="6" t="s">
        <v>982</v>
      </c>
      <c r="K15" s="6" t="s">
        <v>983</v>
      </c>
      <c r="L15" s="6" t="s">
        <v>979</v>
      </c>
      <c r="M15" s="6" t="s">
        <v>984</v>
      </c>
    </row>
    <row r="16" customFormat="false" ht="15" hidden="false" customHeight="true" outlineLevel="0" collapsed="false">
      <c r="A16" s="6" t="s">
        <v>985</v>
      </c>
      <c r="B16" s="6" t="s">
        <v>980</v>
      </c>
      <c r="C16" s="6" t="s">
        <v>986</v>
      </c>
      <c r="D16" s="6" t="s">
        <v>965</v>
      </c>
      <c r="E16" s="6" t="s">
        <v>41</v>
      </c>
      <c r="F16" s="6" t="s">
        <v>915</v>
      </c>
      <c r="G16" s="6" t="s">
        <v>930</v>
      </c>
      <c r="H16" s="6" t="n">
        <v>0.07</v>
      </c>
      <c r="I16" s="6" t="s">
        <v>987</v>
      </c>
      <c r="J16" s="6" t="s">
        <v>988</v>
      </c>
      <c r="K16" s="6" t="s">
        <v>989</v>
      </c>
      <c r="L16" s="6" t="s">
        <v>985</v>
      </c>
      <c r="M16" s="6" t="s">
        <v>990</v>
      </c>
      <c r="N16" s="6" t="s">
        <v>991</v>
      </c>
    </row>
    <row r="17" customFormat="false" ht="15" hidden="false" customHeight="true" outlineLevel="0" collapsed="false">
      <c r="A17" s="6" t="s">
        <v>992</v>
      </c>
      <c r="B17" s="6" t="s">
        <v>980</v>
      </c>
      <c r="C17" s="6" t="s">
        <v>993</v>
      </c>
      <c r="D17" s="6" t="s">
        <v>965</v>
      </c>
      <c r="E17" s="6" t="s">
        <v>41</v>
      </c>
      <c r="F17" s="6" t="s">
        <v>915</v>
      </c>
      <c r="G17" s="6" t="s">
        <v>930</v>
      </c>
      <c r="H17" s="6" t="n">
        <v>0.06</v>
      </c>
      <c r="I17" s="6" t="s">
        <v>994</v>
      </c>
      <c r="J17" s="6" t="s">
        <v>995</v>
      </c>
      <c r="K17" s="6" t="s">
        <v>996</v>
      </c>
      <c r="L17" s="6" t="s">
        <v>992</v>
      </c>
      <c r="M17" s="6" t="s">
        <v>997</v>
      </c>
    </row>
    <row r="18" customFormat="false" ht="15" hidden="false" customHeight="true" outlineLevel="0" collapsed="false">
      <c r="A18" s="6" t="s">
        <v>998</v>
      </c>
      <c r="B18" s="6" t="s">
        <v>980</v>
      </c>
      <c r="C18" s="6" t="s">
        <v>999</v>
      </c>
      <c r="D18" s="6" t="s">
        <v>965</v>
      </c>
      <c r="E18" s="6" t="s">
        <v>41</v>
      </c>
      <c r="F18" s="6" t="s">
        <v>915</v>
      </c>
      <c r="G18" s="6" t="s">
        <v>930</v>
      </c>
      <c r="H18" s="6" t="n">
        <v>0.02</v>
      </c>
      <c r="I18" s="6" t="s">
        <v>1000</v>
      </c>
      <c r="J18" s="6" t="s">
        <v>1001</v>
      </c>
      <c r="K18" s="6" t="s">
        <v>1002</v>
      </c>
      <c r="L18" s="6" t="s">
        <v>998</v>
      </c>
      <c r="M18" s="6" t="s">
        <v>1003</v>
      </c>
      <c r="N18" s="6" t="s">
        <v>1004</v>
      </c>
    </row>
    <row r="19" customFormat="false" ht="15" hidden="false" customHeight="true" outlineLevel="0" collapsed="false">
      <c r="A19" s="6" t="s">
        <v>1005</v>
      </c>
      <c r="B19" s="6" t="s">
        <v>980</v>
      </c>
      <c r="C19" s="6" t="s">
        <v>1006</v>
      </c>
      <c r="D19" s="6" t="s">
        <v>965</v>
      </c>
      <c r="E19" s="6" t="s">
        <v>41</v>
      </c>
      <c r="F19" s="6" t="s">
        <v>915</v>
      </c>
      <c r="G19" s="6" t="s">
        <v>930</v>
      </c>
      <c r="H19" s="6" t="n">
        <v>0.06</v>
      </c>
      <c r="I19" s="6" t="s">
        <v>994</v>
      </c>
      <c r="J19" s="6" t="s">
        <v>1007</v>
      </c>
      <c r="K19" s="6" t="s">
        <v>1008</v>
      </c>
      <c r="L19" s="6" t="s">
        <v>1005</v>
      </c>
      <c r="M19" s="6" t="s">
        <v>1009</v>
      </c>
      <c r="N19" s="6" t="s">
        <v>1010</v>
      </c>
    </row>
    <row r="20" customFormat="false" ht="15" hidden="false" customHeight="true" outlineLevel="0" collapsed="false">
      <c r="A20" s="6" t="s">
        <v>1011</v>
      </c>
      <c r="B20" s="6" t="s">
        <v>980</v>
      </c>
      <c r="C20" s="6" t="s">
        <v>550</v>
      </c>
      <c r="D20" s="6" t="s">
        <v>965</v>
      </c>
      <c r="E20" s="6" t="s">
        <v>41</v>
      </c>
      <c r="F20" s="6" t="s">
        <v>915</v>
      </c>
      <c r="G20" s="6" t="s">
        <v>930</v>
      </c>
      <c r="H20" s="6" t="n">
        <v>0.1</v>
      </c>
      <c r="I20" s="6" t="s">
        <v>1012</v>
      </c>
      <c r="J20" s="6" t="s">
        <v>1013</v>
      </c>
      <c r="K20" s="6" t="s">
        <v>1014</v>
      </c>
      <c r="L20" s="6" t="s">
        <v>1011</v>
      </c>
      <c r="M20" s="6" t="s">
        <v>1015</v>
      </c>
    </row>
    <row r="21" customFormat="false" ht="15" hidden="false" customHeight="true" outlineLevel="0" collapsed="false">
      <c r="A21" s="6" t="s">
        <v>93</v>
      </c>
      <c r="B21" s="6" t="s">
        <v>1016</v>
      </c>
      <c r="C21" s="6" t="s">
        <v>1017</v>
      </c>
      <c r="D21" s="6" t="s">
        <v>965</v>
      </c>
      <c r="E21" s="6" t="s">
        <v>35</v>
      </c>
      <c r="F21" s="6" t="s">
        <v>915</v>
      </c>
      <c r="G21" s="6" t="s">
        <v>1018</v>
      </c>
      <c r="H21" s="6" t="n">
        <v>4500</v>
      </c>
      <c r="I21" s="6" t="s">
        <v>1019</v>
      </c>
      <c r="J21" s="6" t="s">
        <v>1020</v>
      </c>
      <c r="K21" s="6" t="s">
        <v>1021</v>
      </c>
      <c r="L21" s="6" t="s">
        <v>93</v>
      </c>
      <c r="M21" s="6" t="s">
        <v>1022</v>
      </c>
      <c r="N21" s="6" t="s">
        <v>1023</v>
      </c>
    </row>
    <row r="22" customFormat="false" ht="15" hidden="false" customHeight="true" outlineLevel="0" collapsed="false">
      <c r="A22" s="6" t="s">
        <v>1024</v>
      </c>
      <c r="B22" s="6" t="s">
        <v>1016</v>
      </c>
      <c r="C22" s="6" t="s">
        <v>1025</v>
      </c>
      <c r="D22" s="6" t="s">
        <v>965</v>
      </c>
      <c r="E22" s="6" t="s">
        <v>35</v>
      </c>
      <c r="F22" s="6" t="s">
        <v>915</v>
      </c>
      <c r="G22" s="6" t="s">
        <v>1018</v>
      </c>
      <c r="H22" s="6" t="n">
        <v>0.5</v>
      </c>
      <c r="I22" s="6" t="s">
        <v>1026</v>
      </c>
      <c r="J22" s="6" t="s">
        <v>1027</v>
      </c>
      <c r="K22" s="6" t="s">
        <v>1028</v>
      </c>
      <c r="L22" s="6" t="s">
        <v>1024</v>
      </c>
      <c r="M22" s="6" t="s">
        <v>1029</v>
      </c>
      <c r="N22" s="6" t="s">
        <v>1030</v>
      </c>
    </row>
    <row r="23" customFormat="false" ht="15" hidden="false" customHeight="true" outlineLevel="0" collapsed="false">
      <c r="A23" s="6" t="s">
        <v>1031</v>
      </c>
      <c r="B23" s="6" t="s">
        <v>1016</v>
      </c>
      <c r="C23" s="6" t="s">
        <v>1032</v>
      </c>
      <c r="D23" s="6" t="s">
        <v>965</v>
      </c>
      <c r="E23" s="6" t="s">
        <v>35</v>
      </c>
      <c r="F23" s="6" t="s">
        <v>957</v>
      </c>
      <c r="G23" s="6" t="s">
        <v>930</v>
      </c>
      <c r="H23" s="6" t="n">
        <v>5000</v>
      </c>
      <c r="I23" s="6" t="s">
        <v>1033</v>
      </c>
      <c r="J23" s="6" t="s">
        <v>1034</v>
      </c>
      <c r="K23" s="6" t="s">
        <v>1035</v>
      </c>
      <c r="L23" s="6" t="s">
        <v>1031</v>
      </c>
      <c r="M23" s="6" t="s">
        <v>1036</v>
      </c>
    </row>
    <row r="24" customFormat="false" ht="15" hidden="false" customHeight="true" outlineLevel="0" collapsed="false">
      <c r="A24" s="6" t="s">
        <v>1037</v>
      </c>
      <c r="B24" s="6" t="s">
        <v>1016</v>
      </c>
      <c r="C24" s="6" t="s">
        <v>1038</v>
      </c>
      <c r="D24" s="6" t="s">
        <v>965</v>
      </c>
      <c r="E24" s="6" t="s">
        <v>35</v>
      </c>
      <c r="F24" s="6" t="s">
        <v>915</v>
      </c>
      <c r="G24" s="6" t="s">
        <v>1018</v>
      </c>
      <c r="I24" s="6" t="s">
        <v>1039</v>
      </c>
      <c r="J24" s="6" t="s">
        <v>1040</v>
      </c>
      <c r="K24" s="6" t="s">
        <v>1041</v>
      </c>
      <c r="L24" s="6" t="s">
        <v>1037</v>
      </c>
      <c r="M24" s="6" t="s">
        <v>1042</v>
      </c>
    </row>
    <row r="25" customFormat="false" ht="15" hidden="false" customHeight="true" outlineLevel="0" collapsed="false">
      <c r="A25" s="6" t="s">
        <v>1043</v>
      </c>
      <c r="B25" s="6" t="s">
        <v>1016</v>
      </c>
      <c r="C25" s="6" t="s">
        <v>1044</v>
      </c>
      <c r="D25" s="6" t="s">
        <v>965</v>
      </c>
      <c r="E25" s="6" t="s">
        <v>35</v>
      </c>
      <c r="F25" s="6" t="s">
        <v>915</v>
      </c>
      <c r="G25" s="6" t="s">
        <v>1018</v>
      </c>
      <c r="I25" s="6" t="s">
        <v>1045</v>
      </c>
      <c r="J25" s="6" t="s">
        <v>1046</v>
      </c>
      <c r="K25" s="6" t="s">
        <v>1047</v>
      </c>
      <c r="L25" s="6" t="s">
        <v>1043</v>
      </c>
      <c r="M25" s="6" t="s">
        <v>1042</v>
      </c>
      <c r="N25" s="6" t="s">
        <v>1048</v>
      </c>
    </row>
    <row r="26" customFormat="false" ht="15" hidden="false" customHeight="true" outlineLevel="0" collapsed="false">
      <c r="A26" s="6" t="s">
        <v>1049</v>
      </c>
      <c r="B26" s="6" t="s">
        <v>1050</v>
      </c>
      <c r="C26" s="6" t="s">
        <v>1051</v>
      </c>
      <c r="D26" s="6" t="s">
        <v>965</v>
      </c>
      <c r="E26" s="6" t="s">
        <v>35</v>
      </c>
      <c r="F26" s="6" t="s">
        <v>915</v>
      </c>
      <c r="G26" s="6" t="s">
        <v>1018</v>
      </c>
      <c r="H26" s="6" t="n">
        <v>0.07</v>
      </c>
      <c r="I26" s="6" t="s">
        <v>1052</v>
      </c>
      <c r="J26" s="6" t="s">
        <v>1053</v>
      </c>
      <c r="K26" s="6" t="s">
        <v>1054</v>
      </c>
      <c r="L26" s="6" t="s">
        <v>1049</v>
      </c>
      <c r="M26" s="6" t="s">
        <v>1055</v>
      </c>
    </row>
    <row r="27" customFormat="false" ht="15" hidden="false" customHeight="true" outlineLevel="0" collapsed="false">
      <c r="A27" s="6" t="s">
        <v>1056</v>
      </c>
      <c r="B27" s="6" t="s">
        <v>1050</v>
      </c>
      <c r="C27" s="6" t="s">
        <v>1057</v>
      </c>
      <c r="D27" s="6" t="s">
        <v>965</v>
      </c>
      <c r="E27" s="6" t="s">
        <v>35</v>
      </c>
      <c r="F27" s="6" t="s">
        <v>915</v>
      </c>
      <c r="G27" s="6" t="s">
        <v>1018</v>
      </c>
      <c r="H27" s="6" t="n">
        <v>0.07</v>
      </c>
      <c r="I27" s="6" t="s">
        <v>1052</v>
      </c>
      <c r="J27" s="6" t="s">
        <v>1053</v>
      </c>
      <c r="K27" s="6" t="s">
        <v>1058</v>
      </c>
      <c r="L27" s="6" t="s">
        <v>1056</v>
      </c>
      <c r="M27" s="6" t="s">
        <v>1055</v>
      </c>
      <c r="N27" s="6" t="s">
        <v>1059</v>
      </c>
    </row>
    <row r="28" customFormat="false" ht="15" hidden="false" customHeight="true" outlineLevel="0" collapsed="false">
      <c r="A28" s="6" t="s">
        <v>1060</v>
      </c>
      <c r="B28" s="6" t="s">
        <v>1050</v>
      </c>
      <c r="C28" s="6" t="s">
        <v>1061</v>
      </c>
      <c r="D28" s="6" t="s">
        <v>965</v>
      </c>
      <c r="E28" s="6" t="s">
        <v>35</v>
      </c>
      <c r="F28" s="6" t="s">
        <v>915</v>
      </c>
      <c r="G28" s="6" t="s">
        <v>930</v>
      </c>
      <c r="H28" s="6" t="n">
        <v>0.02</v>
      </c>
      <c r="I28" s="6" t="s">
        <v>1062</v>
      </c>
      <c r="J28" s="6" t="s">
        <v>1063</v>
      </c>
      <c r="K28" s="6" t="s">
        <v>1064</v>
      </c>
      <c r="L28" s="6" t="s">
        <v>1060</v>
      </c>
      <c r="M28" s="6" t="s">
        <v>1065</v>
      </c>
      <c r="N28" s="6" t="s">
        <v>1066</v>
      </c>
    </row>
    <row r="29" customFormat="false" ht="15" hidden="false" customHeight="true" outlineLevel="0" collapsed="false">
      <c r="A29" s="6" t="s">
        <v>1067</v>
      </c>
      <c r="B29" s="6" t="s">
        <v>1050</v>
      </c>
      <c r="C29" s="6" t="s">
        <v>1068</v>
      </c>
      <c r="D29" s="6" t="s">
        <v>965</v>
      </c>
      <c r="E29" s="6" t="s">
        <v>35</v>
      </c>
      <c r="F29" s="6" t="s">
        <v>915</v>
      </c>
      <c r="G29" s="6" t="s">
        <v>930</v>
      </c>
      <c r="H29" s="6" t="n">
        <v>0.02</v>
      </c>
      <c r="I29" s="6" t="s">
        <v>1062</v>
      </c>
      <c r="J29" s="6" t="s">
        <v>1069</v>
      </c>
      <c r="K29" s="6" t="s">
        <v>1064</v>
      </c>
      <c r="L29" s="6" t="s">
        <v>1067</v>
      </c>
      <c r="M29" s="6" t="s">
        <v>1065</v>
      </c>
      <c r="N29" s="6" t="s">
        <v>1070</v>
      </c>
    </row>
    <row r="30" customFormat="false" ht="15" hidden="false" customHeight="true" outlineLevel="0" collapsed="false">
      <c r="A30" s="6" t="s">
        <v>1071</v>
      </c>
      <c r="B30" s="6" t="s">
        <v>1050</v>
      </c>
      <c r="C30" s="6" t="s">
        <v>1072</v>
      </c>
      <c r="D30" s="6" t="s">
        <v>965</v>
      </c>
      <c r="E30" s="6" t="s">
        <v>35</v>
      </c>
      <c r="F30" s="6" t="s">
        <v>915</v>
      </c>
      <c r="G30" s="6" t="s">
        <v>1018</v>
      </c>
      <c r="H30" s="6" t="n">
        <v>0.028</v>
      </c>
      <c r="I30" s="6" t="s">
        <v>1073</v>
      </c>
      <c r="J30" s="6" t="s">
        <v>1074</v>
      </c>
      <c r="K30" s="6" t="s">
        <v>1075</v>
      </c>
      <c r="L30" s="6" t="s">
        <v>1071</v>
      </c>
      <c r="M30" s="6" t="s">
        <v>1065</v>
      </c>
      <c r="N30" s="6" t="s">
        <v>1076</v>
      </c>
    </row>
    <row r="31" customFormat="false" ht="15" hidden="false" customHeight="true" outlineLevel="0" collapsed="false">
      <c r="A31" s="6" t="s">
        <v>1077</v>
      </c>
      <c r="B31" s="6" t="s">
        <v>1078</v>
      </c>
      <c r="C31" s="6" t="s">
        <v>1079</v>
      </c>
      <c r="D31" s="6" t="s">
        <v>965</v>
      </c>
      <c r="E31" s="6" t="s">
        <v>41</v>
      </c>
      <c r="F31" s="6" t="s">
        <v>950</v>
      </c>
      <c r="G31" s="6" t="s">
        <v>930</v>
      </c>
      <c r="I31" s="6" t="s">
        <v>1080</v>
      </c>
      <c r="J31" s="6" t="s">
        <v>1081</v>
      </c>
      <c r="K31" s="6" t="s">
        <v>1082</v>
      </c>
      <c r="L31" s="6" t="s">
        <v>1077</v>
      </c>
      <c r="M31" s="6" t="s">
        <v>1083</v>
      </c>
      <c r="N31" s="6" t="s">
        <v>1084</v>
      </c>
    </row>
    <row r="32" customFormat="false" ht="15" hidden="false" customHeight="true" outlineLevel="0" collapsed="false">
      <c r="A32" s="6" t="s">
        <v>1085</v>
      </c>
      <c r="B32" s="6" t="s">
        <v>1078</v>
      </c>
      <c r="C32" s="6" t="s">
        <v>1086</v>
      </c>
      <c r="D32" s="6" t="s">
        <v>965</v>
      </c>
      <c r="E32" s="6" t="s">
        <v>35</v>
      </c>
      <c r="F32" s="6" t="s">
        <v>915</v>
      </c>
      <c r="G32" s="6" t="s">
        <v>916</v>
      </c>
      <c r="H32" s="6" t="n">
        <v>1</v>
      </c>
      <c r="I32" s="6" t="s">
        <v>1087</v>
      </c>
      <c r="J32" s="6" t="s">
        <v>1088</v>
      </c>
      <c r="K32" s="6" t="s">
        <v>1089</v>
      </c>
      <c r="L32" s="6" t="s">
        <v>1085</v>
      </c>
      <c r="M32" s="6" t="s">
        <v>961</v>
      </c>
    </row>
    <row r="33" customFormat="false" ht="15" hidden="false" customHeight="true" outlineLevel="0" collapsed="false">
      <c r="A33" s="6" t="s">
        <v>1090</v>
      </c>
      <c r="B33" s="6" t="s">
        <v>1078</v>
      </c>
      <c r="C33" s="6" t="s">
        <v>1091</v>
      </c>
      <c r="D33" s="6" t="s">
        <v>965</v>
      </c>
      <c r="E33" s="6" t="s">
        <v>35</v>
      </c>
      <c r="F33" s="6" t="s">
        <v>957</v>
      </c>
      <c r="G33" s="6" t="s">
        <v>100</v>
      </c>
      <c r="I33" s="6" t="s">
        <v>1092</v>
      </c>
      <c r="J33" s="6" t="s">
        <v>1093</v>
      </c>
      <c r="K33" s="6" t="s">
        <v>960</v>
      </c>
      <c r="L33" s="6" t="s">
        <v>1090</v>
      </c>
      <c r="M33" s="6" t="s">
        <v>1094</v>
      </c>
      <c r="N33" s="6" t="s">
        <v>1095</v>
      </c>
    </row>
    <row r="34" customFormat="false" ht="15" hidden="false" customHeight="true" outlineLevel="0" collapsed="false">
      <c r="A34" s="6" t="s">
        <v>1096</v>
      </c>
      <c r="B34" s="6" t="s">
        <v>1097</v>
      </c>
      <c r="C34" s="6" t="s">
        <v>1098</v>
      </c>
      <c r="D34" s="6" t="s">
        <v>965</v>
      </c>
      <c r="E34" s="6" t="s">
        <v>41</v>
      </c>
      <c r="F34" s="6" t="s">
        <v>915</v>
      </c>
      <c r="G34" s="6" t="s">
        <v>930</v>
      </c>
      <c r="I34" s="6" t="s">
        <v>1099</v>
      </c>
      <c r="J34" s="6" t="s">
        <v>1100</v>
      </c>
      <c r="K34" s="6" t="s">
        <v>1101</v>
      </c>
      <c r="L34" s="6" t="s">
        <v>1096</v>
      </c>
      <c r="M34" s="6" t="s">
        <v>1102</v>
      </c>
    </row>
    <row r="35" customFormat="false" ht="15" hidden="false" customHeight="true" outlineLevel="0" collapsed="false">
      <c r="A35" s="6" t="s">
        <v>1103</v>
      </c>
      <c r="B35" s="6" t="s">
        <v>1097</v>
      </c>
      <c r="C35" s="6" t="s">
        <v>1104</v>
      </c>
      <c r="D35" s="6" t="s">
        <v>965</v>
      </c>
      <c r="E35" s="6" t="s">
        <v>35</v>
      </c>
      <c r="F35" s="6" t="s">
        <v>957</v>
      </c>
      <c r="G35" s="6" t="s">
        <v>100</v>
      </c>
      <c r="I35" s="6" t="s">
        <v>1105</v>
      </c>
      <c r="J35" s="6" t="s">
        <v>1106</v>
      </c>
      <c r="K35" s="6" t="s">
        <v>960</v>
      </c>
      <c r="L35" s="6" t="s">
        <v>1103</v>
      </c>
      <c r="M35" s="6" t="s">
        <v>1102</v>
      </c>
      <c r="N35" s="6" t="s">
        <v>1107</v>
      </c>
    </row>
    <row r="36" customFormat="false" ht="15" hidden="false" customHeight="true" outlineLevel="0" collapsed="false">
      <c r="A36" s="6" t="s">
        <v>1108</v>
      </c>
      <c r="B36" s="6" t="s">
        <v>1109</v>
      </c>
      <c r="C36" s="6" t="s">
        <v>1110</v>
      </c>
      <c r="D36" s="6" t="s">
        <v>965</v>
      </c>
      <c r="E36" s="6" t="s">
        <v>35</v>
      </c>
      <c r="F36" s="6" t="s">
        <v>915</v>
      </c>
      <c r="G36" s="6" t="s">
        <v>930</v>
      </c>
      <c r="H36" s="6" t="n">
        <v>0.1</v>
      </c>
      <c r="I36" s="6" t="s">
        <v>1111</v>
      </c>
      <c r="J36" s="6" t="s">
        <v>1112</v>
      </c>
      <c r="K36" s="6" t="s">
        <v>1113</v>
      </c>
      <c r="L36" s="6" t="s">
        <v>1108</v>
      </c>
      <c r="M36" s="6" t="s">
        <v>1065</v>
      </c>
      <c r="N36" s="6" t="s">
        <v>1114</v>
      </c>
    </row>
    <row r="37" customFormat="false" ht="15" hidden="false" customHeight="true" outlineLevel="0" collapsed="false">
      <c r="A37" s="6" t="s">
        <v>1115</v>
      </c>
      <c r="B37" s="6" t="s">
        <v>1116</v>
      </c>
      <c r="C37" s="6" t="s">
        <v>1117</v>
      </c>
      <c r="D37" s="6" t="s">
        <v>965</v>
      </c>
      <c r="E37" s="6" t="s">
        <v>35</v>
      </c>
      <c r="F37" s="6" t="s">
        <v>915</v>
      </c>
      <c r="G37" s="6" t="s">
        <v>1018</v>
      </c>
      <c r="I37" s="6" t="s">
        <v>1118</v>
      </c>
      <c r="J37" s="6" t="s">
        <v>1119</v>
      </c>
      <c r="K37" s="6" t="s">
        <v>1120</v>
      </c>
      <c r="L37" s="6" t="s">
        <v>1121</v>
      </c>
      <c r="M37" s="6" t="s">
        <v>1122</v>
      </c>
      <c r="N37" s="6" t="s">
        <v>1123</v>
      </c>
    </row>
    <row r="38" customFormat="false" ht="15" hidden="false" customHeight="true" outlineLevel="0" collapsed="false">
      <c r="A38" s="6" t="s">
        <v>1124</v>
      </c>
      <c r="B38" s="6" t="s">
        <v>1125</v>
      </c>
      <c r="C38" s="6" t="s">
        <v>1126</v>
      </c>
      <c r="D38" s="6" t="s">
        <v>914</v>
      </c>
      <c r="E38" s="6" t="s">
        <v>41</v>
      </c>
      <c r="F38" s="6" t="s">
        <v>915</v>
      </c>
      <c r="G38" s="6" t="s">
        <v>1018</v>
      </c>
      <c r="H38" s="6" t="n">
        <v>0.5</v>
      </c>
      <c r="I38" s="6" t="s">
        <v>1127</v>
      </c>
      <c r="J38" s="6" t="s">
        <v>1128</v>
      </c>
      <c r="K38" s="6" t="s">
        <v>1129</v>
      </c>
      <c r="L38" s="6" t="s">
        <v>1124</v>
      </c>
      <c r="M38" s="6" t="s">
        <v>1130</v>
      </c>
      <c r="N38" s="6" t="s">
        <v>1131</v>
      </c>
    </row>
    <row r="39" customFormat="false" ht="15" hidden="false" customHeight="true" outlineLevel="0" collapsed="false">
      <c r="A39" s="6" t="s">
        <v>65</v>
      </c>
      <c r="B39" s="6" t="s">
        <v>1132</v>
      </c>
      <c r="C39" s="6" t="s">
        <v>1133</v>
      </c>
      <c r="D39" s="6" t="s">
        <v>965</v>
      </c>
      <c r="E39" s="6" t="s">
        <v>41</v>
      </c>
      <c r="F39" s="6" t="s">
        <v>915</v>
      </c>
      <c r="G39" s="6" t="s">
        <v>930</v>
      </c>
      <c r="I39" s="6" t="s">
        <v>1134</v>
      </c>
      <c r="J39" s="6" t="s">
        <v>1135</v>
      </c>
      <c r="K39" s="6" t="s">
        <v>1136</v>
      </c>
      <c r="L39" s="6" t="s">
        <v>65</v>
      </c>
      <c r="M39" s="6" t="s">
        <v>1137</v>
      </c>
      <c r="N39" s="6" t="s">
        <v>1138</v>
      </c>
    </row>
    <row r="40" customFormat="false" ht="15" hidden="false" customHeight="true" outlineLevel="0" collapsed="false">
      <c r="A40" s="6" t="s">
        <v>1139</v>
      </c>
      <c r="B40" s="6" t="s">
        <v>1140</v>
      </c>
      <c r="C40" s="6" t="s">
        <v>1141</v>
      </c>
      <c r="D40" s="6" t="s">
        <v>965</v>
      </c>
      <c r="E40" s="6" t="s">
        <v>41</v>
      </c>
      <c r="F40" s="6" t="s">
        <v>915</v>
      </c>
      <c r="G40" s="6" t="s">
        <v>1018</v>
      </c>
      <c r="H40" s="6" t="n">
        <v>8500</v>
      </c>
      <c r="I40" s="6" t="s">
        <v>1142</v>
      </c>
      <c r="J40" s="6" t="s">
        <v>1143</v>
      </c>
      <c r="K40" s="6" t="s">
        <v>1144</v>
      </c>
      <c r="L40" s="6" t="s">
        <v>1139</v>
      </c>
      <c r="M40" s="6" t="s">
        <v>1145</v>
      </c>
      <c r="N40" s="6" t="s">
        <v>1146</v>
      </c>
    </row>
    <row r="41" customFormat="false" ht="15" hidden="false" customHeight="true" outlineLevel="0" collapsed="false">
      <c r="A41" s="6" t="s">
        <v>1147</v>
      </c>
      <c r="B41" s="6" t="s">
        <v>8</v>
      </c>
      <c r="C41" s="6" t="s">
        <v>33</v>
      </c>
      <c r="D41" s="6" t="s">
        <v>965</v>
      </c>
      <c r="E41" s="6" t="s">
        <v>35</v>
      </c>
      <c r="F41" s="6" t="s">
        <v>915</v>
      </c>
      <c r="G41" s="6" t="s">
        <v>1018</v>
      </c>
      <c r="H41" s="6" t="n">
        <v>1</v>
      </c>
      <c r="I41" s="6" t="s">
        <v>1148</v>
      </c>
      <c r="J41" s="6" t="s">
        <v>1149</v>
      </c>
      <c r="K41" s="6" t="s">
        <v>1150</v>
      </c>
      <c r="L41" s="6" t="s">
        <v>1147</v>
      </c>
      <c r="M41" s="6" t="s">
        <v>36</v>
      </c>
      <c r="N41" s="6" t="s">
        <v>1151</v>
      </c>
    </row>
    <row r="42" customFormat="false" ht="15" hidden="false" customHeight="true" outlineLevel="0" collapsed="false">
      <c r="A42" s="6" t="s">
        <v>97</v>
      </c>
      <c r="B42" s="6" t="s">
        <v>1152</v>
      </c>
      <c r="C42" s="6" t="s">
        <v>1153</v>
      </c>
      <c r="D42" s="6" t="s">
        <v>965</v>
      </c>
      <c r="E42" s="6" t="s">
        <v>35</v>
      </c>
      <c r="F42" s="6" t="s">
        <v>915</v>
      </c>
      <c r="G42" s="6" t="s">
        <v>966</v>
      </c>
      <c r="I42" s="6" t="s">
        <v>1154</v>
      </c>
      <c r="J42" s="6" t="s">
        <v>1155</v>
      </c>
      <c r="K42" s="6" t="s">
        <v>1156</v>
      </c>
      <c r="L42" s="6" t="s">
        <v>97</v>
      </c>
      <c r="M42" s="6" t="s">
        <v>1157</v>
      </c>
      <c r="N42" s="6" t="s">
        <v>1158</v>
      </c>
    </row>
    <row r="43" customFormat="false" ht="15" hidden="false" customHeight="true" outlineLevel="0" collapsed="false">
      <c r="A43" s="6" t="s">
        <v>108</v>
      </c>
      <c r="B43" s="6" t="s">
        <v>1159</v>
      </c>
      <c r="C43" s="6" t="s">
        <v>109</v>
      </c>
      <c r="D43" s="6" t="s">
        <v>965</v>
      </c>
      <c r="E43" s="6" t="s">
        <v>35</v>
      </c>
      <c r="F43" s="6" t="s">
        <v>950</v>
      </c>
      <c r="G43" s="6" t="s">
        <v>100</v>
      </c>
      <c r="I43" s="6" t="s">
        <v>1160</v>
      </c>
      <c r="J43" s="6" t="s">
        <v>1161</v>
      </c>
      <c r="K43" s="6" t="s">
        <v>1162</v>
      </c>
      <c r="L43" s="6" t="s">
        <v>108</v>
      </c>
      <c r="M43" s="6" t="s">
        <v>1163</v>
      </c>
      <c r="N43" s="6" t="s">
        <v>1164</v>
      </c>
    </row>
    <row r="44" customFormat="false" ht="15" hidden="false" customHeight="true" outlineLevel="0" collapsed="false">
      <c r="A44" s="6" t="s">
        <v>1165</v>
      </c>
      <c r="B44" s="6" t="s">
        <v>912</v>
      </c>
      <c r="C44" s="6" t="s">
        <v>1166</v>
      </c>
      <c r="D44" s="6" t="s">
        <v>914</v>
      </c>
      <c r="E44" s="6" t="s">
        <v>35</v>
      </c>
      <c r="F44" s="6" t="s">
        <v>950</v>
      </c>
      <c r="G44" s="6" t="s">
        <v>100</v>
      </c>
      <c r="I44" s="6" t="s">
        <v>1167</v>
      </c>
      <c r="J44" s="6" t="s">
        <v>1168</v>
      </c>
      <c r="K44" s="6" t="s">
        <v>1169</v>
      </c>
      <c r="L44" s="6" t="s">
        <v>1165</v>
      </c>
      <c r="M44" s="6" t="s">
        <v>1170</v>
      </c>
      <c r="N44" s="6" t="s">
        <v>1171</v>
      </c>
    </row>
    <row r="45" customFormat="false" ht="15" hidden="false" customHeight="true" outlineLevel="0" collapsed="false">
      <c r="A45" s="6" t="s">
        <v>113</v>
      </c>
      <c r="B45" s="6" t="s">
        <v>1172</v>
      </c>
      <c r="C45" s="6" t="s">
        <v>1173</v>
      </c>
      <c r="D45" s="6" t="s">
        <v>965</v>
      </c>
      <c r="E45" s="6" t="s">
        <v>35</v>
      </c>
      <c r="F45" s="6" t="s">
        <v>950</v>
      </c>
      <c r="G45" s="6" t="s">
        <v>100</v>
      </c>
      <c r="I45" s="6" t="s">
        <v>1174</v>
      </c>
      <c r="J45" s="6" t="s">
        <v>1175</v>
      </c>
      <c r="K45" s="6" t="s">
        <v>1176</v>
      </c>
      <c r="L45" s="6" t="s">
        <v>113</v>
      </c>
      <c r="M45" s="6" t="s">
        <v>116</v>
      </c>
      <c r="N45" s="6" t="s">
        <v>1177</v>
      </c>
    </row>
    <row r="48" customFormat="false" ht="15" hidden="false" customHeight="true" outlineLevel="0" collapsed="false">
      <c r="A48" s="8" t="s">
        <v>1178</v>
      </c>
    </row>
    <row r="49" customFormat="false" ht="15" hidden="false" customHeight="true" outlineLevel="0" collapsed="false">
      <c r="A49" s="12" t="s">
        <v>201</v>
      </c>
      <c r="B49" s="12" t="s">
        <v>122</v>
      </c>
    </row>
    <row r="50" customFormat="false" ht="15" hidden="false" customHeight="true" outlineLevel="0" collapsed="false">
      <c r="A50" s="6" t="s">
        <v>1179</v>
      </c>
      <c r="B50" s="116" t="n">
        <v>300</v>
      </c>
    </row>
    <row r="51" customFormat="false" ht="15" hidden="false" customHeight="true" outlineLevel="0" collapsed="false">
      <c r="A51" s="6" t="s">
        <v>1180</v>
      </c>
      <c r="B51" s="116" t="n">
        <v>350</v>
      </c>
    </row>
    <row r="52" customFormat="false" ht="15" hidden="false" customHeight="true" outlineLevel="0" collapsed="false">
      <c r="A52" s="6" t="s">
        <v>1181</v>
      </c>
      <c r="B52" s="116" t="n">
        <v>500</v>
      </c>
    </row>
    <row r="53" customFormat="false" ht="15" hidden="false" customHeight="true" outlineLevel="0" collapsed="false">
      <c r="A53" s="6" t="s">
        <v>1182</v>
      </c>
      <c r="B53" s="116" t="n">
        <v>1500000</v>
      </c>
    </row>
    <row r="54" customFormat="false" ht="15" hidden="false" customHeight="true" outlineLevel="0" collapsed="false">
      <c r="A54" s="6" t="s">
        <v>1183</v>
      </c>
      <c r="B54" s="116" t="n">
        <v>1000000</v>
      </c>
    </row>
    <row r="55" customFormat="false" ht="15" hidden="false" customHeight="true" outlineLevel="0" collapsed="false">
      <c r="A55" s="6" t="s">
        <v>1184</v>
      </c>
      <c r="B55" s="116" t="n">
        <v>1000000</v>
      </c>
    </row>
    <row r="56" customFormat="false" ht="15" hidden="false" customHeight="true" outlineLevel="0" collapsed="false">
      <c r="A56" s="6" t="s">
        <v>1185</v>
      </c>
      <c r="B56" s="116" t="n">
        <v>1000000000000</v>
      </c>
    </row>
    <row r="57" customFormat="false" ht="15" hidden="false" customHeight="true" outlineLevel="0" collapsed="false">
      <c r="A57" s="6" t="s">
        <v>1186</v>
      </c>
      <c r="B57" s="116" t="n">
        <v>2000000</v>
      </c>
    </row>
    <row r="58" customFormat="false" ht="15" hidden="false" customHeight="true" outlineLevel="0" collapsed="false">
      <c r="A58" s="6" t="s">
        <v>1187</v>
      </c>
      <c r="B58" s="116" t="n">
        <v>0.15</v>
      </c>
    </row>
    <row r="59" customFormat="false" ht="15" hidden="false" customHeight="true" outlineLevel="0" collapsed="false">
      <c r="A59" s="6" t="s">
        <v>1188</v>
      </c>
      <c r="B59" s="116" t="n">
        <v>0.1</v>
      </c>
    </row>
    <row r="60" customFormat="false" ht="15" hidden="false" customHeight="true" outlineLevel="0" collapsed="false">
      <c r="A60" s="6" t="s">
        <v>1189</v>
      </c>
      <c r="B60" s="116" t="n">
        <v>0.15</v>
      </c>
    </row>
    <row r="61" customFormat="false" ht="15" hidden="false" customHeight="true" outlineLevel="0" collapsed="false">
      <c r="A61" s="6" t="s">
        <v>1190</v>
      </c>
      <c r="B61" s="116" t="n">
        <v>1.15</v>
      </c>
    </row>
    <row r="62" customFormat="false" ht="15" hidden="false" customHeight="true" outlineLevel="0" collapsed="false">
      <c r="A62" s="6" t="s">
        <v>1191</v>
      </c>
      <c r="B62" s="116" t="n">
        <v>1.4</v>
      </c>
    </row>
    <row r="63" customFormat="false" ht="15" hidden="false" customHeight="true" outlineLevel="0" collapsed="false">
      <c r="A63" s="6" t="s">
        <v>1192</v>
      </c>
      <c r="B63" s="116" t="n">
        <v>1.15</v>
      </c>
    </row>
    <row r="64" customFormat="false" ht="15" hidden="false" customHeight="true" outlineLevel="0" collapsed="false">
      <c r="A64" s="6" t="s">
        <v>1193</v>
      </c>
      <c r="B64" s="116" t="n">
        <v>0.04</v>
      </c>
    </row>
    <row r="65" customFormat="false" ht="15" hidden="false" customHeight="true" outlineLevel="0" collapsed="false">
      <c r="A65" s="6" t="s">
        <v>1194</v>
      </c>
      <c r="B65" s="116" t="n">
        <v>0.09</v>
      </c>
    </row>
    <row r="66" customFormat="false" ht="15" hidden="false" customHeight="true" outlineLevel="0" collapsed="false">
      <c r="A66" s="6" t="s">
        <v>1195</v>
      </c>
      <c r="B66" s="116" t="n">
        <v>0.25</v>
      </c>
    </row>
    <row r="67" customFormat="false" ht="15" hidden="false" customHeight="true" outlineLevel="0" collapsed="false">
      <c r="A67" s="6" t="s">
        <v>1196</v>
      </c>
      <c r="B67" s="117" t="n">
        <v>8500</v>
      </c>
    </row>
    <row r="68" customFormat="false" ht="15" hidden="false" customHeight="true" outlineLevel="0" collapsed="false">
      <c r="A68" s="6" t="s">
        <v>1197</v>
      </c>
      <c r="B68" s="117"/>
    </row>
    <row r="70" customFormat="false" ht="15" hidden="false" customHeight="true" outlineLevel="0" collapsed="false">
      <c r="A70" s="8" t="s">
        <v>1198</v>
      </c>
    </row>
    <row r="71" customFormat="false" ht="15" hidden="false" customHeight="true" outlineLevel="0" collapsed="false">
      <c r="A71" s="15" t="s">
        <v>41</v>
      </c>
      <c r="B71" s="15" t="s">
        <v>1199</v>
      </c>
    </row>
    <row r="72" customFormat="false" ht="15" hidden="false" customHeight="true" outlineLevel="0" collapsed="false">
      <c r="A72" s="15" t="s">
        <v>35</v>
      </c>
      <c r="B72" s="15" t="s">
        <v>1200</v>
      </c>
    </row>
    <row r="73" customFormat="false" ht="15" hidden="false" customHeight="true" outlineLevel="0" collapsed="false">
      <c r="A73" s="15" t="s">
        <v>915</v>
      </c>
      <c r="B73" s="15" t="s">
        <v>1201</v>
      </c>
    </row>
    <row r="74" customFormat="false" ht="15" hidden="false" customHeight="true" outlineLevel="0" collapsed="false">
      <c r="A74" s="15" t="s">
        <v>950</v>
      </c>
      <c r="B74" s="15" t="s">
        <v>1202</v>
      </c>
    </row>
    <row r="75" customFormat="false" ht="15" hidden="false" customHeight="true" outlineLevel="0" collapsed="false">
      <c r="A75" s="15" t="s">
        <v>957</v>
      </c>
      <c r="B75" s="15" t="s">
        <v>1203</v>
      </c>
    </row>
    <row r="76" customFormat="false" ht="15" hidden="false" customHeight="true" outlineLevel="0" collapsed="false">
      <c r="A76" s="15" t="s">
        <v>1204</v>
      </c>
      <c r="B76" s="15" t="s">
        <v>1205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4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2"/>
    <col collapsed="false" customWidth="true" hidden="false" outlineLevel="0" max="9" min="3" style="1" width="12"/>
    <col collapsed="false" customWidth="true" hidden="false" outlineLevel="0" max="10" min="10" style="1" width="2"/>
    <col collapsed="false" customWidth="true" hidden="false" outlineLevel="0" max="11" min="11" style="1" width="26"/>
  </cols>
  <sheetData>
    <row r="1" customFormat="false" ht="15" hidden="false" customHeight="true" outlineLevel="0" collapsed="false">
      <c r="A1" s="8" t="s">
        <v>1206</v>
      </c>
    </row>
    <row r="2" customFormat="false" ht="15" hidden="false" customHeight="true" outlineLevel="0" collapsed="false">
      <c r="A2" s="36" t="s">
        <v>1207</v>
      </c>
    </row>
    <row r="4" customFormat="false" ht="15" hidden="false" customHeight="true" outlineLevel="0" collapsed="false">
      <c r="A4" s="8" t="s">
        <v>1208</v>
      </c>
    </row>
    <row r="5" customFormat="false" ht="15" hidden="false" customHeight="true" outlineLevel="0" collapsed="false">
      <c r="A5" s="12" t="s">
        <v>1209</v>
      </c>
      <c r="B5" s="12" t="s">
        <v>1210</v>
      </c>
      <c r="C5" s="12" t="s">
        <v>1211</v>
      </c>
      <c r="D5" s="12" t="s">
        <v>1212</v>
      </c>
      <c r="E5" s="12" t="s">
        <v>1213</v>
      </c>
      <c r="F5" s="12" t="s">
        <v>1214</v>
      </c>
      <c r="G5" s="12" t="s">
        <v>1215</v>
      </c>
      <c r="H5" s="12" t="s">
        <v>1216</v>
      </c>
      <c r="I5" s="12" t="s">
        <v>1217</v>
      </c>
      <c r="K5" s="12" t="s">
        <v>1218</v>
      </c>
    </row>
    <row r="6" customFormat="false" ht="15" hidden="false" customHeight="true" outlineLevel="0" collapsed="false">
      <c r="A6" s="15" t="s">
        <v>64</v>
      </c>
      <c r="B6" s="15" t="s">
        <v>1219</v>
      </c>
      <c r="C6" s="15" t="n">
        <v>192990</v>
      </c>
      <c r="D6" s="15" t="n">
        <v>250235</v>
      </c>
      <c r="E6" s="15" t="n">
        <v>299913</v>
      </c>
      <c r="F6" s="15" t="n">
        <v>358464</v>
      </c>
      <c r="G6" s="15" t="n">
        <v>422736</v>
      </c>
      <c r="H6" s="15" t="n">
        <v>463615</v>
      </c>
      <c r="I6" s="15" t="n">
        <v>500548</v>
      </c>
      <c r="K6" s="15" t="str">
        <f aca="false">A6&amp;"|"&amp;B6</f>
        <v>Baton Rouge|Detached/Semi-Detached</v>
      </c>
    </row>
    <row r="7" customFormat="false" ht="15" hidden="false" customHeight="true" outlineLevel="0" collapsed="false">
      <c r="A7" s="15" t="s">
        <v>64</v>
      </c>
      <c r="B7" s="15" t="s">
        <v>1220</v>
      </c>
      <c r="C7" s="15" t="n">
        <v>167482</v>
      </c>
      <c r="D7" s="15" t="n">
        <v>219776</v>
      </c>
      <c r="E7" s="15" t="n">
        <v>267505</v>
      </c>
      <c r="F7" s="15" t="n">
        <v>328760</v>
      </c>
      <c r="G7" s="15" t="n">
        <v>391384</v>
      </c>
      <c r="H7" s="15" t="n">
        <v>432370</v>
      </c>
      <c r="I7" s="15" t="n">
        <v>469949</v>
      </c>
      <c r="K7" s="15" t="str">
        <f aca="false">A7&amp;"|"&amp;B7</f>
        <v>Baton Rouge|Row House</v>
      </c>
    </row>
    <row r="8" customFormat="false" ht="15" hidden="false" customHeight="true" outlineLevel="0" collapsed="false">
      <c r="A8" s="15" t="s">
        <v>64</v>
      </c>
      <c r="B8" s="15" t="s">
        <v>70</v>
      </c>
      <c r="C8" s="15" t="n">
        <v>152046</v>
      </c>
      <c r="D8" s="15" t="n">
        <v>206801</v>
      </c>
      <c r="E8" s="15" t="n">
        <v>261412</v>
      </c>
      <c r="F8" s="15" t="n">
        <v>344058</v>
      </c>
      <c r="G8" s="15" t="n">
        <v>425863</v>
      </c>
      <c r="H8" s="15" t="n">
        <v>479464</v>
      </c>
      <c r="I8" s="15" t="n">
        <v>532316</v>
      </c>
      <c r="K8" s="15" t="str">
        <f aca="false">A8&amp;"|"&amp;B8</f>
        <v>Baton Rouge|Walkup</v>
      </c>
    </row>
    <row r="9" customFormat="false" ht="15" hidden="false" customHeight="true" outlineLevel="0" collapsed="false">
      <c r="A9" s="15" t="s">
        <v>64</v>
      </c>
      <c r="B9" s="15" t="s">
        <v>1221</v>
      </c>
      <c r="C9" s="15" t="n">
        <v>155694</v>
      </c>
      <c r="D9" s="15" t="n">
        <v>217971</v>
      </c>
      <c r="E9" s="15" t="n">
        <v>280249</v>
      </c>
      <c r="F9" s="15" t="n">
        <v>373665</v>
      </c>
      <c r="G9" s="15" t="n">
        <v>467081</v>
      </c>
      <c r="H9" s="15" t="n">
        <v>529359</v>
      </c>
      <c r="I9" s="15" t="n">
        <v>591637</v>
      </c>
      <c r="K9" s="15" t="str">
        <f aca="false">A9&amp;"|"&amp;B9</f>
        <v>Baton Rouge|Elevator</v>
      </c>
    </row>
    <row r="10" customFormat="false" ht="15" hidden="false" customHeight="true" outlineLevel="0" collapsed="false">
      <c r="A10" s="15" t="s">
        <v>63</v>
      </c>
      <c r="B10" s="15" t="s">
        <v>1219</v>
      </c>
      <c r="C10" s="15" t="n">
        <v>195259</v>
      </c>
      <c r="D10" s="15" t="n">
        <v>253241</v>
      </c>
      <c r="E10" s="15" t="n">
        <v>303557</v>
      </c>
      <c r="F10" s="15" t="n">
        <v>362882</v>
      </c>
      <c r="G10" s="15" t="n">
        <v>428000</v>
      </c>
      <c r="H10" s="15" t="n">
        <v>469411</v>
      </c>
      <c r="I10" s="15" t="n">
        <v>506866</v>
      </c>
      <c r="K10" s="15" t="str">
        <f aca="false">A10&amp;"|"&amp;B10</f>
        <v>Lafayette|Detached/Semi-Detached</v>
      </c>
    </row>
    <row r="11" customFormat="false" ht="15" hidden="false" customHeight="true" outlineLevel="0" collapsed="false">
      <c r="A11" s="15" t="s">
        <v>63</v>
      </c>
      <c r="B11" s="15" t="s">
        <v>1220</v>
      </c>
      <c r="C11" s="15" t="n">
        <v>169184</v>
      </c>
      <c r="D11" s="15" t="n">
        <v>222105</v>
      </c>
      <c r="E11" s="15" t="n">
        <v>270429</v>
      </c>
      <c r="F11" s="15" t="n">
        <v>332518</v>
      </c>
      <c r="G11" s="15" t="n">
        <v>395951</v>
      </c>
      <c r="H11" s="15" t="n">
        <v>437457</v>
      </c>
      <c r="I11" s="15" t="n">
        <v>475541</v>
      </c>
      <c r="K11" s="15" t="str">
        <f aca="false">A11&amp;"|"&amp;B11</f>
        <v>Lafayette|Row House</v>
      </c>
    </row>
    <row r="12" customFormat="false" ht="15" hidden="false" customHeight="true" outlineLevel="0" collapsed="false">
      <c r="A12" s="15" t="s">
        <v>63</v>
      </c>
      <c r="B12" s="15" t="s">
        <v>70</v>
      </c>
      <c r="C12" s="15" t="n">
        <v>153284</v>
      </c>
      <c r="D12" s="15" t="n">
        <v>208399</v>
      </c>
      <c r="E12" s="15" t="n">
        <v>263367</v>
      </c>
      <c r="F12" s="15" t="n">
        <v>346565</v>
      </c>
      <c r="G12" s="15" t="n">
        <v>428903</v>
      </c>
      <c r="H12" s="15" t="n">
        <v>482839</v>
      </c>
      <c r="I12" s="15" t="n">
        <v>536009</v>
      </c>
      <c r="K12" s="15" t="str">
        <f aca="false">A12&amp;"|"&amp;B12</f>
        <v>Lafayette|Walkup</v>
      </c>
    </row>
    <row r="13" customFormat="false" ht="15" hidden="false" customHeight="true" outlineLevel="0" collapsed="false">
      <c r="A13" s="15" t="s">
        <v>63</v>
      </c>
      <c r="B13" s="15" t="s">
        <v>1221</v>
      </c>
      <c r="C13" s="15" t="n">
        <v>157518</v>
      </c>
      <c r="D13" s="15" t="n">
        <v>220526</v>
      </c>
      <c r="E13" s="15" t="n">
        <v>283533</v>
      </c>
      <c r="F13" s="15" t="n">
        <v>378044</v>
      </c>
      <c r="G13" s="15" t="n">
        <v>472555</v>
      </c>
      <c r="H13" s="15" t="n">
        <v>535562</v>
      </c>
      <c r="I13" s="15" t="n">
        <v>598569</v>
      </c>
      <c r="K13" s="15" t="str">
        <f aca="false">A13&amp;"|"&amp;B13</f>
        <v>Lafayette|Elevator</v>
      </c>
    </row>
    <row r="14" customFormat="false" ht="15" hidden="false" customHeight="true" outlineLevel="0" collapsed="false">
      <c r="A14" s="15" t="s">
        <v>62</v>
      </c>
      <c r="B14" s="15" t="s">
        <v>1219</v>
      </c>
      <c r="C14" s="15" t="n">
        <v>192036</v>
      </c>
      <c r="D14" s="15" t="n">
        <v>249094</v>
      </c>
      <c r="E14" s="15" t="n">
        <v>298610</v>
      </c>
      <c r="F14" s="15" t="n">
        <v>357003</v>
      </c>
      <c r="G14" s="15" t="n">
        <v>421096</v>
      </c>
      <c r="H14" s="15" t="n">
        <v>461852</v>
      </c>
      <c r="I14" s="15" t="n">
        <v>498736</v>
      </c>
      <c r="K14" s="15" t="str">
        <f aca="false">A14&amp;"|"&amp;B14</f>
        <v>Shreveport|Detached/Semi-Detached</v>
      </c>
    </row>
    <row r="15" customFormat="false" ht="15" hidden="false" customHeight="true" outlineLevel="0" collapsed="false">
      <c r="A15" s="15" t="s">
        <v>62</v>
      </c>
      <c r="B15" s="15" t="s">
        <v>1220</v>
      </c>
      <c r="C15" s="15" t="n">
        <v>166244</v>
      </c>
      <c r="D15" s="15" t="n">
        <v>218297</v>
      </c>
      <c r="E15" s="15" t="n">
        <v>265842</v>
      </c>
      <c r="F15" s="15" t="n">
        <v>326969</v>
      </c>
      <c r="G15" s="15" t="n">
        <v>389395</v>
      </c>
      <c r="H15" s="15" t="n">
        <v>430237</v>
      </c>
      <c r="I15" s="15" t="n">
        <v>467726</v>
      </c>
      <c r="K15" s="15" t="str">
        <f aca="false">A15&amp;"|"&amp;B15</f>
        <v>Shreveport|Row House</v>
      </c>
    </row>
    <row r="16" customFormat="false" ht="15" hidden="false" customHeight="true" outlineLevel="0" collapsed="false">
      <c r="A16" s="15" t="s">
        <v>62</v>
      </c>
      <c r="B16" s="15" t="s">
        <v>70</v>
      </c>
      <c r="C16" s="15" t="n">
        <v>150450</v>
      </c>
      <c r="D16" s="15" t="n">
        <v>204499</v>
      </c>
      <c r="E16" s="15" t="n">
        <v>258403</v>
      </c>
      <c r="F16" s="15" t="n">
        <v>339996</v>
      </c>
      <c r="G16" s="15" t="n">
        <v>420738</v>
      </c>
      <c r="H16" s="15" t="n">
        <v>473621</v>
      </c>
      <c r="I16" s="15" t="n">
        <v>525746</v>
      </c>
      <c r="K16" s="15" t="str">
        <f aca="false">A16&amp;"|"&amp;B16</f>
        <v>Shreveport|Walkup</v>
      </c>
    </row>
    <row r="17" customFormat="false" ht="15" hidden="false" customHeight="true" outlineLevel="0" collapsed="false">
      <c r="A17" s="15" t="s">
        <v>62</v>
      </c>
      <c r="B17" s="15" t="s">
        <v>1221</v>
      </c>
      <c r="C17" s="15" t="n">
        <v>154914</v>
      </c>
      <c r="D17" s="15" t="n">
        <v>216880</v>
      </c>
      <c r="E17" s="15" t="n">
        <v>278846</v>
      </c>
      <c r="F17" s="15" t="n">
        <v>371794</v>
      </c>
      <c r="G17" s="15" t="n">
        <v>464743</v>
      </c>
      <c r="H17" s="15" t="n">
        <v>526708</v>
      </c>
      <c r="I17" s="15" t="n">
        <v>588674</v>
      </c>
      <c r="K17" s="15" t="str">
        <f aca="false">A17&amp;"|"&amp;B17</f>
        <v>Shreveport|Elevator</v>
      </c>
    </row>
    <row r="19" customFormat="false" ht="15" hidden="false" customHeight="true" outlineLevel="0" collapsed="false">
      <c r="A19" s="8" t="s">
        <v>1222</v>
      </c>
    </row>
    <row r="20" customFormat="false" ht="15" hidden="false" customHeight="true" outlineLevel="0" collapsed="false">
      <c r="A20" s="12" t="s">
        <v>1209</v>
      </c>
      <c r="B20" s="12" t="s">
        <v>1210</v>
      </c>
      <c r="C20" s="12" t="s">
        <v>1211</v>
      </c>
      <c r="D20" s="12" t="s">
        <v>1212</v>
      </c>
      <c r="E20" s="12" t="s">
        <v>1213</v>
      </c>
      <c r="F20" s="12" t="s">
        <v>1214</v>
      </c>
      <c r="G20" s="12" t="s">
        <v>1215</v>
      </c>
      <c r="H20" s="12" t="s">
        <v>1216</v>
      </c>
      <c r="I20" s="12" t="s">
        <v>1217</v>
      </c>
      <c r="K20" s="12" t="s">
        <v>1218</v>
      </c>
    </row>
    <row r="21" customFormat="false" ht="15" hidden="false" customHeight="true" outlineLevel="0" collapsed="false">
      <c r="A21" s="15" t="s">
        <v>64</v>
      </c>
      <c r="B21" s="15" t="s">
        <v>1219</v>
      </c>
      <c r="C21" s="15" t="n">
        <v>110280</v>
      </c>
      <c r="D21" s="15" t="n">
        <v>142992</v>
      </c>
      <c r="E21" s="15" t="n">
        <v>171379</v>
      </c>
      <c r="F21" s="15" t="n">
        <v>204837</v>
      </c>
      <c r="G21" s="15" t="n">
        <v>241564</v>
      </c>
      <c r="H21" s="15" t="n">
        <v>264923</v>
      </c>
      <c r="I21" s="15" t="n">
        <v>286027</v>
      </c>
      <c r="K21" s="15" t="str">
        <f aca="false">A21&amp;"|"&amp;B21</f>
        <v>Baton Rouge|Detached/Semi-Detached</v>
      </c>
    </row>
    <row r="22" customFormat="false" ht="15" hidden="false" customHeight="true" outlineLevel="0" collapsed="false">
      <c r="A22" s="15" t="s">
        <v>64</v>
      </c>
      <c r="B22" s="15" t="s">
        <v>1220</v>
      </c>
      <c r="C22" s="15" t="n">
        <v>95704</v>
      </c>
      <c r="D22" s="15" t="n">
        <v>125586</v>
      </c>
      <c r="E22" s="15" t="n">
        <v>152860</v>
      </c>
      <c r="F22" s="15" t="n">
        <v>187863</v>
      </c>
      <c r="G22" s="15" t="n">
        <v>223648</v>
      </c>
      <c r="H22" s="15" t="n">
        <v>247068</v>
      </c>
      <c r="I22" s="15" t="n">
        <v>268542</v>
      </c>
      <c r="K22" s="15" t="str">
        <f aca="false">A22&amp;"|"&amp;B22</f>
        <v>Baton Rouge|Row House</v>
      </c>
    </row>
    <row r="23" customFormat="false" ht="15" hidden="false" customHeight="true" outlineLevel="0" collapsed="false">
      <c r="A23" s="15" t="s">
        <v>64</v>
      </c>
      <c r="B23" s="15" t="s">
        <v>70</v>
      </c>
      <c r="C23" s="15" t="n">
        <v>86883</v>
      </c>
      <c r="D23" s="15" t="n">
        <v>118172</v>
      </c>
      <c r="E23" s="15" t="n">
        <v>149378</v>
      </c>
      <c r="F23" s="15" t="n">
        <v>196605</v>
      </c>
      <c r="G23" s="15" t="n">
        <v>243350</v>
      </c>
      <c r="H23" s="15" t="n">
        <v>273979</v>
      </c>
      <c r="I23" s="15" t="n">
        <v>304181</v>
      </c>
      <c r="K23" s="15" t="str">
        <f aca="false">A23&amp;"|"&amp;B23</f>
        <v>Baton Rouge|Walkup</v>
      </c>
    </row>
    <row r="24" customFormat="false" ht="15" hidden="false" customHeight="true" outlineLevel="0" collapsed="false">
      <c r="A24" s="15" t="s">
        <v>64</v>
      </c>
      <c r="B24" s="15" t="s">
        <v>1221</v>
      </c>
      <c r="C24" s="15" t="n">
        <v>97309</v>
      </c>
      <c r="D24" s="15" t="n">
        <v>136232</v>
      </c>
      <c r="E24" s="15" t="n">
        <v>175156</v>
      </c>
      <c r="F24" s="15" t="n">
        <v>233541</v>
      </c>
      <c r="G24" s="15" t="n">
        <v>291926</v>
      </c>
      <c r="H24" s="15" t="n">
        <v>330849</v>
      </c>
      <c r="I24" s="15" t="n">
        <v>369773</v>
      </c>
      <c r="K24" s="15" t="str">
        <f aca="false">A24&amp;"|"&amp;B24</f>
        <v>Baton Rouge|Elevator</v>
      </c>
    </row>
    <row r="25" customFormat="false" ht="15" hidden="false" customHeight="true" outlineLevel="0" collapsed="false">
      <c r="A25" s="15" t="s">
        <v>63</v>
      </c>
      <c r="B25" s="15" t="s">
        <v>1219</v>
      </c>
      <c r="C25" s="15" t="n">
        <v>111577</v>
      </c>
      <c r="D25" s="15" t="n">
        <v>144709</v>
      </c>
      <c r="E25" s="15" t="n">
        <v>173461</v>
      </c>
      <c r="F25" s="15" t="n">
        <v>207361</v>
      </c>
      <c r="G25" s="15" t="n">
        <v>244572</v>
      </c>
      <c r="H25" s="15" t="n">
        <v>268235</v>
      </c>
      <c r="I25" s="15" t="n">
        <v>289638</v>
      </c>
      <c r="K25" s="15" t="str">
        <f aca="false">A25&amp;"|"&amp;B25</f>
        <v>Lafayette|Detached/Semi-Detached</v>
      </c>
    </row>
    <row r="26" customFormat="false" ht="15" hidden="false" customHeight="true" outlineLevel="0" collapsed="false">
      <c r="A26" s="15" t="s">
        <v>63</v>
      </c>
      <c r="B26" s="15" t="s">
        <v>1220</v>
      </c>
      <c r="C26" s="15" t="n">
        <v>96677</v>
      </c>
      <c r="D26" s="15" t="n">
        <v>126917</v>
      </c>
      <c r="E26" s="15" t="n">
        <v>154531</v>
      </c>
      <c r="F26" s="15" t="n">
        <v>190010</v>
      </c>
      <c r="G26" s="15" t="n">
        <v>226258</v>
      </c>
      <c r="H26" s="15" t="n">
        <v>249976</v>
      </c>
      <c r="I26" s="15" t="n">
        <v>271738</v>
      </c>
      <c r="K26" s="15" t="str">
        <f aca="false">A26&amp;"|"&amp;B26</f>
        <v>Lafayette|Row House</v>
      </c>
    </row>
    <row r="27" customFormat="false" ht="15" hidden="false" customHeight="true" outlineLevel="0" collapsed="false">
      <c r="A27" s="15" t="s">
        <v>63</v>
      </c>
      <c r="B27" s="15" t="s">
        <v>70</v>
      </c>
      <c r="C27" s="15" t="n">
        <v>87591</v>
      </c>
      <c r="D27" s="15" t="n">
        <v>119085</v>
      </c>
      <c r="E27" s="15" t="n">
        <v>150495</v>
      </c>
      <c r="F27" s="15" t="n">
        <v>198037</v>
      </c>
      <c r="G27" s="15" t="n">
        <v>245088</v>
      </c>
      <c r="H27" s="15" t="n">
        <v>275908</v>
      </c>
      <c r="I27" s="15" t="n">
        <v>306291</v>
      </c>
      <c r="K27" s="15" t="str">
        <f aca="false">A27&amp;"|"&amp;B27</f>
        <v>Lafayette|Walkup</v>
      </c>
    </row>
    <row r="28" customFormat="false" ht="15" hidden="false" customHeight="true" outlineLevel="0" collapsed="false">
      <c r="A28" s="15" t="s">
        <v>63</v>
      </c>
      <c r="B28" s="15" t="s">
        <v>1221</v>
      </c>
      <c r="C28" s="15" t="n">
        <v>98449</v>
      </c>
      <c r="D28" s="15" t="n">
        <v>137828</v>
      </c>
      <c r="E28" s="15" t="n">
        <v>177208</v>
      </c>
      <c r="F28" s="15" t="n">
        <v>236277</v>
      </c>
      <c r="G28" s="15" t="n">
        <v>295347</v>
      </c>
      <c r="H28" s="15" t="n">
        <v>334726</v>
      </c>
      <c r="I28" s="15" t="n">
        <v>374106</v>
      </c>
      <c r="K28" s="15" t="str">
        <f aca="false">A28&amp;"|"&amp;B28</f>
        <v>Lafayette|Elevator</v>
      </c>
    </row>
    <row r="29" customFormat="false" ht="15" hidden="false" customHeight="true" outlineLevel="0" collapsed="false">
      <c r="A29" s="15" t="s">
        <v>62</v>
      </c>
      <c r="B29" s="15" t="s">
        <v>1219</v>
      </c>
      <c r="C29" s="15" t="n">
        <v>109735</v>
      </c>
      <c r="D29" s="15" t="n">
        <v>142340</v>
      </c>
      <c r="E29" s="15" t="n">
        <v>170634</v>
      </c>
      <c r="F29" s="15" t="n">
        <v>204002</v>
      </c>
      <c r="G29" s="15" t="n">
        <v>240626</v>
      </c>
      <c r="H29" s="15" t="n">
        <v>263915</v>
      </c>
      <c r="I29" s="15" t="n">
        <v>284992</v>
      </c>
      <c r="K29" s="15" t="str">
        <f aca="false">A29&amp;"|"&amp;B29</f>
        <v>Shreveport|Detached/Semi-Detached</v>
      </c>
    </row>
    <row r="30" customFormat="false" ht="15" hidden="false" customHeight="true" outlineLevel="0" collapsed="false">
      <c r="A30" s="15" t="s">
        <v>62</v>
      </c>
      <c r="B30" s="15" t="s">
        <v>1220</v>
      </c>
      <c r="C30" s="15" t="n">
        <v>94996</v>
      </c>
      <c r="D30" s="15" t="n">
        <v>124741</v>
      </c>
      <c r="E30" s="15" t="n">
        <v>151909</v>
      </c>
      <c r="F30" s="15" t="n">
        <v>186839</v>
      </c>
      <c r="G30" s="15" t="n">
        <v>222511</v>
      </c>
      <c r="H30" s="15" t="n">
        <v>245850</v>
      </c>
      <c r="I30" s="15" t="n">
        <v>267272</v>
      </c>
      <c r="K30" s="15" t="str">
        <f aca="false">A30&amp;"|"&amp;B30</f>
        <v>Shreveport|Row House</v>
      </c>
    </row>
    <row r="31" customFormat="false" ht="15" hidden="false" customHeight="true" outlineLevel="0" collapsed="false">
      <c r="A31" s="15" t="s">
        <v>62</v>
      </c>
      <c r="B31" s="15" t="s">
        <v>70</v>
      </c>
      <c r="C31" s="15" t="n">
        <v>85972</v>
      </c>
      <c r="D31" s="15" t="n">
        <v>116857</v>
      </c>
      <c r="E31" s="15" t="n">
        <v>147659</v>
      </c>
      <c r="F31" s="15" t="n">
        <v>194284</v>
      </c>
      <c r="G31" s="15" t="n">
        <v>240422</v>
      </c>
      <c r="H31" s="15" t="n">
        <v>270640</v>
      </c>
      <c r="I31" s="15" t="n">
        <v>300426</v>
      </c>
      <c r="K31" s="15" t="str">
        <f aca="false">A31&amp;"|"&amp;B31</f>
        <v>Shreveport|Walkup</v>
      </c>
    </row>
    <row r="32" customFormat="false" ht="15" hidden="false" customHeight="true" outlineLevel="0" collapsed="false">
      <c r="A32" s="15" t="s">
        <v>62</v>
      </c>
      <c r="B32" s="15" t="s">
        <v>1221</v>
      </c>
      <c r="C32" s="15" t="n">
        <v>96821</v>
      </c>
      <c r="D32" s="15" t="n">
        <v>135550</v>
      </c>
      <c r="E32" s="15" t="n">
        <v>174278</v>
      </c>
      <c r="F32" s="15" t="n">
        <v>232371</v>
      </c>
      <c r="G32" s="15" t="n">
        <v>290464</v>
      </c>
      <c r="H32" s="15" t="n">
        <v>329193</v>
      </c>
      <c r="I32" s="15" t="n">
        <v>367921</v>
      </c>
      <c r="K32" s="15" t="str">
        <f aca="false">A32&amp;"|"&amp;B32</f>
        <v>Shreveport|Elevator</v>
      </c>
    </row>
    <row r="35" customFormat="false" ht="15" hidden="false" customHeight="true" outlineLevel="0" collapsed="false">
      <c r="A35" s="8" t="s">
        <v>1223</v>
      </c>
    </row>
    <row r="36" customFormat="false" ht="15" hidden="false" customHeight="true" outlineLevel="0" collapsed="false">
      <c r="A36" s="3"/>
      <c r="B36" s="3" t="s">
        <v>20</v>
      </c>
      <c r="C36" s="3" t="s">
        <v>21</v>
      </c>
      <c r="D36" s="3" t="s">
        <v>22</v>
      </c>
      <c r="E36" s="3" t="s">
        <v>23</v>
      </c>
      <c r="F36" s="3"/>
    </row>
    <row r="37" customFormat="false" ht="15" hidden="false" customHeight="true" outlineLevel="0" collapsed="false">
      <c r="A37" s="15" t="s">
        <v>61</v>
      </c>
      <c r="B37" s="107" t="str">
        <f aca="false">'Dashboard Calc'!C8</f>
        <v>Shreveport</v>
      </c>
      <c r="C37" s="107" t="str">
        <f aca="false">'Dashboard Calc'!D8</f>
        <v>Shreveport</v>
      </c>
      <c r="D37" s="107" t="str">
        <f aca="false">'Dashboard Calc'!E8</f>
        <v>Lafayette</v>
      </c>
      <c r="E37" s="107" t="str">
        <f aca="false">'Dashboard Calc'!F8</f>
        <v>Baton Rouge</v>
      </c>
    </row>
    <row r="38" customFormat="false" ht="15" hidden="false" customHeight="true" outlineLevel="0" collapsed="false">
      <c r="A38" s="15" t="s">
        <v>1224</v>
      </c>
      <c r="B38" s="118" t="n">
        <v>8</v>
      </c>
      <c r="C38" s="118" t="n">
        <v>12</v>
      </c>
      <c r="D38" s="118" t="n">
        <v>0</v>
      </c>
      <c r="E38" s="118" t="n">
        <v>53</v>
      </c>
    </row>
    <row r="39" customFormat="false" ht="15" hidden="false" customHeight="true" outlineLevel="0" collapsed="false">
      <c r="A39" s="15" t="s">
        <v>1225</v>
      </c>
      <c r="B39" s="118" t="n">
        <v>32</v>
      </c>
      <c r="C39" s="118" t="n">
        <v>64</v>
      </c>
      <c r="D39" s="118" t="n">
        <v>19</v>
      </c>
      <c r="E39" s="118" t="n">
        <v>96</v>
      </c>
    </row>
    <row r="40" customFormat="false" ht="15" hidden="false" customHeight="true" outlineLevel="0" collapsed="false">
      <c r="A40" s="15" t="s">
        <v>1226</v>
      </c>
      <c r="B40" s="118" t="n">
        <v>44</v>
      </c>
      <c r="C40" s="118" t="n">
        <v>24</v>
      </c>
      <c r="D40" s="118" t="n">
        <v>50</v>
      </c>
      <c r="E40" s="118" t="n">
        <v>55</v>
      </c>
    </row>
    <row r="41" customFormat="false" ht="15" hidden="false" customHeight="true" outlineLevel="0" collapsed="false">
      <c r="A41" s="15" t="s">
        <v>1227</v>
      </c>
      <c r="B41" s="118" t="n">
        <v>0</v>
      </c>
      <c r="C41" s="118" t="n">
        <v>0</v>
      </c>
      <c r="D41" s="118" t="n">
        <v>50</v>
      </c>
      <c r="E41" s="118" t="n">
        <v>0</v>
      </c>
    </row>
    <row r="42" customFormat="false" ht="15" hidden="false" customHeight="true" outlineLevel="0" collapsed="false">
      <c r="A42" s="15" t="s">
        <v>1228</v>
      </c>
      <c r="B42" s="119" t="n">
        <f aca="false">SUM(B38:B41)</f>
        <v>84</v>
      </c>
      <c r="C42" s="119" t="n">
        <f aca="false">SUM(C38:C41)</f>
        <v>100</v>
      </c>
      <c r="D42" s="119" t="n">
        <f aca="false">SUM(D38:D41)</f>
        <v>119</v>
      </c>
      <c r="E42" s="119" t="n">
        <f aca="false">SUM(E38:E41)</f>
        <v>204</v>
      </c>
    </row>
    <row r="43" customFormat="false" ht="15" hidden="false" customHeight="true" outlineLevel="0" collapsed="false">
      <c r="A43" s="15" t="s">
        <v>1229</v>
      </c>
      <c r="B43" s="120" t="n">
        <f aca="false">INDEX(D$7:D$17,MATCH(B$37&amp;"|"&amp;'Dashboard Calc'!C$9,$K$7:$K$17,0))</f>
        <v>204499</v>
      </c>
      <c r="C43" s="120" t="n">
        <f aca="false">INDEX(D$7:D$17,MATCH(C$37&amp;"|"&amp;'Dashboard Calc'!D$9,$K$7:$K$17,0))</f>
        <v>204499</v>
      </c>
      <c r="D43" s="120" t="n">
        <f aca="false">INDEX(D$7:D$17,MATCH(D$37&amp;"|"&amp;'Dashboard Calc'!E$9,$K$7:$K$17,0))</f>
        <v>208399</v>
      </c>
      <c r="E43" s="120" t="n">
        <f aca="false">INDEX(D$7:D$17,MATCH(E$37&amp;"|"&amp;'Dashboard Calc'!F$9,$K$7:$K$17,0))</f>
        <v>206801</v>
      </c>
    </row>
    <row r="44" customFormat="false" ht="15" hidden="false" customHeight="true" outlineLevel="0" collapsed="false">
      <c r="A44" s="15" t="s">
        <v>1230</v>
      </c>
      <c r="B44" s="120" t="n">
        <f aca="false">INDEX(E$7:E$17,MATCH(B$37&amp;"|"&amp;'Dashboard Calc'!C$9,$K$7:$K$17,0))</f>
        <v>258403</v>
      </c>
      <c r="C44" s="120" t="n">
        <f aca="false">INDEX(E$7:E$17,MATCH(C$37&amp;"|"&amp;'Dashboard Calc'!D$9,$K$7:$K$17,0))</f>
        <v>258403</v>
      </c>
      <c r="D44" s="120" t="n">
        <f aca="false">INDEX(E$7:E$17,MATCH(D$37&amp;"|"&amp;'Dashboard Calc'!E$9,$K$7:$K$17,0))</f>
        <v>263367</v>
      </c>
      <c r="E44" s="120" t="n">
        <f aca="false">INDEX(E$7:E$17,MATCH(E$37&amp;"|"&amp;'Dashboard Calc'!F$9,$K$7:$K$17,0))</f>
        <v>261412</v>
      </c>
    </row>
    <row r="45" customFormat="false" ht="15" hidden="false" customHeight="true" outlineLevel="0" collapsed="false">
      <c r="A45" s="15" t="s">
        <v>1231</v>
      </c>
      <c r="B45" s="120" t="n">
        <f aca="false">INDEX(F$7:F$17,MATCH(B$37&amp;"|"&amp;'Dashboard Calc'!C$9,$K$7:$K$17,0))</f>
        <v>339996</v>
      </c>
      <c r="C45" s="120" t="n">
        <f aca="false">INDEX(F$7:F$17,MATCH(C$37&amp;"|"&amp;'Dashboard Calc'!D$9,$K$7:$K$17,0))</f>
        <v>339996</v>
      </c>
      <c r="D45" s="120" t="n">
        <f aca="false">INDEX(F$7:F$17,MATCH(D$37&amp;"|"&amp;'Dashboard Calc'!E$9,$K$7:$K$17,0))</f>
        <v>346565</v>
      </c>
      <c r="E45" s="120" t="n">
        <f aca="false">INDEX(F$7:F$17,MATCH(E$37&amp;"|"&amp;'Dashboard Calc'!F$9,$K$7:$K$17,0))</f>
        <v>344058</v>
      </c>
    </row>
    <row r="46" customFormat="false" ht="15" hidden="false" customHeight="true" outlineLevel="0" collapsed="false">
      <c r="A46" s="15" t="s">
        <v>1232</v>
      </c>
      <c r="B46" s="120" t="n">
        <f aca="false">INDEX(G$7:G$17,MATCH(B$37&amp;"|"&amp;'Dashboard Calc'!C$9,$K$7:$K$17,0))</f>
        <v>420738</v>
      </c>
      <c r="C46" s="120" t="n">
        <f aca="false">INDEX(G$7:G$17,MATCH(C$37&amp;"|"&amp;'Dashboard Calc'!D$9,$K$7:$K$17,0))</f>
        <v>420738</v>
      </c>
      <c r="D46" s="120" t="n">
        <f aca="false">INDEX(G$7:G$17,MATCH(D$37&amp;"|"&amp;'Dashboard Calc'!E$9,$K$7:$K$17,0))</f>
        <v>428903</v>
      </c>
      <c r="E46" s="120" t="n">
        <f aca="false">INDEX(G$7:G$17,MATCH(E$37&amp;"|"&amp;'Dashboard Calc'!F$9,$K$7:$K$17,0))</f>
        <v>425863</v>
      </c>
    </row>
    <row r="47" customFormat="false" ht="15" hidden="false" customHeight="true" outlineLevel="0" collapsed="false">
      <c r="A47" s="8" t="s">
        <v>1233</v>
      </c>
      <c r="B47" s="119" t="n">
        <f aca="false">SUMPRODUCT(B38:B41,B43:B46)/B42</f>
        <v>296008.476190476</v>
      </c>
      <c r="C47" s="119" t="n">
        <f aca="false">SUMPRODUCT(C38:C41,C43:C46)/C42</f>
        <v>271516.84</v>
      </c>
      <c r="D47" s="119" t="n">
        <f aca="false">SUMPRODUCT(D38:D41,D43:D46)/D42</f>
        <v>367877.084033613</v>
      </c>
      <c r="E47" s="119" t="n">
        <f aca="false">SUMPRODUCT(E38:E41,E43:E46)/E42</f>
        <v>269505.857843137</v>
      </c>
    </row>
    <row r="48" customFormat="false" ht="15" hidden="false" customHeight="true" outlineLevel="0" collapsed="false">
      <c r="A48" s="8" t="s">
        <v>1234</v>
      </c>
      <c r="B48" s="121" t="n">
        <f aca="false">SUMPRODUCT(B38:B41,B43:B46)</f>
        <v>24864712</v>
      </c>
      <c r="C48" s="121" t="n">
        <f aca="false">SUMPRODUCT(C38:C41,C43:C46)</f>
        <v>27151684</v>
      </c>
      <c r="D48" s="121" t="n">
        <f aca="false">SUMPRODUCT(D38:D41,D43:D46)</f>
        <v>43777373</v>
      </c>
      <c r="E48" s="121" t="n">
        <f aca="false">SUMPRODUCT(E38:E41,E43:E46)</f>
        <v>54979195</v>
      </c>
    </row>
    <row r="51" customFormat="false" ht="15" hidden="false" customHeight="true" outlineLevel="0" collapsed="false">
      <c r="A51" s="8" t="s">
        <v>1235</v>
      </c>
    </row>
    <row r="52" customFormat="false" ht="15" hidden="false" customHeight="true" outlineLevel="0" collapsed="false">
      <c r="A52" s="15" t="s">
        <v>1236</v>
      </c>
      <c r="B52" s="122"/>
    </row>
    <row r="53" customFormat="false" ht="15" hidden="false" customHeight="true" outlineLevel="0" collapsed="false">
      <c r="A53" s="15" t="s">
        <v>1237</v>
      </c>
      <c r="B53" s="122" t="n">
        <v>0.001</v>
      </c>
    </row>
    <row r="54" customFormat="false" ht="15" hidden="false" customHeight="true" outlineLevel="0" collapsed="false">
      <c r="A54" s="15" t="s">
        <v>1238</v>
      </c>
      <c r="B54" s="122" t="n">
        <v>60</v>
      </c>
    </row>
    <row r="55" customFormat="false" ht="15" hidden="false" customHeight="true" outlineLevel="0" collapsed="false">
      <c r="A55" s="15" t="s">
        <v>1239</v>
      </c>
      <c r="B55" s="122" t="n">
        <v>60</v>
      </c>
    </row>
    <row r="56" customFormat="false" ht="15" hidden="false" customHeight="true" outlineLevel="0" collapsed="false">
      <c r="A56" s="15" t="s">
        <v>1240</v>
      </c>
      <c r="B56" s="122" t="n">
        <v>0.005</v>
      </c>
    </row>
    <row r="57" customFormat="false" ht="15" hidden="false" customHeight="true" outlineLevel="0" collapsed="false">
      <c r="A57" s="15" t="s">
        <v>1241</v>
      </c>
      <c r="B57" s="122" t="n">
        <v>4000</v>
      </c>
    </row>
    <row r="58" customFormat="false" ht="15" hidden="false" customHeight="true" outlineLevel="0" collapsed="false">
      <c r="A58" s="15" t="s">
        <v>1242</v>
      </c>
      <c r="B58" s="122" t="n">
        <v>6000</v>
      </c>
    </row>
    <row r="59" customFormat="false" ht="15" hidden="false" customHeight="true" outlineLevel="0" collapsed="false">
      <c r="A59" s="15" t="s">
        <v>1243</v>
      </c>
      <c r="B59" s="122" t="n">
        <v>6000</v>
      </c>
    </row>
    <row r="60" customFormat="false" ht="15" hidden="false" customHeight="true" outlineLevel="0" collapsed="false">
      <c r="A60" s="15" t="s">
        <v>1244</v>
      </c>
      <c r="B60" s="122" t="n">
        <v>3000</v>
      </c>
    </row>
    <row r="61" customFormat="false" ht="15" hidden="false" customHeight="true" outlineLevel="0" collapsed="false">
      <c r="A61" s="15" t="s">
        <v>1245</v>
      </c>
      <c r="B61" s="122" t="n">
        <v>500</v>
      </c>
    </row>
    <row r="62" customFormat="false" ht="15" hidden="false" customHeight="true" outlineLevel="0" collapsed="false">
      <c r="A62" s="15" t="s">
        <v>1246</v>
      </c>
      <c r="B62" s="122" t="n">
        <v>0.1</v>
      </c>
    </row>
    <row r="64" customFormat="false" ht="15" hidden="false" customHeight="true" outlineLevel="0" collapsed="false">
      <c r="A64" s="45" t="s">
        <v>1247</v>
      </c>
      <c r="B64" s="45" t="s">
        <v>1248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2026-08-06T02:57:10Z</dcterms:created>
  <dc:creator>openpyxl</dc:creator>
  <dc:description/>
  <dc:language>en-US</dc:language>
  <cp:lastModifiedBy/>
  <dcterms:modified xsi:type="dcterms:W3CDTF">2026-08-06T04:14:24Z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