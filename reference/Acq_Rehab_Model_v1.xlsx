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f21a53f76d0cbe9/Desktop/LIHTC/LIHTC Application Files/"/>
    </mc:Choice>
  </mc:AlternateContent>
  <xr:revisionPtr revIDLastSave="4" documentId="8_{7DB1A024-3B84-41CC-9534-8ED545C68857}" xr6:coauthVersionLast="47" xr6:coauthVersionMax="47" xr10:uidLastSave="{EF0B6BB4-B04B-443A-B6FD-9E3B21125B3F}"/>
  <workbookProtection lockStructure="1"/>
  <bookViews>
    <workbookView xWindow="-120" yWindow="-120" windowWidth="29040" windowHeight="15840" tabRatio="892" firstSheet="10" activeTab="5" xr2:uid="{749FB77C-BDE1-4A3D-AFC0-3CED0A37CB87}"/>
  </bookViews>
  <sheets>
    <sheet name="Model Scorecard" sheetId="24" r:id="rId1"/>
    <sheet name="Unit Mix+Rents" sheetId="7" r:id="rId2"/>
    <sheet name="Expense Detail" sheetId="17" r:id="rId3"/>
    <sheet name="Construction Estimates" sheetId="15" r:id="rId4"/>
    <sheet name="Sources &amp; Uses" sheetId="2" r:id="rId5"/>
    <sheet name="S&amp;U Timing" sheetId="14" r:id="rId6"/>
    <sheet name="NOI Calc" sheetId="5" r:id="rId7"/>
    <sheet name="Lease-Up Period" sheetId="19" r:id="rId8"/>
    <sheet name="17-year Pro Forma" sheetId="13" r:id="rId9"/>
    <sheet name="Surplus Cash-Reserve Waterfall" sheetId="22" r:id="rId10"/>
    <sheet name="Tax Credit Calc" sheetId="9" r:id="rId11"/>
    <sheet name="Financing Assumptions" sheetId="16" r:id="rId12"/>
    <sheet name="Valuation" sheetId="26" r:id="rId13"/>
    <sheet name="Loan Amortization" sheetId="18" r:id="rId14"/>
    <sheet name="QAP_Rule_Register" sheetId="23" state="hidden" r:id="rId15"/>
    <sheet name="Dashboard Calc" sheetId="25" r:id="rId16"/>
  </sheets>
  <definedNames>
    <definedName name="AMFeeCap">QAP_Rule_Register!$H$23</definedName>
    <definedName name="anscount" hidden="1">1</definedName>
    <definedName name="ArchPct">QAP_Rule_Register!$H$16</definedName>
    <definedName name="BoostCapPct">QAP_Rule_Register!$H$10</definedName>
    <definedName name="BoostEligible">'Dashboard Calc'!$B$6</definedName>
    <definedName name="BuilderOHPct">QAP_Rule_Register!$H$18</definedName>
    <definedName name="BuilderProfitPct">QAP_Rule_Register!$H$17</definedName>
    <definedName name="BuildingType">'Dashboard Calc'!$B$10</definedName>
    <definedName name="CashFlowCeilPct">QAP_Rule_Register!$H$36</definedName>
    <definedName name="checks_paid">#N/A</definedName>
    <definedName name="ContingencyPct">QAP_Rule_Register!$H$20</definedName>
    <definedName name="CreditType">'Dashboard Calc'!$B$5</definedName>
    <definedName name="DeferredFee">'Dashboard Calc'!$B$13</definedName>
    <definedName name="DevFeeCapAbs">QAP_Rule_Register!$B$48</definedName>
    <definedName name="DevFeeCapPct">QAP_Rule_Register!$B$49</definedName>
    <definedName name="DSCR15Floor">QAP_Rule_Register!$B$54</definedName>
    <definedName name="DSCRCeil">QAP_Rule_Register!$B$53</definedName>
    <definedName name="DSCRFloor">QAP_Rule_Register!$B$52</definedName>
    <definedName name="EXP">#N/A</definedName>
    <definedName name="ExpTrendMin">QAP_Rule_Register!$H$30</definedName>
    <definedName name="GenReqPct">QAP_Rule_Register!$H$19</definedName>
    <definedName name="HUDTDCLimit">'Dashboard Calc'!$B$12</definedName>
    <definedName name="limcount" hidden="1">1</definedName>
    <definedName name="MEMORANDUM">"memo1"</definedName>
    <definedName name="MGMT">#N/A</definedName>
    <definedName name="OpexMinPU">QAP_Rule_Register!$H$21</definedName>
    <definedName name="OpReserveFrac">QAP_Rule_Register!$H$22</definedName>
    <definedName name="Pool">'Dashboard Calc'!$B$9</definedName>
    <definedName name="PoolCapMetro">QAP_Rule_Register!$B$44</definedName>
    <definedName name="PoolCapReproc">QAP_Rule_Register!$B$47</definedName>
    <definedName name="PoolCapRural">QAP_Rule_Register!$B$45</definedName>
    <definedName name="PoolCapRuralQNP">QAP_Rule_Register!$B$46</definedName>
    <definedName name="_xlnm.Print_Area" localSheetId="8">'17-year Pro Forma'!$A$1:$V$51</definedName>
    <definedName name="_xlnm.Print_Area" localSheetId="2">'Expense Detail'!$A$1:$G$65</definedName>
    <definedName name="_xlnm.Print_Area" localSheetId="11">'Financing Assumptions'!$A$1:$H$53</definedName>
    <definedName name="_xlnm.Print_Area" localSheetId="7">'Lease-Up Period'!$A$1:$P$50</definedName>
    <definedName name="_xlnm.Print_Area" localSheetId="13">'Loan Amortization'!$A$1:$G$65</definedName>
    <definedName name="_xlnm.Print_Area" localSheetId="0">'Model Scorecard'!$A$1:$F$36</definedName>
    <definedName name="_xlnm.Print_Area" localSheetId="6">'NOI Calc'!$A$1:$K$39</definedName>
    <definedName name="_xlnm.Print_Area" localSheetId="5">'S&amp;U Timing'!$A$1:$E$48</definedName>
    <definedName name="_xlnm.Print_Area" localSheetId="4">'Sources &amp; Uses'!$A$1:$I$78</definedName>
    <definedName name="_xlnm.Print_Area" localSheetId="10">'Tax Credit Calc'!$A$1:$I$57</definedName>
    <definedName name="_xlnm.Print_Titles" localSheetId="8">'17-year Pro Forma'!$1:$2</definedName>
    <definedName name="_xlnm.Print_Titles" localSheetId="2">'Expense Detail'!$1:$2</definedName>
    <definedName name="_xlnm.Print_Titles" localSheetId="11">'Financing Assumptions'!$11:$36</definedName>
    <definedName name="_xlnm.Print_Titles" localSheetId="7">'Lease-Up Period'!$1:$2</definedName>
    <definedName name="_xlnm.Print_Titles" localSheetId="13">'Loan Amortization'!$6:$7</definedName>
    <definedName name="_xlnm.Print_Titles" localSheetId="6">'NOI Calc'!$1:$2</definedName>
    <definedName name="_xlnm.Print_Titles" localSheetId="5">'S&amp;U Timing'!$A:$C,'S&amp;U Timing'!$1:$2</definedName>
    <definedName name="_xlnm.Print_Titles" localSheetId="4">'Sources &amp; Uses'!$1:$2</definedName>
    <definedName name="_xlnm.Print_Titles" localSheetId="10">'Tax Credit Calc'!$1:$2</definedName>
    <definedName name="ProjectName">'Dashboard Calc'!$B$3</definedName>
    <definedName name="ProjectType">'Dashboard Calc'!$B$4</definedName>
    <definedName name="RDHUD">'Dashboard Calc'!$B$7</definedName>
    <definedName name="RENT">#N/A</definedName>
    <definedName name="RentTrendMax">QAP_Rule_Register!$H$28</definedName>
    <definedName name="ReserveFloorFamily">QAP_Rule_Register!$B$42</definedName>
    <definedName name="ReserveFloorRehab">QAP_Rule_Register!$B$43</definedName>
    <definedName name="ReserveFloorSenior">QAP_Rule_Register!$B$41</definedName>
    <definedName name="sencount" hidden="1">2</definedName>
    <definedName name="SUBalanceTol">QAP_Rule_Register!$H$32</definedName>
    <definedName name="SyndCapPriv">QAP_Rule_Register!$B$50</definedName>
    <definedName name="SyndCapPub">QAP_Rule_Register!$B$51</definedName>
    <definedName name="Syndication">'Dashboard Calc'!$B$8</definedName>
    <definedName name="VAC">#N/A</definedName>
    <definedName name="VacancyMin">QAP_Rule_Register!$H$26</definedName>
    <definedName name="wrn.All._.Numbers." localSheetId="11" hidden="1">{"Inputs",#N/A,FALSE,"Inputs";"Sources and Uses",#N/A,FALSE,"S&amp;U";"Summary",#N/A,FALSE,"Summary";"VRDB Current Market",#N/A,FALSE,"VRDB-Cur";"VRDB 5 Year Average",#N/A,FALSE,"VRDB-His";"Fixed Rate Bonds",#N/A,FALSE,"Fixed";"Bank Taxable",#N/A,FALSE,"Bank-Taxable";"Bank Loan Tax Exempt",#N/A,FALSE,"Bank-TE";"Break Even",#N/A,FALSE,"Sensitivity";"Sensitivity",#N/A,FALSE,"Sensitivity"}</definedName>
    <definedName name="wrn.All._.Numbers." localSheetId="13" hidden="1">{"Inputs",#N/A,FALSE,"Inputs";"Sources and Uses",#N/A,FALSE,"S&amp;U";"Summary",#N/A,FALSE,"Summary";"VRDB Current Market",#N/A,FALSE,"VRDB-Cur";"VRDB 5 Year Average",#N/A,FALSE,"VRDB-His";"Fixed Rate Bonds",#N/A,FALSE,"Fixed";"Bank Taxable",#N/A,FALSE,"Bank-Taxable";"Bank Loan Tax Exempt",#N/A,FALSE,"Bank-TE";"Break Even",#N/A,FALSE,"Sensitivity";"Sensitivity",#N/A,FALSE,"Sensitivity"}</definedName>
    <definedName name="wrn.All._.Numbers." hidden="1">{"Inputs",#N/A,FALSE,"Inputs";"Sources and Uses",#N/A,FALSE,"S&amp;U";"Summary",#N/A,FALSE,"Summary";"VRDB Current Market",#N/A,FALSE,"VRDB-Cur";"VRDB 5 Year Average",#N/A,FALSE,"VRDB-His";"Fixed Rate Bonds",#N/A,FALSE,"Fixed";"Bank Taxable",#N/A,FALSE,"Bank-Taxable";"Bank Loan Tax Exempt",#N/A,FALSE,"Bank-TE";"Break Even",#N/A,FALSE,"Sensitivity";"Sensitivity",#N/A,FALSE,"Sensitivity"}</definedName>
    <definedName name="wrn.Bank._.Loan._.Tax._.Exempt." localSheetId="11" hidden="1">{"Bank Loan Tax Exempt",#N/A,FALSE,"Bank-TE"}</definedName>
    <definedName name="wrn.Bank._.Loan._.Tax._.Exempt." localSheetId="13" hidden="1">{"Bank Loan Tax Exempt",#N/A,FALSE,"Bank-TE"}</definedName>
    <definedName name="wrn.Bank._.Loan._.Tax._.Exempt." hidden="1">{"Bank Loan Tax Exempt",#N/A,FALSE,"Bank-TE"}</definedName>
    <definedName name="wrn.Bank._.Loan._.Taxable." localSheetId="11" hidden="1">{"Bank Taxable",#N/A,FALSE,"Bank-Taxable"}</definedName>
    <definedName name="wrn.Bank._.Loan._.Taxable." localSheetId="13" hidden="1">{"Bank Taxable",#N/A,FALSE,"Bank-Taxable"}</definedName>
    <definedName name="wrn.Bank._.Loan._.Taxable." hidden="1">{"Bank Taxable",#N/A,FALSE,"Bank-Taxable"}</definedName>
    <definedName name="wrn.Break._.Even._.Analysis." localSheetId="11" hidden="1">{"Break Even",#N/A,FALSE,"Sensitivity"}</definedName>
    <definedName name="wrn.Break._.Even._.Analysis." localSheetId="13" hidden="1">{"Break Even",#N/A,FALSE,"Sensitivity"}</definedName>
    <definedName name="wrn.Break._.Even._.Analysis." hidden="1">{"Break Even",#N/A,FALSE,"Sensitivity"}</definedName>
    <definedName name="wrn.Fixed._.Rate._.Bonds." localSheetId="11" hidden="1">{"Fixed Rate Bonds",#N/A,FALSE,"Fixed"}</definedName>
    <definedName name="wrn.Fixed._.Rate._.Bonds." localSheetId="13" hidden="1">{"Fixed Rate Bonds",#N/A,FALSE,"Fixed"}</definedName>
    <definedName name="wrn.Fixed._.Rate._.Bonds." hidden="1">{"Fixed Rate Bonds",#N/A,FALSE,"Fixed"}</definedName>
    <definedName name="wrn.Inputs." localSheetId="11" hidden="1">{"Inputs",#N/A,FALSE,"Inputs"}</definedName>
    <definedName name="wrn.Inputs." localSheetId="13" hidden="1">{"Inputs",#N/A,FALSE,"Inputs"}</definedName>
    <definedName name="wrn.Inputs." hidden="1">{"Inputs",#N/A,FALSE,"Inputs"}</definedName>
    <definedName name="wrn.interim." localSheetId="11" hidden="1">{"interim1",#N/A,FALSE,"Summary2";"interim2",#N/A,FALSE,"Summary2"}</definedName>
    <definedName name="wrn.interim." localSheetId="13" hidden="1">{"interim1",#N/A,FALSE,"Summary2";"interim2",#N/A,FALSE,"Summary2"}</definedName>
    <definedName name="wrn.interim." hidden="1">{"interim1",#N/A,FALSE,"Summary2";"interim2",#N/A,FALSE,"Summary2"}</definedName>
    <definedName name="wrn.proform." localSheetId="11" hidden="1">{"proform1",#N/A,FALSE,"Summary2";"proform2",#N/A,FALSE,"Summary2"}</definedName>
    <definedName name="wrn.proform." localSheetId="13" hidden="1">{"proform1",#N/A,FALSE,"Summary2";"proform2",#N/A,FALSE,"Summary2"}</definedName>
    <definedName name="wrn.proform." hidden="1">{"proform1",#N/A,FALSE,"Summary2";"proform2",#N/A,FALSE,"Summary2"}</definedName>
    <definedName name="wrn.Sensitivity._.Analysis." localSheetId="11" hidden="1">{"Sensitivity",#N/A,FALSE,"Sensitivity"}</definedName>
    <definedName name="wrn.Sensitivity._.Analysis." localSheetId="13" hidden="1">{"Sensitivity",#N/A,FALSE,"Sensitivity"}</definedName>
    <definedName name="wrn.Sensitivity._.Analysis." hidden="1">{"Sensitivity",#N/A,FALSE,"Sensitivity"}</definedName>
    <definedName name="wrn.Sources._.and._.Uses." localSheetId="11" hidden="1">{"Sources and Uses",#N/A,FALSE,"S&amp;U"}</definedName>
    <definedName name="wrn.Sources._.and._.Uses." localSheetId="13" hidden="1">{"Sources and Uses",#N/A,FALSE,"S&amp;U"}</definedName>
    <definedName name="wrn.Sources._.and._.Uses." hidden="1">{"Sources and Uses",#N/A,FALSE,"S&amp;U"}</definedName>
    <definedName name="wrn.Standard._.Numbers." localSheetId="11" hidden="1">{"Sources and Uses",#N/A,FALSE,"S&amp;U";"Summary",#N/A,FALSE,"Summary";"Fixed Rate Bonds",#N/A,FALSE,"Fixed";"VRDB Current Market",#N/A,FALSE,"VRDB-Cur";"VRDB 5 Year Average",#N/A,FALSE,"VRDB-His";"Bank Taxable",#N/A,FALSE,"Bank-Taxable"}</definedName>
    <definedName name="wrn.Standard._.Numbers." localSheetId="13" hidden="1">{"Sources and Uses",#N/A,FALSE,"S&amp;U";"Summary",#N/A,FALSE,"Summary";"Fixed Rate Bonds",#N/A,FALSE,"Fixed";"VRDB Current Market",#N/A,FALSE,"VRDB-Cur";"VRDB 5 Year Average",#N/A,FALSE,"VRDB-His";"Bank Taxable",#N/A,FALSE,"Bank-Taxable"}</definedName>
    <definedName name="wrn.Standard._.Numbers." hidden="1">{"Sources and Uses",#N/A,FALSE,"S&amp;U";"Summary",#N/A,FALSE,"Summary";"Fixed Rate Bonds",#N/A,FALSE,"Fixed";"VRDB Current Market",#N/A,FALSE,"VRDB-Cur";"VRDB 5 Year Average",#N/A,FALSE,"VRDB-His";"Bank Taxable",#N/A,FALSE,"Bank-Taxable"}</definedName>
    <definedName name="wrn.Summary._.Page." localSheetId="11" hidden="1">{"Summary",#N/A,FALSE,"Summary"}</definedName>
    <definedName name="wrn.Summary._.Page." localSheetId="13" hidden="1">{"Summary",#N/A,FALSE,"Summary"}</definedName>
    <definedName name="wrn.Summary._.Page." hidden="1">{"Summary",#N/A,FALSE,"Summary"}</definedName>
    <definedName name="wrn.unit_mix." localSheetId="11" hidden="1">{"mix1",#N/A,FALSE,"Unit Mix";"mix2",#N/A,FALSE,"Unit Mix";"mix3",#N/A,FALSE,"Unit Mix"}</definedName>
    <definedName name="wrn.unit_mix." localSheetId="13" hidden="1">{"mix1",#N/A,FALSE,"Unit Mix";"mix2",#N/A,FALSE,"Unit Mix";"mix3",#N/A,FALSE,"Unit Mix"}</definedName>
    <definedName name="wrn.unit_mix." hidden="1">{"mix1",#N/A,FALSE,"Unit Mix";"mix2",#N/A,FALSE,"Unit Mix";"mix3",#N/A,FALSE,"Unit Mix"}</definedName>
    <definedName name="wrn.VRDB._.5._.Year._.Average." localSheetId="11" hidden="1">{"VRDB 5 Year Average",#N/A,FALSE,"VRDB-His"}</definedName>
    <definedName name="wrn.VRDB._.5._.Year._.Average." localSheetId="13" hidden="1">{"VRDB 5 Year Average",#N/A,FALSE,"VRDB-His"}</definedName>
    <definedName name="wrn.VRDB._.5._.Year._.Average." hidden="1">{"VRDB 5 Year Average",#N/A,FALSE,"VRDB-His"}</definedName>
    <definedName name="wrn.VRDB._.Current._.Market." localSheetId="11" hidden="1">{"VRDB Current Market",#N/A,FALSE,"VRDB-Cur"}</definedName>
    <definedName name="wrn.VRDB._.Current._.Market." localSheetId="13" hidden="1">{"VRDB Current Market",#N/A,FALSE,"VRDB-Cur"}</definedName>
    <definedName name="wrn.VRDB._.Current._.Market." hidden="1">{"VRDB Current Market",#N/A,FALSE,"VRDB-Cur"}</definedName>
  </definedNames>
  <calcPr calcId="191029" iterate="1" iterateCount="100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9" l="1"/>
  <c r="K4" i="7"/>
  <c r="K5" i="7"/>
  <c r="K6" i="7"/>
  <c r="K7" i="7"/>
  <c r="K9" i="7"/>
  <c r="K10" i="7"/>
  <c r="K11" i="7"/>
  <c r="K12" i="7"/>
  <c r="M59" i="25"/>
  <c r="R59" i="25"/>
  <c r="M60" i="25"/>
  <c r="R60" i="25"/>
  <c r="M61" i="25"/>
  <c r="R61" i="25"/>
  <c r="M62" i="25"/>
  <c r="R62" i="25"/>
  <c r="U3" i="25"/>
  <c r="D4" i="25"/>
  <c r="N4" i="25"/>
  <c r="B32" i="24" s="1"/>
  <c r="P4" i="25"/>
  <c r="E32" i="24" s="1"/>
  <c r="U4" i="25"/>
  <c r="D5" i="25"/>
  <c r="D6" i="25" s="1"/>
  <c r="N5" i="25"/>
  <c r="B33" i="24" s="1"/>
  <c r="O5" i="25"/>
  <c r="D33" i="24" s="1"/>
  <c r="P5" i="25"/>
  <c r="T5" i="25" s="1"/>
  <c r="V5" i="25" s="1"/>
  <c r="U5" i="25"/>
  <c r="N6" i="25"/>
  <c r="B34" i="24" s="1"/>
  <c r="P6" i="25"/>
  <c r="T6" i="25" s="1"/>
  <c r="V6" i="25" s="1"/>
  <c r="U6" i="25"/>
  <c r="N7" i="25"/>
  <c r="B35" i="24" s="1"/>
  <c r="O7" i="25"/>
  <c r="D35" i="24" s="1"/>
  <c r="P7" i="25"/>
  <c r="E35" i="24" s="1"/>
  <c r="U7" i="25"/>
  <c r="U8" i="25"/>
  <c r="U9" i="25"/>
  <c r="U10" i="25"/>
  <c r="O11" i="25"/>
  <c r="D14" i="24" s="1"/>
  <c r="P11" i="25"/>
  <c r="F14" i="24" s="1"/>
  <c r="U11" i="25"/>
  <c r="N12" i="25"/>
  <c r="B15" i="24" s="1"/>
  <c r="U12" i="25"/>
  <c r="U13" i="25"/>
  <c r="U14" i="25"/>
  <c r="U15" i="25"/>
  <c r="U16" i="25"/>
  <c r="U17" i="25"/>
  <c r="U18" i="25"/>
  <c r="O19" i="25"/>
  <c r="O20" i="25" s="1"/>
  <c r="D23" i="24" s="1"/>
  <c r="U19" i="25"/>
  <c r="U20" i="25"/>
  <c r="N21" i="25"/>
  <c r="B25" i="24" s="1"/>
  <c r="O21" i="25"/>
  <c r="D25" i="24" s="1"/>
  <c r="P21" i="25"/>
  <c r="E25" i="24" s="1"/>
  <c r="U21" i="25"/>
  <c r="N22" i="25"/>
  <c r="B26" i="24" s="1"/>
  <c r="O22" i="25"/>
  <c r="D26" i="24" s="1"/>
  <c r="P22" i="25"/>
  <c r="F26" i="24" s="1"/>
  <c r="U22" i="25"/>
  <c r="O23" i="25"/>
  <c r="D27" i="24" s="1"/>
  <c r="U23" i="25"/>
  <c r="O24" i="25"/>
  <c r="D28" i="24" s="1"/>
  <c r="U24" i="25"/>
  <c r="O25" i="25"/>
  <c r="D29" i="24" s="1"/>
  <c r="U25" i="25"/>
  <c r="U26" i="25"/>
  <c r="O27" i="25"/>
  <c r="U27" i="25"/>
  <c r="N28" i="25"/>
  <c r="U28" i="25"/>
  <c r="U29" i="25"/>
  <c r="U30" i="25"/>
  <c r="T31" i="25"/>
  <c r="V31" i="25" s="1"/>
  <c r="U31" i="25"/>
  <c r="T32" i="25"/>
  <c r="V32" i="25" s="1"/>
  <c r="U32" i="25"/>
  <c r="T33" i="25"/>
  <c r="V33" i="25" s="1"/>
  <c r="U33" i="25"/>
  <c r="T34" i="25"/>
  <c r="V34" i="25" s="1"/>
  <c r="U34" i="25"/>
  <c r="M58" i="25"/>
  <c r="R58" i="25"/>
  <c r="C6" i="18"/>
  <c r="C8" i="18"/>
  <c r="D8" i="18" s="1"/>
  <c r="E8" i="18" s="1"/>
  <c r="F8" i="18" s="1"/>
  <c r="G8" i="18" s="1"/>
  <c r="H8" i="18" s="1"/>
  <c r="I8" i="18" s="1"/>
  <c r="J8" i="18" s="1"/>
  <c r="K8" i="18" s="1"/>
  <c r="L8" i="18" s="1"/>
  <c r="M8" i="18" s="1"/>
  <c r="N8" i="18" s="1"/>
  <c r="O8" i="18" s="1"/>
  <c r="P8" i="18" s="1"/>
  <c r="Q8" i="18" s="1"/>
  <c r="R8" i="18" s="1"/>
  <c r="S8" i="18" s="1"/>
  <c r="T8" i="18" s="1"/>
  <c r="U8" i="18" s="1"/>
  <c r="V8" i="18" s="1"/>
  <c r="W8" i="18" s="1"/>
  <c r="X8" i="18" s="1"/>
  <c r="Y8" i="18" s="1"/>
  <c r="Z8" i="18" s="1"/>
  <c r="AA10" i="18"/>
  <c r="C17" i="18"/>
  <c r="D19" i="18"/>
  <c r="E19" i="18" s="1"/>
  <c r="F19" i="18" s="1"/>
  <c r="G19" i="18" s="1"/>
  <c r="H19" i="18" s="1"/>
  <c r="I19" i="18" s="1"/>
  <c r="J19" i="18" s="1"/>
  <c r="K19" i="18" s="1"/>
  <c r="L19" i="18" s="1"/>
  <c r="M19" i="18" s="1"/>
  <c r="N19" i="18" s="1"/>
  <c r="O19" i="18" s="1"/>
  <c r="P19" i="18" s="1"/>
  <c r="Q19" i="18" s="1"/>
  <c r="R19" i="18" s="1"/>
  <c r="S19" i="18" s="1"/>
  <c r="T19" i="18" s="1"/>
  <c r="U19" i="18" s="1"/>
  <c r="V19" i="18" s="1"/>
  <c r="W19" i="18" s="1"/>
  <c r="X19" i="18" s="1"/>
  <c r="Y19" i="18" s="1"/>
  <c r="Z19" i="18" s="1"/>
  <c r="C21" i="18"/>
  <c r="D21" i="18"/>
  <c r="E21" i="18"/>
  <c r="F21" i="18"/>
  <c r="G21" i="18"/>
  <c r="H21" i="18"/>
  <c r="AA21" i="18"/>
  <c r="C22" i="18"/>
  <c r="D22" i="18"/>
  <c r="E22" i="18"/>
  <c r="F22" i="18"/>
  <c r="G22" i="18"/>
  <c r="H22" i="18"/>
  <c r="T22" i="18"/>
  <c r="U22" i="18"/>
  <c r="W22" i="18"/>
  <c r="X22" i="18"/>
  <c r="Y22" i="18"/>
  <c r="C30" i="18"/>
  <c r="D32" i="18"/>
  <c r="E32" i="18" s="1"/>
  <c r="F32" i="18" s="1"/>
  <c r="G32" i="18" s="1"/>
  <c r="H32" i="18" s="1"/>
  <c r="I32" i="18" s="1"/>
  <c r="J32" i="18" s="1"/>
  <c r="K32" i="18" s="1"/>
  <c r="L32" i="18" s="1"/>
  <c r="M32" i="18" s="1"/>
  <c r="N32" i="18" s="1"/>
  <c r="O32" i="18" s="1"/>
  <c r="P32" i="18" s="1"/>
  <c r="Q32" i="18" s="1"/>
  <c r="R32" i="18" s="1"/>
  <c r="S32" i="18" s="1"/>
  <c r="D39" i="18"/>
  <c r="E39" i="18" s="1"/>
  <c r="F39" i="18" s="1"/>
  <c r="G39" i="18" s="1"/>
  <c r="H39" i="18" s="1"/>
  <c r="I39" i="18" s="1"/>
  <c r="J39" i="18" s="1"/>
  <c r="K39" i="18" s="1"/>
  <c r="L39" i="18" s="1"/>
  <c r="M39" i="18" s="1"/>
  <c r="N39" i="18" s="1"/>
  <c r="O39" i="18" s="1"/>
  <c r="P39" i="18" s="1"/>
  <c r="Q39" i="18" s="1"/>
  <c r="R39" i="18" s="1"/>
  <c r="S39" i="18" s="1"/>
  <c r="T36" i="13" s="1"/>
  <c r="D47" i="18"/>
  <c r="E47" i="18" s="1"/>
  <c r="F47" i="18" s="1"/>
  <c r="G47" i="18" s="1"/>
  <c r="H47" i="18" s="1"/>
  <c r="I47" i="18" s="1"/>
  <c r="J47" i="18" s="1"/>
  <c r="K47" i="18" s="1"/>
  <c r="L47" i="18" s="1"/>
  <c r="M47" i="18" s="1"/>
  <c r="N47" i="18" s="1"/>
  <c r="O47" i="18" s="1"/>
  <c r="P47" i="18" s="1"/>
  <c r="Q47" i="18" s="1"/>
  <c r="R47" i="18" s="1"/>
  <c r="S47" i="18" s="1"/>
  <c r="D19" i="16"/>
  <c r="C27" i="16"/>
  <c r="F11" i="9"/>
  <c r="B3" i="22"/>
  <c r="C3" i="22"/>
  <c r="D3" i="22"/>
  <c r="E3" i="22"/>
  <c r="F3" i="22"/>
  <c r="G3" i="22"/>
  <c r="H3" i="22"/>
  <c r="I3" i="22"/>
  <c r="J3" i="22"/>
  <c r="K3" i="22"/>
  <c r="L3" i="22"/>
  <c r="M3" i="22"/>
  <c r="N3" i="22"/>
  <c r="O3" i="22"/>
  <c r="P3" i="22"/>
  <c r="Q3" i="22"/>
  <c r="R3" i="22"/>
  <c r="B16" i="22"/>
  <c r="C16" i="22"/>
  <c r="D16" i="22"/>
  <c r="E16" i="22"/>
  <c r="F16" i="22"/>
  <c r="G16" i="22"/>
  <c r="H16" i="22"/>
  <c r="I16" i="22"/>
  <c r="J16" i="22"/>
  <c r="K16" i="22"/>
  <c r="L16" i="22"/>
  <c r="M16" i="22"/>
  <c r="N16" i="22"/>
  <c r="O16" i="22"/>
  <c r="P16" i="22"/>
  <c r="Q16" i="22"/>
  <c r="R16" i="22"/>
  <c r="B22" i="22"/>
  <c r="C22" i="22"/>
  <c r="D22" i="22"/>
  <c r="E22" i="22"/>
  <c r="F22" i="22"/>
  <c r="G22" i="22"/>
  <c r="H22" i="22"/>
  <c r="I22" i="22"/>
  <c r="J22" i="22"/>
  <c r="K22" i="22"/>
  <c r="L22" i="22"/>
  <c r="M22" i="22"/>
  <c r="N22" i="22"/>
  <c r="O22" i="22"/>
  <c r="P22" i="22"/>
  <c r="Q22" i="22"/>
  <c r="R22" i="22"/>
  <c r="B23" i="22"/>
  <c r="B28" i="22"/>
  <c r="C28" i="22"/>
  <c r="D28" i="22"/>
  <c r="E28" i="22"/>
  <c r="F28" i="22"/>
  <c r="G28" i="22"/>
  <c r="H28" i="22"/>
  <c r="I28" i="22"/>
  <c r="J28" i="22"/>
  <c r="K28" i="22"/>
  <c r="L28" i="22"/>
  <c r="M28" i="22"/>
  <c r="N28" i="22"/>
  <c r="O28" i="22"/>
  <c r="P28" i="22"/>
  <c r="Q28" i="22"/>
  <c r="R28" i="22"/>
  <c r="B36" i="22"/>
  <c r="C36" i="22"/>
  <c r="D36" i="22"/>
  <c r="E36" i="22"/>
  <c r="F36" i="22"/>
  <c r="G36" i="22"/>
  <c r="H36" i="22"/>
  <c r="I36" i="22"/>
  <c r="J36" i="22"/>
  <c r="K36" i="22"/>
  <c r="L36" i="22"/>
  <c r="M36" i="22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B7" i="26"/>
  <c r="C7" i="26"/>
  <c r="D7" i="26"/>
  <c r="E7" i="26"/>
  <c r="F7" i="26"/>
  <c r="G7" i="26"/>
  <c r="H7" i="26"/>
  <c r="I7" i="26"/>
  <c r="J7" i="26"/>
  <c r="K7" i="26"/>
  <c r="L7" i="26"/>
  <c r="M7" i="26"/>
  <c r="N7" i="26"/>
  <c r="O7" i="26"/>
  <c r="P7" i="26"/>
  <c r="Q7" i="26"/>
  <c r="R7" i="26"/>
  <c r="H36" i="13"/>
  <c r="D22" i="19"/>
  <c r="E22" i="19"/>
  <c r="F22" i="19"/>
  <c r="G22" i="19"/>
  <c r="H22" i="19"/>
  <c r="I22" i="19"/>
  <c r="J22" i="19"/>
  <c r="K22" i="19"/>
  <c r="L22" i="19"/>
  <c r="M22" i="19"/>
  <c r="N22" i="19"/>
  <c r="O22" i="19"/>
  <c r="P31" i="19"/>
  <c r="D31" i="13" s="1"/>
  <c r="D37" i="19"/>
  <c r="E37" i="19"/>
  <c r="F37" i="19"/>
  <c r="G37" i="19"/>
  <c r="H37" i="19"/>
  <c r="I37" i="19"/>
  <c r="J37" i="19"/>
  <c r="K37" i="19"/>
  <c r="L37" i="19"/>
  <c r="M37" i="19"/>
  <c r="N37" i="19"/>
  <c r="O37" i="19"/>
  <c r="E53" i="19"/>
  <c r="F53" i="19" s="1"/>
  <c r="J24" i="5"/>
  <c r="N22" i="13" s="1"/>
  <c r="H5" i="14"/>
  <c r="I5" i="14" s="1"/>
  <c r="J5" i="14" s="1"/>
  <c r="K5" i="14" s="1"/>
  <c r="L5" i="14" s="1"/>
  <c r="M5" i="14" s="1"/>
  <c r="N5" i="14" s="1"/>
  <c r="O5" i="14" s="1"/>
  <c r="P5" i="14" s="1"/>
  <c r="Q5" i="14" s="1"/>
  <c r="R5" i="14" s="1"/>
  <c r="S5" i="14" s="1"/>
  <c r="T5" i="14" s="1"/>
  <c r="U5" i="14" s="1"/>
  <c r="V5" i="14" s="1"/>
  <c r="W5" i="14" s="1"/>
  <c r="X5" i="14" s="1"/>
  <c r="Y5" i="14" s="1"/>
  <c r="Z5" i="14" s="1"/>
  <c r="AA5" i="14" s="1"/>
  <c r="AB5" i="14" s="1"/>
  <c r="AC5" i="14" s="1"/>
  <c r="AD5" i="14" s="1"/>
  <c r="AE5" i="14" s="1"/>
  <c r="H6" i="14"/>
  <c r="I6" i="14" s="1"/>
  <c r="J6" i="14" s="1"/>
  <c r="K6" i="14" s="1"/>
  <c r="L6" i="14" s="1"/>
  <c r="M6" i="14" s="1"/>
  <c r="N6" i="14" s="1"/>
  <c r="O6" i="14" s="1"/>
  <c r="P6" i="14" s="1"/>
  <c r="Q6" i="14" s="1"/>
  <c r="R6" i="14" s="1"/>
  <c r="S6" i="14" s="1"/>
  <c r="T6" i="14" s="1"/>
  <c r="U6" i="14" s="1"/>
  <c r="V6" i="14" s="1"/>
  <c r="W6" i="14" s="1"/>
  <c r="X6" i="14" s="1"/>
  <c r="Y6" i="14" s="1"/>
  <c r="Z6" i="14" s="1"/>
  <c r="AA6" i="14" s="1"/>
  <c r="AB6" i="14" s="1"/>
  <c r="AC6" i="14" s="1"/>
  <c r="AD6" i="14" s="1"/>
  <c r="M12" i="14"/>
  <c r="I22" i="18" s="1"/>
  <c r="N12" i="14"/>
  <c r="J22" i="18" s="1"/>
  <c r="O12" i="14"/>
  <c r="K22" i="18" s="1"/>
  <c r="P12" i="14"/>
  <c r="L22" i="18" s="1"/>
  <c r="Q12" i="14"/>
  <c r="M22" i="18" s="1"/>
  <c r="R12" i="14"/>
  <c r="N22" i="18" s="1"/>
  <c r="S12" i="14"/>
  <c r="O22" i="18" s="1"/>
  <c r="T12" i="14"/>
  <c r="P22" i="18" s="1"/>
  <c r="U12" i="14"/>
  <c r="Q22" i="18" s="1"/>
  <c r="V12" i="14"/>
  <c r="R22" i="18" s="1"/>
  <c r="W12" i="14"/>
  <c r="S22" i="18" s="1"/>
  <c r="AD12" i="14"/>
  <c r="Z22" i="18" s="1"/>
  <c r="D18" i="14"/>
  <c r="M18" i="14" s="1"/>
  <c r="D19" i="14"/>
  <c r="M19" i="14" s="1"/>
  <c r="G21" i="14"/>
  <c r="H21" i="14"/>
  <c r="I21" i="14"/>
  <c r="J21" i="14"/>
  <c r="K21" i="14"/>
  <c r="L21" i="14"/>
  <c r="AE21" i="14"/>
  <c r="E23" i="14"/>
  <c r="E25" i="14"/>
  <c r="G26" i="14"/>
  <c r="H26" i="14"/>
  <c r="I26" i="14"/>
  <c r="J26" i="14"/>
  <c r="K26" i="14"/>
  <c r="L26" i="14"/>
  <c r="AE26" i="14"/>
  <c r="D32" i="14"/>
  <c r="G32" i="14" s="1"/>
  <c r="AE37" i="14"/>
  <c r="I19" i="2"/>
  <c r="H97" i="2"/>
  <c r="H98" i="2"/>
  <c r="A1" i="24"/>
  <c r="A4" i="24"/>
  <c r="D4" i="24"/>
  <c r="A5" i="24"/>
  <c r="D5" i="24"/>
  <c r="A7" i="24"/>
  <c r="A8" i="24"/>
  <c r="A10" i="24"/>
  <c r="A11" i="24"/>
  <c r="A12" i="24"/>
  <c r="A14" i="24"/>
  <c r="A15" i="24"/>
  <c r="A16" i="24"/>
  <c r="A17" i="24"/>
  <c r="A18" i="24"/>
  <c r="A19" i="24"/>
  <c r="A21" i="24"/>
  <c r="A22" i="24"/>
  <c r="A23" i="24"/>
  <c r="A25" i="24"/>
  <c r="A26" i="24"/>
  <c r="A27" i="24"/>
  <c r="A28" i="24"/>
  <c r="A29" i="24"/>
  <c r="A31" i="24"/>
  <c r="D31" i="24"/>
  <c r="A32" i="24"/>
  <c r="D32" i="24"/>
  <c r="A33" i="24"/>
  <c r="A34" i="24"/>
  <c r="D34" i="24"/>
  <c r="A35" i="24"/>
  <c r="A36" i="24"/>
  <c r="G5" i="15"/>
  <c r="I35" i="2" s="1"/>
  <c r="F61" i="17"/>
  <c r="E36" i="17"/>
  <c r="E31" i="17"/>
  <c r="E26" i="17"/>
  <c r="F33" i="7"/>
  <c r="E33" i="7"/>
  <c r="D33" i="7"/>
  <c r="C33" i="7"/>
  <c r="B33" i="7"/>
  <c r="B30" i="15"/>
  <c r="B31" i="15" s="1"/>
  <c r="B32" i="15" s="1"/>
  <c r="B33" i="15" s="1"/>
  <c r="B34" i="15" s="1"/>
  <c r="B35" i="15" s="1"/>
  <c r="B36" i="15" s="1"/>
  <c r="B37" i="15" s="1"/>
  <c r="B38" i="15" s="1"/>
  <c r="B39" i="15" s="1"/>
  <c r="B40" i="15" s="1"/>
  <c r="B41" i="15" s="1"/>
  <c r="B42" i="15" s="1"/>
  <c r="B43" i="15" s="1"/>
  <c r="B44" i="15" s="1"/>
  <c r="B45" i="15" s="1"/>
  <c r="B46" i="15" s="1"/>
  <c r="B47" i="15" s="1"/>
  <c r="C29" i="15"/>
  <c r="G11" i="15"/>
  <c r="N19" i="14" l="1"/>
  <c r="E34" i="24"/>
  <c r="P36" i="13"/>
  <c r="C23" i="18"/>
  <c r="G42" i="14" s="1"/>
  <c r="L36" i="13"/>
  <c r="S6" i="25"/>
  <c r="F32" i="24"/>
  <c r="E33" i="24"/>
  <c r="E26" i="24"/>
  <c r="F25" i="24"/>
  <c r="F33" i="24"/>
  <c r="S59" i="25"/>
  <c r="P37" i="19"/>
  <c r="D36" i="13" s="1"/>
  <c r="S36" i="13"/>
  <c r="O36" i="13"/>
  <c r="K36" i="13"/>
  <c r="G36" i="13"/>
  <c r="R36" i="13"/>
  <c r="N36" i="13"/>
  <c r="J36" i="13"/>
  <c r="F36" i="13"/>
  <c r="E14" i="24"/>
  <c r="Q36" i="13"/>
  <c r="M36" i="13"/>
  <c r="I36" i="13"/>
  <c r="E36" i="13"/>
  <c r="F35" i="24"/>
  <c r="F34" i="24"/>
  <c r="S58" i="25"/>
  <c r="S62" i="25"/>
  <c r="AD19" i="14"/>
  <c r="S19" i="14"/>
  <c r="X18" i="14"/>
  <c r="X21" i="14" s="1"/>
  <c r="R18" i="14"/>
  <c r="AB18" i="14"/>
  <c r="AB21" i="14" s="1"/>
  <c r="T18" i="14"/>
  <c r="N18" i="14"/>
  <c r="N21" i="14" s="1"/>
  <c r="Z18" i="14"/>
  <c r="Z21" i="14" s="1"/>
  <c r="S18" i="14"/>
  <c r="AD18" i="14"/>
  <c r="W18" i="14"/>
  <c r="O18" i="14"/>
  <c r="P22" i="19"/>
  <c r="D22" i="13" s="1"/>
  <c r="K22" i="13" s="1"/>
  <c r="W19" i="14"/>
  <c r="W21" i="14" s="1"/>
  <c r="R19" i="14"/>
  <c r="C24" i="18"/>
  <c r="D20" i="18" s="1"/>
  <c r="D23" i="18" s="1"/>
  <c r="H42" i="14" s="1"/>
  <c r="S5" i="25"/>
  <c r="S60" i="25"/>
  <c r="V19" i="14"/>
  <c r="P19" i="14"/>
  <c r="E54" i="19"/>
  <c r="F54" i="19" s="1"/>
  <c r="S61" i="25"/>
  <c r="T19" i="14"/>
  <c r="O19" i="14"/>
  <c r="AA18" i="14"/>
  <c r="AA21" i="14" s="1"/>
  <c r="V18" i="14"/>
  <c r="P18" i="14"/>
  <c r="M21" i="14"/>
  <c r="E32" i="14"/>
  <c r="D21" i="14"/>
  <c r="U19" i="14"/>
  <c r="Q19" i="14"/>
  <c r="AC18" i="14"/>
  <c r="AC21" i="14" s="1"/>
  <c r="Y18" i="14"/>
  <c r="Y21" i="14" s="1"/>
  <c r="U18" i="14"/>
  <c r="U21" i="14" s="1"/>
  <c r="Q18" i="14"/>
  <c r="J35" i="5"/>
  <c r="G53" i="19"/>
  <c r="H53" i="19" s="1"/>
  <c r="I53" i="19" s="1"/>
  <c r="J53" i="19" s="1"/>
  <c r="K53" i="19" s="1"/>
  <c r="L53" i="19" s="1"/>
  <c r="O22" i="13"/>
  <c r="P22" i="13" s="1"/>
  <c r="Q22" i="13" s="1"/>
  <c r="R22" i="13" s="1"/>
  <c r="S22" i="13" s="1"/>
  <c r="T22" i="13" s="1"/>
  <c r="I24" i="5"/>
  <c r="G22" i="13"/>
  <c r="C35" i="18"/>
  <c r="S22" i="25"/>
  <c r="T22" i="25"/>
  <c r="V22" i="25" s="1"/>
  <c r="S21" i="25"/>
  <c r="T21" i="25"/>
  <c r="V21" i="25" s="1"/>
  <c r="S7" i="25"/>
  <c r="T7" i="25"/>
  <c r="V7" i="25" s="1"/>
  <c r="S11" i="25"/>
  <c r="T11" i="25"/>
  <c r="V11" i="25" s="1"/>
  <c r="S4" i="25"/>
  <c r="T4" i="25"/>
  <c r="V4" i="25" s="1"/>
  <c r="D7" i="25"/>
  <c r="D14" i="7"/>
  <c r="C14" i="7"/>
  <c r="K13" i="7"/>
  <c r="K8" i="7"/>
  <c r="L22" i="13" l="1"/>
  <c r="J22" i="13"/>
  <c r="M22" i="13"/>
  <c r="H22" i="13"/>
  <c r="I22" i="13"/>
  <c r="F22" i="13"/>
  <c r="E22" i="13"/>
  <c r="F25" i="17"/>
  <c r="F65" i="17"/>
  <c r="F19" i="17"/>
  <c r="F28" i="17"/>
  <c r="F27" i="17"/>
  <c r="D24" i="18"/>
  <c r="E20" i="18" s="1"/>
  <c r="E24" i="18" s="1"/>
  <c r="F20" i="18" s="1"/>
  <c r="P53" i="19"/>
  <c r="F26" i="17"/>
  <c r="V21" i="14"/>
  <c r="S21" i="14"/>
  <c r="P21" i="14"/>
  <c r="J6" i="5"/>
  <c r="K6" i="5" s="1"/>
  <c r="J33" i="5"/>
  <c r="J28" i="19" s="1"/>
  <c r="J7" i="5"/>
  <c r="K7" i="5" s="1"/>
  <c r="K24" i="5"/>
  <c r="H24" i="5"/>
  <c r="K35" i="5"/>
  <c r="O4" i="7"/>
  <c r="O6" i="7"/>
  <c r="O7" i="7"/>
  <c r="O5" i="7"/>
  <c r="H99" i="2" a="1"/>
  <c r="H99" i="2" s="1"/>
  <c r="I85" i="2" s="1"/>
  <c r="O10" i="7"/>
  <c r="O11" i="7"/>
  <c r="O9" i="7"/>
  <c r="O12" i="7"/>
  <c r="Q21" i="14"/>
  <c r="U36" i="13"/>
  <c r="V36" i="13" s="1"/>
  <c r="O21" i="14"/>
  <c r="S63" i="25"/>
  <c r="B12" i="25" s="1"/>
  <c r="O26" i="25" s="1"/>
  <c r="D12" i="24" s="1"/>
  <c r="AD21" i="14"/>
  <c r="E19" i="14"/>
  <c r="R21" i="14"/>
  <c r="T21" i="14"/>
  <c r="G54" i="19"/>
  <c r="G55" i="19" s="1"/>
  <c r="O17" i="25"/>
  <c r="D21" i="24" s="1"/>
  <c r="E55" i="19"/>
  <c r="G21" i="2"/>
  <c r="G54" i="2"/>
  <c r="G56" i="2"/>
  <c r="G58" i="2"/>
  <c r="J22" i="5"/>
  <c r="K22" i="5" s="1"/>
  <c r="D54" i="19"/>
  <c r="D55" i="19" s="1"/>
  <c r="F55" i="19"/>
  <c r="J21" i="5"/>
  <c r="K21" i="5" s="1"/>
  <c r="G53" i="2"/>
  <c r="G55" i="2"/>
  <c r="G57" i="2"/>
  <c r="G59" i="2"/>
  <c r="G17" i="2"/>
  <c r="G45" i="2"/>
  <c r="G51" i="2"/>
  <c r="G19" i="2"/>
  <c r="G30" i="2"/>
  <c r="G46" i="2"/>
  <c r="G69" i="2"/>
  <c r="G49" i="2"/>
  <c r="G70" i="2"/>
  <c r="G16" i="2"/>
  <c r="G50" i="2"/>
  <c r="D8" i="25"/>
  <c r="E23" i="18"/>
  <c r="I42" i="14" s="1"/>
  <c r="U22" i="13"/>
  <c r="G35" i="2"/>
  <c r="E18" i="14"/>
  <c r="C36" i="18"/>
  <c r="I35" i="5"/>
  <c r="H35" i="5" s="1"/>
  <c r="G60" i="17"/>
  <c r="F6" i="15"/>
  <c r="G6" i="15" s="1"/>
  <c r="D17" i="17"/>
  <c r="K14" i="7"/>
  <c r="F7" i="15"/>
  <c r="O13" i="7"/>
  <c r="I28" i="19" l="1"/>
  <c r="I33" i="5"/>
  <c r="H33" i="5" s="1"/>
  <c r="V22" i="13"/>
  <c r="I7" i="5"/>
  <c r="H54" i="19"/>
  <c r="I54" i="19" s="1"/>
  <c r="G7" i="19"/>
  <c r="I7" i="19"/>
  <c r="H28" i="19"/>
  <c r="F28" i="19"/>
  <c r="M28" i="19"/>
  <c r="O28" i="19"/>
  <c r="D28" i="19"/>
  <c r="E28" i="19"/>
  <c r="G28" i="19"/>
  <c r="N28" i="19"/>
  <c r="K28" i="19"/>
  <c r="L28" i="19"/>
  <c r="N7" i="19"/>
  <c r="H100" i="2"/>
  <c r="E7" i="19"/>
  <c r="J7" i="19"/>
  <c r="D7" i="19"/>
  <c r="O7" i="19"/>
  <c r="I6" i="5"/>
  <c r="L7" i="19"/>
  <c r="K7" i="19"/>
  <c r="F7" i="19"/>
  <c r="M7" i="19"/>
  <c r="H7" i="19"/>
  <c r="E21" i="14"/>
  <c r="I22" i="5"/>
  <c r="C37" i="18"/>
  <c r="C38" i="18" s="1"/>
  <c r="C39" i="18" s="1"/>
  <c r="C40" i="18" s="1"/>
  <c r="D9" i="25"/>
  <c r="I21" i="5"/>
  <c r="F23" i="18"/>
  <c r="J42" i="14" s="1"/>
  <c r="F24" i="18"/>
  <c r="G20" i="18" s="1"/>
  <c r="O35" i="25"/>
  <c r="D10" i="24" s="1"/>
  <c r="I86" i="2"/>
  <c r="O36" i="25" s="1"/>
  <c r="D11" i="24" s="1"/>
  <c r="G8" i="15"/>
  <c r="G12" i="15"/>
  <c r="G10" i="15"/>
  <c r="G9" i="15"/>
  <c r="G4" i="15"/>
  <c r="I34" i="2" s="1"/>
  <c r="H55" i="19" l="1"/>
  <c r="I37" i="2"/>
  <c r="G37" i="2" s="1"/>
  <c r="P7" i="19"/>
  <c r="D7" i="13" s="1"/>
  <c r="E7" i="13" s="1"/>
  <c r="F7" i="13" s="1"/>
  <c r="G7" i="13" s="1"/>
  <c r="H7" i="13" s="1"/>
  <c r="I7" i="13" s="1"/>
  <c r="J7" i="13" s="1"/>
  <c r="K7" i="13" s="1"/>
  <c r="L7" i="13" s="1"/>
  <c r="M7" i="13" s="1"/>
  <c r="N7" i="13" s="1"/>
  <c r="P28" i="19"/>
  <c r="D28" i="13" s="1"/>
  <c r="E28" i="13" s="1"/>
  <c r="F28" i="13" s="1"/>
  <c r="G28" i="13" s="1"/>
  <c r="H28" i="13" s="1"/>
  <c r="I28" i="13" s="1"/>
  <c r="J28" i="13" s="1"/>
  <c r="K28" i="13" s="1"/>
  <c r="L28" i="13" s="1"/>
  <c r="M28" i="13" s="1"/>
  <c r="N28" i="13" s="1"/>
  <c r="G34" i="2"/>
  <c r="F9" i="9"/>
  <c r="G24" i="18"/>
  <c r="H20" i="18" s="1"/>
  <c r="G23" i="18"/>
  <c r="K42" i="14" s="1"/>
  <c r="I55" i="19"/>
  <c r="J54" i="19"/>
  <c r="D10" i="25"/>
  <c r="G7" i="15"/>
  <c r="I36" i="2" s="1"/>
  <c r="F8" i="17"/>
  <c r="G8" i="17" s="1"/>
  <c r="F7" i="17"/>
  <c r="G7" i="17" s="1"/>
  <c r="F6" i="17"/>
  <c r="G6" i="17" s="1"/>
  <c r="P19" i="25" l="1"/>
  <c r="T19" i="25" s="1"/>
  <c r="V19" i="25" s="1"/>
  <c r="N19" i="25"/>
  <c r="O28" i="13"/>
  <c r="G36" i="2"/>
  <c r="O7" i="13"/>
  <c r="P7" i="13" s="1"/>
  <c r="Q7" i="13" s="1"/>
  <c r="R7" i="13" s="1"/>
  <c r="S7" i="13" s="1"/>
  <c r="T7" i="13" s="1"/>
  <c r="D11" i="25"/>
  <c r="K54" i="19"/>
  <c r="J55" i="19"/>
  <c r="H23" i="18"/>
  <c r="L42" i="14" s="1"/>
  <c r="H24" i="18"/>
  <c r="I20" i="18" s="1"/>
  <c r="F11" i="17"/>
  <c r="G11" i="17" s="1"/>
  <c r="F32" i="17"/>
  <c r="G32" i="17" s="1"/>
  <c r="F37" i="17"/>
  <c r="G37" i="17" s="1"/>
  <c r="F48" i="17"/>
  <c r="G48" i="17" s="1"/>
  <c r="F47" i="17"/>
  <c r="G47" i="17" s="1"/>
  <c r="F46" i="17"/>
  <c r="G46" i="17" s="1"/>
  <c r="F44" i="17"/>
  <c r="G44" i="17" s="1"/>
  <c r="F49" i="17"/>
  <c r="G49" i="17" s="1"/>
  <c r="F45" i="17"/>
  <c r="G45" i="17" s="1"/>
  <c r="F43" i="17"/>
  <c r="G43" i="17" s="1"/>
  <c r="F36" i="17"/>
  <c r="G36" i="17" s="1"/>
  <c r="F31" i="17"/>
  <c r="G31" i="17" s="1"/>
  <c r="F38" i="17"/>
  <c r="G38" i="17" s="1"/>
  <c r="F35" i="17"/>
  <c r="G35" i="17" s="1"/>
  <c r="F33" i="17"/>
  <c r="G33" i="17" s="1"/>
  <c r="F30" i="17"/>
  <c r="G30" i="17" s="1"/>
  <c r="F37" i="7"/>
  <c r="E37" i="7"/>
  <c r="D37" i="7"/>
  <c r="C37" i="7"/>
  <c r="B37" i="7"/>
  <c r="S19" i="25" l="1"/>
  <c r="L5" i="7"/>
  <c r="L4" i="7"/>
  <c r="L6" i="7"/>
  <c r="L7" i="7"/>
  <c r="L9" i="7"/>
  <c r="L11" i="7"/>
  <c r="L10" i="7"/>
  <c r="L12" i="7"/>
  <c r="U7" i="13"/>
  <c r="V7" i="13" s="1"/>
  <c r="K55" i="19"/>
  <c r="L54" i="19"/>
  <c r="P28" i="13"/>
  <c r="Q28" i="13" s="1"/>
  <c r="R28" i="13" s="1"/>
  <c r="S28" i="13" s="1"/>
  <c r="T28" i="13" s="1"/>
  <c r="D12" i="25"/>
  <c r="L13" i="7"/>
  <c r="L8" i="7"/>
  <c r="O8" i="7"/>
  <c r="F10" i="17"/>
  <c r="G10" i="17" s="1"/>
  <c r="F50" i="17"/>
  <c r="J20" i="5" s="1"/>
  <c r="K20" i="5" s="1"/>
  <c r="J11" i="7" l="1"/>
  <c r="J4" i="7"/>
  <c r="J10" i="7"/>
  <c r="J9" i="7"/>
  <c r="J5" i="7"/>
  <c r="J6" i="7"/>
  <c r="J12" i="7"/>
  <c r="J7" i="7"/>
  <c r="U28" i="13"/>
  <c r="V28" i="13" s="1"/>
  <c r="N20" i="25"/>
  <c r="P20" i="25" s="1"/>
  <c r="M54" i="19"/>
  <c r="L55" i="19"/>
  <c r="L20" i="19" s="1"/>
  <c r="G20" i="19"/>
  <c r="K20" i="19"/>
  <c r="E20" i="19"/>
  <c r="I20" i="19"/>
  <c r="D20" i="19"/>
  <c r="F20" i="19"/>
  <c r="H20" i="19"/>
  <c r="J20" i="19"/>
  <c r="I20" i="5"/>
  <c r="H20" i="5" s="1"/>
  <c r="D13" i="25"/>
  <c r="J8" i="7"/>
  <c r="L14" i="7"/>
  <c r="J13" i="7"/>
  <c r="I14" i="7"/>
  <c r="E50" i="17"/>
  <c r="G13" i="15"/>
  <c r="F13" i="17"/>
  <c r="J17" i="5" s="1"/>
  <c r="K17" i="5" s="1"/>
  <c r="B23" i="24" l="1"/>
  <c r="M55" i="19"/>
  <c r="M17" i="19" s="1"/>
  <c r="N54" i="19"/>
  <c r="S20" i="25"/>
  <c r="T20" i="25"/>
  <c r="V20" i="25" s="1"/>
  <c r="E23" i="24"/>
  <c r="F23" i="24"/>
  <c r="E17" i="19"/>
  <c r="I17" i="19"/>
  <c r="F17" i="19"/>
  <c r="J17" i="19"/>
  <c r="G17" i="19"/>
  <c r="D17" i="19"/>
  <c r="H17" i="19"/>
  <c r="L17" i="19"/>
  <c r="K17" i="19"/>
  <c r="I17" i="5"/>
  <c r="H17" i="5" s="1"/>
  <c r="D14" i="25"/>
  <c r="J14" i="7"/>
  <c r="J5" i="5" s="1"/>
  <c r="G21" i="15"/>
  <c r="O54" i="19" l="1"/>
  <c r="O55" i="19" s="1"/>
  <c r="N55" i="19"/>
  <c r="M20" i="19"/>
  <c r="D15" i="25"/>
  <c r="G26" i="17"/>
  <c r="K5" i="5" l="1"/>
  <c r="K9" i="5" s="1"/>
  <c r="D16" i="25"/>
  <c r="G6" i="19"/>
  <c r="G9" i="19" s="1"/>
  <c r="H6" i="19"/>
  <c r="H9" i="19" s="1"/>
  <c r="L6" i="19"/>
  <c r="L9" i="19" s="1"/>
  <c r="E6" i="19"/>
  <c r="E9" i="19" s="1"/>
  <c r="I6" i="19"/>
  <c r="I9" i="19" s="1"/>
  <c r="M6" i="19"/>
  <c r="M9" i="19" s="1"/>
  <c r="F6" i="19"/>
  <c r="F9" i="19" s="1"/>
  <c r="J6" i="19"/>
  <c r="J9" i="19" s="1"/>
  <c r="N6" i="19"/>
  <c r="N9" i="19" s="1"/>
  <c r="J9" i="5"/>
  <c r="I5" i="5"/>
  <c r="H5" i="5" s="1"/>
  <c r="N10" i="19"/>
  <c r="N20" i="19"/>
  <c r="N17" i="19"/>
  <c r="O20" i="19"/>
  <c r="O17" i="19"/>
  <c r="G28" i="17"/>
  <c r="F17" i="17"/>
  <c r="G17" i="17" s="1"/>
  <c r="J23" i="5"/>
  <c r="K23" i="5" s="1"/>
  <c r="G25" i="17"/>
  <c r="G27" i="17"/>
  <c r="G19" i="17"/>
  <c r="O6" i="19" l="1"/>
  <c r="O9" i="19" s="1"/>
  <c r="O10" i="19" s="1"/>
  <c r="D6" i="19"/>
  <c r="D9" i="19" s="1"/>
  <c r="K6" i="19"/>
  <c r="K9" i="19" s="1"/>
  <c r="K10" i="19" s="1"/>
  <c r="K12" i="19" s="1"/>
  <c r="P17" i="19"/>
  <c r="D17" i="13" s="1"/>
  <c r="E17" i="13" s="1"/>
  <c r="F17" i="13" s="1"/>
  <c r="P20" i="19"/>
  <c r="D20" i="13" s="1"/>
  <c r="E20" i="13" s="1"/>
  <c r="F20" i="13" s="1"/>
  <c r="G20" i="13" s="1"/>
  <c r="H20" i="13" s="1"/>
  <c r="I20" i="13" s="1"/>
  <c r="J20" i="13" s="1"/>
  <c r="K20" i="13" s="1"/>
  <c r="L20" i="13" s="1"/>
  <c r="M20" i="13" s="1"/>
  <c r="N20" i="13" s="1"/>
  <c r="F21" i="19"/>
  <c r="J21" i="19"/>
  <c r="N21" i="19"/>
  <c r="D21" i="19"/>
  <c r="H21" i="19"/>
  <c r="L21" i="19"/>
  <c r="G21" i="19"/>
  <c r="O21" i="19"/>
  <c r="I21" i="19"/>
  <c r="I23" i="5"/>
  <c r="H23" i="5" s="1"/>
  <c r="K21" i="19"/>
  <c r="E21" i="19"/>
  <c r="M21" i="19"/>
  <c r="N12" i="19"/>
  <c r="I10" i="19"/>
  <c r="I12" i="19" s="1"/>
  <c r="J10" i="19"/>
  <c r="J12" i="19" s="1"/>
  <c r="E10" i="19"/>
  <c r="E12" i="19" s="1"/>
  <c r="H9" i="5"/>
  <c r="I9" i="5"/>
  <c r="F10" i="19"/>
  <c r="F12" i="19" s="1"/>
  <c r="F47" i="19" s="1"/>
  <c r="L10" i="19"/>
  <c r="L12" i="19" s="1"/>
  <c r="D17" i="25"/>
  <c r="J11" i="5"/>
  <c r="M10" i="19"/>
  <c r="M12" i="19" s="1"/>
  <c r="M47" i="19" s="1"/>
  <c r="H10" i="19"/>
  <c r="H12" i="19" s="1"/>
  <c r="G10" i="19"/>
  <c r="G12" i="19" s="1"/>
  <c r="G50" i="17"/>
  <c r="G13" i="17"/>
  <c r="G39" i="17"/>
  <c r="F39" i="17"/>
  <c r="F20" i="17"/>
  <c r="J18" i="5" s="1"/>
  <c r="K18" i="5" s="1"/>
  <c r="G20" i="17"/>
  <c r="I47" i="19" l="1"/>
  <c r="L47" i="19"/>
  <c r="J47" i="19"/>
  <c r="G47" i="19"/>
  <c r="H47" i="19"/>
  <c r="O12" i="19"/>
  <c r="O47" i="19" s="1"/>
  <c r="N47" i="19"/>
  <c r="K47" i="19"/>
  <c r="J19" i="5"/>
  <c r="K19" i="5" s="1"/>
  <c r="E39" i="17"/>
  <c r="P6" i="19"/>
  <c r="D6" i="13" s="1"/>
  <c r="D9" i="13" s="1"/>
  <c r="J13" i="5"/>
  <c r="J16" i="5" s="1"/>
  <c r="K16" i="5" s="1"/>
  <c r="K11" i="5"/>
  <c r="K13" i="5" s="1"/>
  <c r="L16" i="19"/>
  <c r="I16" i="19"/>
  <c r="G16" i="19"/>
  <c r="F16" i="19"/>
  <c r="H16" i="19"/>
  <c r="M16" i="19"/>
  <c r="K16" i="19"/>
  <c r="E16" i="19"/>
  <c r="P9" i="19"/>
  <c r="D10" i="19"/>
  <c r="P10" i="19" s="1"/>
  <c r="D10" i="13" s="1"/>
  <c r="J16" i="19"/>
  <c r="E18" i="13"/>
  <c r="F18" i="13" s="1"/>
  <c r="G18" i="13" s="1"/>
  <c r="H18" i="13" s="1"/>
  <c r="I18" i="13" s="1"/>
  <c r="J18" i="13" s="1"/>
  <c r="K18" i="13" s="1"/>
  <c r="L18" i="13" s="1"/>
  <c r="M18" i="13" s="1"/>
  <c r="N18" i="13" s="1"/>
  <c r="E18" i="19"/>
  <c r="I18" i="19"/>
  <c r="M18" i="19"/>
  <c r="G18" i="19"/>
  <c r="K18" i="19"/>
  <c r="O18" i="19"/>
  <c r="F18" i="19"/>
  <c r="N18" i="19"/>
  <c r="H18" i="19"/>
  <c r="J18" i="19"/>
  <c r="D18" i="19"/>
  <c r="L18" i="19"/>
  <c r="I18" i="5"/>
  <c r="H18" i="5" s="1"/>
  <c r="I11" i="5"/>
  <c r="P21" i="19"/>
  <c r="D21" i="13" s="1"/>
  <c r="E19" i="13"/>
  <c r="F19" i="13" s="1"/>
  <c r="G19" i="13" s="1"/>
  <c r="H19" i="13" s="1"/>
  <c r="I19" i="13" s="1"/>
  <c r="J19" i="13" s="1"/>
  <c r="K19" i="13" s="1"/>
  <c r="L19" i="13" s="1"/>
  <c r="M19" i="13" s="1"/>
  <c r="N19" i="13" s="1"/>
  <c r="L19" i="19"/>
  <c r="J19" i="19"/>
  <c r="K19" i="19"/>
  <c r="G19" i="19"/>
  <c r="I19" i="5"/>
  <c r="H19" i="5" s="1"/>
  <c r="D18" i="25"/>
  <c r="N25" i="25"/>
  <c r="B29" i="24" s="1"/>
  <c r="P25" i="25"/>
  <c r="G17" i="13"/>
  <c r="H17" i="13" s="1"/>
  <c r="I17" i="13" s="1"/>
  <c r="J17" i="13" s="1"/>
  <c r="K17" i="13" s="1"/>
  <c r="L17" i="13" s="1"/>
  <c r="M17" i="13" s="1"/>
  <c r="N17" i="13" s="1"/>
  <c r="N16" i="19"/>
  <c r="O20" i="13"/>
  <c r="P20" i="13" s="1"/>
  <c r="Q20" i="13" s="1"/>
  <c r="R20" i="13" s="1"/>
  <c r="S20" i="13" s="1"/>
  <c r="T20" i="13" s="1"/>
  <c r="E19" i="19" l="1"/>
  <c r="F19" i="19"/>
  <c r="O19" i="19"/>
  <c r="I19" i="19"/>
  <c r="D19" i="19"/>
  <c r="O16" i="19"/>
  <c r="M19" i="19"/>
  <c r="M24" i="19" s="1"/>
  <c r="N19" i="19"/>
  <c r="N24" i="19" s="1"/>
  <c r="H19" i="19"/>
  <c r="E6" i="13"/>
  <c r="F6" i="13" s="1"/>
  <c r="H11" i="5"/>
  <c r="H13" i="5" s="1"/>
  <c r="D12" i="13"/>
  <c r="I13" i="5"/>
  <c r="O17" i="13"/>
  <c r="P17" i="13" s="1"/>
  <c r="Q17" i="13" s="1"/>
  <c r="R17" i="13" s="1"/>
  <c r="S17" i="13" s="1"/>
  <c r="T17" i="13" s="1"/>
  <c r="F24" i="19"/>
  <c r="I24" i="19"/>
  <c r="E21" i="13"/>
  <c r="F21" i="13" s="1"/>
  <c r="G21" i="13" s="1"/>
  <c r="H21" i="13" s="1"/>
  <c r="I21" i="13" s="1"/>
  <c r="J21" i="13" s="1"/>
  <c r="K21" i="13" s="1"/>
  <c r="L21" i="13" s="1"/>
  <c r="M21" i="13" s="1"/>
  <c r="N21" i="13" s="1"/>
  <c r="J24" i="19"/>
  <c r="U20" i="13"/>
  <c r="V20" i="13" s="1"/>
  <c r="S25" i="25"/>
  <c r="T25" i="25"/>
  <c r="V25" i="25" s="1"/>
  <c r="F29" i="24"/>
  <c r="E29" i="24"/>
  <c r="O19" i="13"/>
  <c r="P19" i="13" s="1"/>
  <c r="Q19" i="13" s="1"/>
  <c r="R19" i="13" s="1"/>
  <c r="S19" i="13" s="1"/>
  <c r="T19" i="13" s="1"/>
  <c r="P18" i="19"/>
  <c r="D18" i="13" s="1"/>
  <c r="O18" i="13"/>
  <c r="P18" i="13" s="1"/>
  <c r="Q18" i="13" s="1"/>
  <c r="R18" i="13" s="1"/>
  <c r="S18" i="13" s="1"/>
  <c r="T18" i="13" s="1"/>
  <c r="E24" i="19"/>
  <c r="K26" i="5"/>
  <c r="K27" i="5" s="1"/>
  <c r="J26" i="5"/>
  <c r="J29" i="5" s="1"/>
  <c r="F53" i="17" s="1"/>
  <c r="I16" i="5"/>
  <c r="H16" i="5" s="1"/>
  <c r="O24" i="19"/>
  <c r="P23" i="25"/>
  <c r="D12" i="19"/>
  <c r="E47" i="19" s="1"/>
  <c r="K24" i="19"/>
  <c r="G24" i="19"/>
  <c r="L24" i="19"/>
  <c r="P19" i="19" l="1"/>
  <c r="D19" i="13" s="1"/>
  <c r="H24" i="19"/>
  <c r="N23" i="25"/>
  <c r="B27" i="24" s="1"/>
  <c r="E9" i="13"/>
  <c r="E10" i="13" s="1"/>
  <c r="E12" i="13" s="1"/>
  <c r="E48" i="13" s="1"/>
  <c r="N26" i="19"/>
  <c r="N50" i="19" s="1"/>
  <c r="N48" i="19"/>
  <c r="N49" i="19"/>
  <c r="M26" i="19"/>
  <c r="M50" i="19" s="1"/>
  <c r="M48" i="19"/>
  <c r="M49" i="19"/>
  <c r="K26" i="19"/>
  <c r="K50" i="19" s="1"/>
  <c r="K48" i="19"/>
  <c r="K49" i="19"/>
  <c r="J26" i="19"/>
  <c r="J50" i="19" s="1"/>
  <c r="J48" i="19"/>
  <c r="J49" i="19"/>
  <c r="L26" i="19"/>
  <c r="L50" i="19" s="1"/>
  <c r="L48" i="19"/>
  <c r="L49" i="19"/>
  <c r="G26" i="19"/>
  <c r="G50" i="19" s="1"/>
  <c r="G48" i="19"/>
  <c r="G49" i="19"/>
  <c r="O48" i="19"/>
  <c r="O49" i="19"/>
  <c r="I26" i="19"/>
  <c r="I50" i="19" s="1"/>
  <c r="I48" i="19"/>
  <c r="I49" i="19"/>
  <c r="H26" i="19"/>
  <c r="H50" i="19" s="1"/>
  <c r="H48" i="19"/>
  <c r="H49" i="19"/>
  <c r="E26" i="19"/>
  <c r="E50" i="19" s="1"/>
  <c r="E49" i="19"/>
  <c r="F26" i="19"/>
  <c r="F50" i="19" s="1"/>
  <c r="F48" i="19"/>
  <c r="F49" i="19"/>
  <c r="K29" i="5"/>
  <c r="K30" i="5" s="1"/>
  <c r="S23" i="25"/>
  <c r="T23" i="25"/>
  <c r="V23" i="25" s="1"/>
  <c r="E27" i="24"/>
  <c r="F27" i="24"/>
  <c r="I26" i="5"/>
  <c r="I29" i="5" s="1"/>
  <c r="H26" i="5"/>
  <c r="H29" i="5" s="1"/>
  <c r="O21" i="13"/>
  <c r="P21" i="13" s="1"/>
  <c r="Q21" i="13" s="1"/>
  <c r="R21" i="13" s="1"/>
  <c r="S21" i="13" s="1"/>
  <c r="T21" i="13" s="1"/>
  <c r="U17" i="13"/>
  <c r="V17" i="13" s="1"/>
  <c r="G6" i="13"/>
  <c r="F9" i="13"/>
  <c r="P12" i="19"/>
  <c r="D16" i="19"/>
  <c r="C25" i="16"/>
  <c r="C36" i="16" s="1"/>
  <c r="O26" i="19"/>
  <c r="U18" i="13"/>
  <c r="V18" i="13" s="1"/>
  <c r="U19" i="13"/>
  <c r="V19" i="13" s="1"/>
  <c r="F55" i="17"/>
  <c r="G53" i="17"/>
  <c r="G61" i="17"/>
  <c r="U21" i="13" l="1"/>
  <c r="V21" i="13" s="1"/>
  <c r="E16" i="13"/>
  <c r="H6" i="13"/>
  <c r="G9" i="13"/>
  <c r="D24" i="19"/>
  <c r="P16" i="19"/>
  <c r="F10" i="13"/>
  <c r="F12" i="13" s="1"/>
  <c r="F48" i="13" s="1"/>
  <c r="O50" i="19"/>
  <c r="F57" i="17"/>
  <c r="G55" i="17"/>
  <c r="D49" i="19" l="1"/>
  <c r="E48" i="19"/>
  <c r="F16" i="13"/>
  <c r="D16" i="13"/>
  <c r="G10" i="13"/>
  <c r="G12" i="13" s="1"/>
  <c r="G48" i="13" s="1"/>
  <c r="P24" i="19"/>
  <c r="P49" i="19" s="1"/>
  <c r="D26" i="19"/>
  <c r="N24" i="25"/>
  <c r="B28" i="24" s="1"/>
  <c r="P24" i="25"/>
  <c r="I6" i="13"/>
  <c r="H9" i="13"/>
  <c r="E24" i="13"/>
  <c r="E50" i="13" l="1"/>
  <c r="G16" i="13"/>
  <c r="P17" i="25"/>
  <c r="O29" i="25"/>
  <c r="D7" i="24" s="1"/>
  <c r="N17" i="25"/>
  <c r="B21" i="24" s="1"/>
  <c r="O18" i="25"/>
  <c r="D22" i="24" s="1"/>
  <c r="E26" i="13"/>
  <c r="D24" i="13"/>
  <c r="H10" i="13"/>
  <c r="H12" i="13" s="1"/>
  <c r="H48" i="13" s="1"/>
  <c r="P26" i="19"/>
  <c r="P50" i="19" s="1"/>
  <c r="D50" i="19"/>
  <c r="S24" i="25"/>
  <c r="T24" i="25"/>
  <c r="V24" i="25" s="1"/>
  <c r="E28" i="24"/>
  <c r="F28" i="24"/>
  <c r="J6" i="13"/>
  <c r="I9" i="13"/>
  <c r="F24" i="13"/>
  <c r="F26" i="13" l="1"/>
  <c r="F49" i="13"/>
  <c r="F50" i="13"/>
  <c r="D26" i="13"/>
  <c r="B6" i="26" s="1"/>
  <c r="B9" i="26" s="1"/>
  <c r="D50" i="13"/>
  <c r="E49" i="13"/>
  <c r="H16" i="13"/>
  <c r="J9" i="13"/>
  <c r="K6" i="13"/>
  <c r="D6" i="26"/>
  <c r="D9" i="26" s="1"/>
  <c r="F51" i="13"/>
  <c r="C6" i="26"/>
  <c r="C9" i="26" s="1"/>
  <c r="E51" i="13"/>
  <c r="S17" i="25"/>
  <c r="T17" i="25"/>
  <c r="V17" i="25" s="1"/>
  <c r="E21" i="24"/>
  <c r="F21" i="24"/>
  <c r="I10" i="13"/>
  <c r="I12" i="13" s="1"/>
  <c r="I48" i="13" s="1"/>
  <c r="G24" i="13"/>
  <c r="D51" i="13" l="1"/>
  <c r="G26" i="13"/>
  <c r="E6" i="26" s="1"/>
  <c r="E9" i="26" s="1"/>
  <c r="G50" i="13"/>
  <c r="G49" i="13"/>
  <c r="I16" i="13"/>
  <c r="L6" i="13"/>
  <c r="K9" i="13"/>
  <c r="J10" i="13"/>
  <c r="J12" i="13" s="1"/>
  <c r="J48" i="13" s="1"/>
  <c r="H24" i="13"/>
  <c r="G51" i="13" l="1"/>
  <c r="H26" i="13"/>
  <c r="F6" i="26" s="1"/>
  <c r="F9" i="26" s="1"/>
  <c r="H49" i="13"/>
  <c r="H50" i="13"/>
  <c r="J16" i="13"/>
  <c r="K10" i="13"/>
  <c r="K12" i="13" s="1"/>
  <c r="K48" i="13" s="1"/>
  <c r="L9" i="13"/>
  <c r="M6" i="13"/>
  <c r="I24" i="13"/>
  <c r="H51" i="13" l="1"/>
  <c r="I26" i="13"/>
  <c r="G6" i="26" s="1"/>
  <c r="G9" i="26" s="1"/>
  <c r="I49" i="13"/>
  <c r="I50" i="13"/>
  <c r="N6" i="13"/>
  <c r="M9" i="13"/>
  <c r="K16" i="13"/>
  <c r="L10" i="13"/>
  <c r="L12" i="13" s="1"/>
  <c r="L48" i="13" s="1"/>
  <c r="J24" i="13"/>
  <c r="I51" i="13" l="1"/>
  <c r="J26" i="13"/>
  <c r="J51" i="13" s="1"/>
  <c r="J49" i="13"/>
  <c r="J50" i="13"/>
  <c r="L16" i="13"/>
  <c r="K24" i="13"/>
  <c r="H6" i="26"/>
  <c r="H9" i="26" s="1"/>
  <c r="M10" i="13"/>
  <c r="M12" i="13" s="1"/>
  <c r="M48" i="13" s="1"/>
  <c r="N9" i="13"/>
  <c r="O6" i="13"/>
  <c r="K26" i="13" l="1"/>
  <c r="K51" i="13" s="1"/>
  <c r="K50" i="13"/>
  <c r="K49" i="13"/>
  <c r="M16" i="13"/>
  <c r="I6" i="26"/>
  <c r="I9" i="26" s="1"/>
  <c r="P6" i="13"/>
  <c r="O9" i="13"/>
  <c r="N10" i="13"/>
  <c r="L24" i="13"/>
  <c r="L26" i="13" l="1"/>
  <c r="L50" i="13"/>
  <c r="L49" i="13"/>
  <c r="J6" i="26"/>
  <c r="J9" i="26" s="1"/>
  <c r="L51" i="13"/>
  <c r="P9" i="13"/>
  <c r="Q6" i="13"/>
  <c r="M24" i="13"/>
  <c r="O10" i="13"/>
  <c r="N12" i="13"/>
  <c r="N48" i="13" s="1"/>
  <c r="M26" i="13" l="1"/>
  <c r="M49" i="13"/>
  <c r="M50" i="13"/>
  <c r="N16" i="13"/>
  <c r="K6" i="26"/>
  <c r="K9" i="26" s="1"/>
  <c r="M51" i="13"/>
  <c r="R6" i="13"/>
  <c r="Q9" i="13"/>
  <c r="O12" i="13"/>
  <c r="O48" i="13" s="1"/>
  <c r="P10" i="13"/>
  <c r="P12" i="13" s="1"/>
  <c r="P48" i="13" l="1"/>
  <c r="R9" i="13"/>
  <c r="S6" i="13"/>
  <c r="Q10" i="13"/>
  <c r="Q12" i="13" s="1"/>
  <c r="Q48" i="13" s="1"/>
  <c r="P16" i="13"/>
  <c r="O16" i="13"/>
  <c r="N24" i="13"/>
  <c r="N26" i="13" l="1"/>
  <c r="N50" i="13"/>
  <c r="N49" i="13"/>
  <c r="P24" i="13"/>
  <c r="Q16" i="13"/>
  <c r="O24" i="13"/>
  <c r="T6" i="13"/>
  <c r="S9" i="13"/>
  <c r="L6" i="26"/>
  <c r="L9" i="26" s="1"/>
  <c r="N51" i="13"/>
  <c r="R10" i="13"/>
  <c r="R12" i="13" s="1"/>
  <c r="R48" i="13" s="1"/>
  <c r="O26" i="13" l="1"/>
  <c r="O50" i="13"/>
  <c r="O49" i="13"/>
  <c r="P26" i="13"/>
  <c r="N6" i="26" s="1"/>
  <c r="N9" i="26" s="1"/>
  <c r="P49" i="13"/>
  <c r="P50" i="13"/>
  <c r="R16" i="13"/>
  <c r="T9" i="13"/>
  <c r="U6" i="13"/>
  <c r="Q24" i="13"/>
  <c r="M6" i="26"/>
  <c r="M9" i="26" s="1"/>
  <c r="O51" i="13"/>
  <c r="S10" i="13"/>
  <c r="S12" i="13" s="1"/>
  <c r="S48" i="13" s="1"/>
  <c r="P51" i="13" l="1"/>
  <c r="Q26" i="13"/>
  <c r="O6" i="26" s="1"/>
  <c r="O9" i="26" s="1"/>
  <c r="Q49" i="13"/>
  <c r="Q50" i="13"/>
  <c r="U9" i="13"/>
  <c r="V6" i="13"/>
  <c r="V9" i="13" s="1"/>
  <c r="S16" i="13"/>
  <c r="T10" i="13"/>
  <c r="U10" i="13" s="1"/>
  <c r="V10" i="13" s="1"/>
  <c r="R24" i="13"/>
  <c r="Q51" i="13" l="1"/>
  <c r="R26" i="13"/>
  <c r="R51" i="13" s="1"/>
  <c r="R49" i="13"/>
  <c r="R50" i="13"/>
  <c r="T12" i="13"/>
  <c r="U12" i="13"/>
  <c r="V12" i="13"/>
  <c r="P6" i="26"/>
  <c r="P9" i="26" s="1"/>
  <c r="S24" i="13"/>
  <c r="T16" i="13" l="1"/>
  <c r="U16" i="13" s="1"/>
  <c r="T48" i="13"/>
  <c r="S26" i="13"/>
  <c r="S50" i="13"/>
  <c r="S49" i="13"/>
  <c r="Q6" i="26"/>
  <c r="Q9" i="26" s="1"/>
  <c r="S51" i="13"/>
  <c r="U24" i="13"/>
  <c r="V16" i="13"/>
  <c r="T24" i="13" l="1"/>
  <c r="T26" i="13"/>
  <c r="T50" i="13"/>
  <c r="T49" i="13"/>
  <c r="U26" i="13"/>
  <c r="U51" i="13" s="1"/>
  <c r="U50" i="13"/>
  <c r="V24" i="13"/>
  <c r="R6" i="26"/>
  <c r="R9" i="26" s="1"/>
  <c r="T51" i="13"/>
  <c r="V26" i="13" l="1"/>
  <c r="V51" i="13" s="1"/>
  <c r="V50" i="13"/>
  <c r="D30" i="13"/>
  <c r="E30" i="13"/>
  <c r="F30" i="13"/>
  <c r="G30" i="13"/>
  <c r="H30" i="13"/>
  <c r="I30" i="13"/>
  <c r="J30" i="13"/>
  <c r="K30" i="13"/>
  <c r="L30" i="13"/>
  <c r="M30" i="13"/>
  <c r="N30" i="13"/>
  <c r="O30" i="13"/>
  <c r="P30" i="13"/>
  <c r="Q30" i="13"/>
  <c r="R30" i="13"/>
  <c r="S30" i="13"/>
  <c r="T30" i="13"/>
  <c r="U30" i="13"/>
  <c r="V30" i="13"/>
  <c r="E31" i="13"/>
  <c r="F31" i="13"/>
  <c r="G31" i="13"/>
  <c r="H31" i="13"/>
  <c r="I31" i="13"/>
  <c r="J31" i="13"/>
  <c r="K31" i="13"/>
  <c r="L31" i="13"/>
  <c r="M31" i="13"/>
  <c r="N31" i="13"/>
  <c r="O31" i="13"/>
  <c r="P31" i="13"/>
  <c r="Q31" i="13"/>
  <c r="R31" i="13"/>
  <c r="S31" i="13"/>
  <c r="T31" i="13"/>
  <c r="U31" i="13"/>
  <c r="V31" i="13"/>
  <c r="D33" i="13"/>
  <c r="E33" i="13"/>
  <c r="F33" i="13"/>
  <c r="G33" i="13"/>
  <c r="H33" i="13"/>
  <c r="I33" i="13"/>
  <c r="J33" i="13"/>
  <c r="K33" i="13"/>
  <c r="L33" i="13"/>
  <c r="M33" i="13"/>
  <c r="N33" i="13"/>
  <c r="O33" i="13"/>
  <c r="P33" i="13"/>
  <c r="Q33" i="13"/>
  <c r="R33" i="13"/>
  <c r="S33" i="13"/>
  <c r="T33" i="13"/>
  <c r="U33" i="13"/>
  <c r="V33" i="13"/>
  <c r="D35" i="13"/>
  <c r="E35" i="13"/>
  <c r="F35" i="13"/>
  <c r="G35" i="13"/>
  <c r="H35" i="13"/>
  <c r="I35" i="13"/>
  <c r="J35" i="13"/>
  <c r="K35" i="13"/>
  <c r="L35" i="13"/>
  <c r="M35" i="13"/>
  <c r="N35" i="13"/>
  <c r="O35" i="13"/>
  <c r="P35" i="13"/>
  <c r="Q35" i="13"/>
  <c r="R35" i="13"/>
  <c r="S35" i="13"/>
  <c r="T35" i="13"/>
  <c r="U35" i="13"/>
  <c r="V35" i="13"/>
  <c r="D37" i="13"/>
  <c r="E37" i="13"/>
  <c r="F37" i="13"/>
  <c r="G37" i="13"/>
  <c r="H37" i="13"/>
  <c r="I37" i="13"/>
  <c r="J37" i="13"/>
  <c r="K37" i="13"/>
  <c r="L37" i="13"/>
  <c r="M37" i="13"/>
  <c r="N37" i="13"/>
  <c r="O37" i="13"/>
  <c r="P37" i="13"/>
  <c r="Q37" i="13"/>
  <c r="R37" i="13"/>
  <c r="S37" i="13"/>
  <c r="T37" i="13"/>
  <c r="U37" i="13"/>
  <c r="V37" i="13"/>
  <c r="D38" i="13"/>
  <c r="E38" i="13"/>
  <c r="F38" i="13"/>
  <c r="G38" i="13"/>
  <c r="H38" i="13"/>
  <c r="I38" i="13"/>
  <c r="J38" i="13"/>
  <c r="K38" i="13"/>
  <c r="L38" i="13"/>
  <c r="M38" i="13"/>
  <c r="N38" i="13"/>
  <c r="O38" i="13"/>
  <c r="P38" i="13"/>
  <c r="Q38" i="13"/>
  <c r="R38" i="13"/>
  <c r="S38" i="13"/>
  <c r="T38" i="13"/>
  <c r="U38" i="13"/>
  <c r="V38" i="13"/>
  <c r="D40" i="13"/>
  <c r="E40" i="13"/>
  <c r="F40" i="13"/>
  <c r="G40" i="13"/>
  <c r="H40" i="13"/>
  <c r="I40" i="13"/>
  <c r="J40" i="13"/>
  <c r="K40" i="13"/>
  <c r="L40" i="13"/>
  <c r="M40" i="13"/>
  <c r="N40" i="13"/>
  <c r="O40" i="13"/>
  <c r="P40" i="13"/>
  <c r="Q40" i="13"/>
  <c r="R40" i="13"/>
  <c r="S40" i="13"/>
  <c r="T40" i="13"/>
  <c r="U40" i="13"/>
  <c r="V40" i="13"/>
  <c r="E46" i="13"/>
  <c r="F46" i="13"/>
  <c r="G46" i="13"/>
  <c r="H46" i="13"/>
  <c r="I46" i="13"/>
  <c r="J46" i="13"/>
  <c r="K46" i="13"/>
  <c r="L46" i="13"/>
  <c r="M46" i="13"/>
  <c r="N46" i="13"/>
  <c r="O46" i="13"/>
  <c r="P46" i="13"/>
  <c r="Q46" i="13"/>
  <c r="R46" i="13"/>
  <c r="S46" i="13"/>
  <c r="T46" i="13"/>
  <c r="U46" i="13"/>
  <c r="V46" i="13"/>
  <c r="G14" i="15"/>
  <c r="G15" i="15"/>
  <c r="G16" i="15"/>
  <c r="G17" i="15"/>
  <c r="G18" i="15"/>
  <c r="G22" i="15"/>
  <c r="E3" i="25" a="1"/>
  <c r="E3" i="25"/>
  <c r="F3" i="25" a="1"/>
  <c r="F3" i="25"/>
  <c r="G3" i="25" a="1"/>
  <c r="G3" i="25"/>
  <c r="H3" i="25"/>
  <c r="N3" i="25"/>
  <c r="P3" i="25"/>
  <c r="S3" i="25"/>
  <c r="T3" i="25"/>
  <c r="V3" i="25"/>
  <c r="E4" i="25" a="1"/>
  <c r="E4" i="25"/>
  <c r="F4" i="25" a="1"/>
  <c r="F4" i="25"/>
  <c r="G4" i="25" a="1"/>
  <c r="G4" i="25"/>
  <c r="H4" i="25"/>
  <c r="E5" i="25" a="1"/>
  <c r="E5" i="25"/>
  <c r="F5" i="25" a="1"/>
  <c r="F5" i="25"/>
  <c r="G5" i="25" a="1"/>
  <c r="G5" i="25"/>
  <c r="H5" i="25"/>
  <c r="E6" i="25" a="1"/>
  <c r="E6" i="25"/>
  <c r="F6" i="25" a="1"/>
  <c r="F6" i="25"/>
  <c r="G6" i="25" a="1"/>
  <c r="G6" i="25"/>
  <c r="H6" i="25"/>
  <c r="E7" i="25" a="1"/>
  <c r="E7" i="25"/>
  <c r="F7" i="25" a="1"/>
  <c r="F7" i="25"/>
  <c r="G7" i="25" a="1"/>
  <c r="G7" i="25"/>
  <c r="H7" i="25"/>
  <c r="E8" i="25" a="1"/>
  <c r="E8" i="25"/>
  <c r="F8" i="25" a="1"/>
  <c r="F8" i="25"/>
  <c r="G8" i="25" a="1"/>
  <c r="G8" i="25"/>
  <c r="H8" i="25"/>
  <c r="N8" i="25"/>
  <c r="O8" i="25"/>
  <c r="P8" i="25"/>
  <c r="S8" i="25"/>
  <c r="T8" i="25"/>
  <c r="V8" i="25"/>
  <c r="E9" i="25" a="1"/>
  <c r="E9" i="25"/>
  <c r="F9" i="25" a="1"/>
  <c r="F9" i="25"/>
  <c r="G9" i="25" a="1"/>
  <c r="G9" i="25"/>
  <c r="H9" i="25"/>
  <c r="N9" i="25"/>
  <c r="P9" i="25"/>
  <c r="S9" i="25"/>
  <c r="T9" i="25"/>
  <c r="V9" i="25"/>
  <c r="E10" i="25" a="1"/>
  <c r="E10" i="25"/>
  <c r="F10" i="25" a="1"/>
  <c r="F10" i="25"/>
  <c r="G10" i="25" a="1"/>
  <c r="G10" i="25"/>
  <c r="H10" i="25"/>
  <c r="N10" i="25"/>
  <c r="P10" i="25"/>
  <c r="S10" i="25"/>
  <c r="T10" i="25"/>
  <c r="V10" i="25"/>
  <c r="E11" i="25" a="1"/>
  <c r="E11" i="25"/>
  <c r="F11" i="25" a="1"/>
  <c r="F11" i="25"/>
  <c r="G11" i="25" a="1"/>
  <c r="G11" i="25"/>
  <c r="H11" i="25"/>
  <c r="N11" i="25"/>
  <c r="E12" i="25" a="1"/>
  <c r="E12" i="25"/>
  <c r="F12" i="25" a="1"/>
  <c r="F12" i="25"/>
  <c r="G12" i="25" a="1"/>
  <c r="G12" i="25"/>
  <c r="H12" i="25"/>
  <c r="O12" i="25"/>
  <c r="P12" i="25"/>
  <c r="S12" i="25"/>
  <c r="T12" i="25"/>
  <c r="V12" i="25"/>
  <c r="B13" i="25"/>
  <c r="E13" i="25" a="1"/>
  <c r="E13" i="25"/>
  <c r="F13" i="25" a="1"/>
  <c r="F13" i="25"/>
  <c r="G13" i="25" a="1"/>
  <c r="G13" i="25"/>
  <c r="H13" i="25"/>
  <c r="N13" i="25"/>
  <c r="O13" i="25"/>
  <c r="P13" i="25"/>
  <c r="S13" i="25"/>
  <c r="T13" i="25"/>
  <c r="V13" i="25"/>
  <c r="E14" i="25" a="1"/>
  <c r="E14" i="25"/>
  <c r="F14" i="25" a="1"/>
  <c r="F14" i="25"/>
  <c r="G14" i="25" a="1"/>
  <c r="G14" i="25"/>
  <c r="H14" i="25"/>
  <c r="N14" i="25"/>
  <c r="O14" i="25"/>
  <c r="P14" i="25"/>
  <c r="S14" i="25"/>
  <c r="T14" i="25"/>
  <c r="V14" i="25"/>
  <c r="E15" i="25" a="1"/>
  <c r="E15" i="25"/>
  <c r="F15" i="25" a="1"/>
  <c r="F15" i="25"/>
  <c r="G15" i="25" a="1"/>
  <c r="G15" i="25"/>
  <c r="H15" i="25"/>
  <c r="N15" i="25"/>
  <c r="O15" i="25"/>
  <c r="P15" i="25"/>
  <c r="S15" i="25"/>
  <c r="T15" i="25"/>
  <c r="V15" i="25"/>
  <c r="E16" i="25" a="1"/>
  <c r="E16" i="25"/>
  <c r="F16" i="25" a="1"/>
  <c r="F16" i="25"/>
  <c r="G16" i="25" a="1"/>
  <c r="G16" i="25"/>
  <c r="H16" i="25"/>
  <c r="N16" i="25"/>
  <c r="O16" i="25"/>
  <c r="P16" i="25"/>
  <c r="S16" i="25"/>
  <c r="T16" i="25"/>
  <c r="V16" i="25"/>
  <c r="E17" i="25" a="1"/>
  <c r="E17" i="25"/>
  <c r="F17" i="25" a="1"/>
  <c r="F17" i="25"/>
  <c r="G17" i="25" a="1"/>
  <c r="G17" i="25"/>
  <c r="H17" i="25"/>
  <c r="B18" i="25"/>
  <c r="E18" i="25" a="1"/>
  <c r="E18" i="25"/>
  <c r="F18" i="25" a="1"/>
  <c r="F18" i="25"/>
  <c r="G18" i="25" a="1"/>
  <c r="G18" i="25"/>
  <c r="H18" i="25"/>
  <c r="N18" i="25"/>
  <c r="P18" i="25"/>
  <c r="S18" i="25"/>
  <c r="T18" i="25"/>
  <c r="V18" i="25"/>
  <c r="B19" i="25"/>
  <c r="B20" i="25"/>
  <c r="B21" i="25"/>
  <c r="B22" i="25"/>
  <c r="B23" i="25"/>
  <c r="B24" i="25" a="1"/>
  <c r="B24" i="25"/>
  <c r="B25" i="25"/>
  <c r="B26" i="25"/>
  <c r="N26" i="25"/>
  <c r="P26" i="25"/>
  <c r="S26" i="25"/>
  <c r="T26" i="25"/>
  <c r="V26" i="25"/>
  <c r="B27" i="25"/>
  <c r="N27" i="25"/>
  <c r="P27" i="25"/>
  <c r="S27" i="25"/>
  <c r="T27" i="25"/>
  <c r="V27" i="25"/>
  <c r="B28" i="25"/>
  <c r="O28" i="25"/>
  <c r="P28" i="25"/>
  <c r="S28" i="25"/>
  <c r="T28" i="25"/>
  <c r="V28" i="25"/>
  <c r="B29" i="25"/>
  <c r="N29" i="25"/>
  <c r="P29" i="25"/>
  <c r="S29" i="25"/>
  <c r="T29" i="25"/>
  <c r="V29" i="25"/>
  <c r="N30" i="25"/>
  <c r="O30" i="25"/>
  <c r="P30" i="25"/>
  <c r="S30" i="25"/>
  <c r="T30" i="25"/>
  <c r="V30" i="25"/>
  <c r="N35" i="25"/>
  <c r="P35" i="25"/>
  <c r="S35" i="25"/>
  <c r="T35" i="25"/>
  <c r="V35" i="25"/>
  <c r="N36" i="25"/>
  <c r="P36" i="25"/>
  <c r="S36" i="25"/>
  <c r="T36" i="25"/>
  <c r="V36" i="25"/>
  <c r="D6" i="16"/>
  <c r="D7" i="16"/>
  <c r="D12" i="16"/>
  <c r="C13" i="16"/>
  <c r="C14" i="16"/>
  <c r="C20" i="16"/>
  <c r="C21" i="16"/>
  <c r="D33" i="16"/>
  <c r="D34" i="16"/>
  <c r="C35" i="16"/>
  <c r="C39" i="16"/>
  <c r="C40" i="16"/>
  <c r="C41" i="16"/>
  <c r="D42" i="16"/>
  <c r="C43" i="16"/>
  <c r="D44" i="16"/>
  <c r="D53" i="16"/>
  <c r="D30" i="19"/>
  <c r="E30" i="19"/>
  <c r="F30" i="19"/>
  <c r="G30" i="19"/>
  <c r="H30" i="19"/>
  <c r="I30" i="19"/>
  <c r="J30" i="19"/>
  <c r="K30" i="19"/>
  <c r="L30" i="19"/>
  <c r="M30" i="19"/>
  <c r="N30" i="19"/>
  <c r="O30" i="19"/>
  <c r="P30" i="19"/>
  <c r="D33" i="19"/>
  <c r="E33" i="19"/>
  <c r="F33" i="19"/>
  <c r="G33" i="19"/>
  <c r="H33" i="19"/>
  <c r="I33" i="19"/>
  <c r="J33" i="19"/>
  <c r="K33" i="19"/>
  <c r="L33" i="19"/>
  <c r="M33" i="19"/>
  <c r="N33" i="19"/>
  <c r="O33" i="19"/>
  <c r="P33" i="19"/>
  <c r="D36" i="19"/>
  <c r="E36" i="19"/>
  <c r="F36" i="19"/>
  <c r="G36" i="19"/>
  <c r="H36" i="19"/>
  <c r="I36" i="19"/>
  <c r="J36" i="19"/>
  <c r="K36" i="19"/>
  <c r="L36" i="19"/>
  <c r="M36" i="19"/>
  <c r="N36" i="19"/>
  <c r="O36" i="19"/>
  <c r="P36" i="19"/>
  <c r="D38" i="19"/>
  <c r="E38" i="19"/>
  <c r="F38" i="19"/>
  <c r="G38" i="19"/>
  <c r="H38" i="19"/>
  <c r="I38" i="19"/>
  <c r="J38" i="19"/>
  <c r="K38" i="19"/>
  <c r="L38" i="19"/>
  <c r="M38" i="19"/>
  <c r="N38" i="19"/>
  <c r="O38" i="19"/>
  <c r="P38" i="19"/>
  <c r="D39" i="19"/>
  <c r="E39" i="19"/>
  <c r="F39" i="19"/>
  <c r="G39" i="19"/>
  <c r="H39" i="19"/>
  <c r="I39" i="19"/>
  <c r="J39" i="19"/>
  <c r="K39" i="19"/>
  <c r="L39" i="19"/>
  <c r="M39" i="19"/>
  <c r="N39" i="19"/>
  <c r="O39" i="19"/>
  <c r="P39" i="19"/>
  <c r="D41" i="19"/>
  <c r="E41" i="19"/>
  <c r="F41" i="19"/>
  <c r="G41" i="19"/>
  <c r="H41" i="19"/>
  <c r="I41" i="19"/>
  <c r="J41" i="19"/>
  <c r="K41" i="19"/>
  <c r="L41" i="19"/>
  <c r="M41" i="19"/>
  <c r="N41" i="19"/>
  <c r="O41" i="19"/>
  <c r="P41" i="19"/>
  <c r="D45" i="19"/>
  <c r="E45" i="19"/>
  <c r="F45" i="19"/>
  <c r="G45" i="19"/>
  <c r="H45" i="19"/>
  <c r="I45" i="19"/>
  <c r="J45" i="19"/>
  <c r="K45" i="19"/>
  <c r="L45" i="19"/>
  <c r="M45" i="19"/>
  <c r="N45" i="19"/>
  <c r="O45" i="19"/>
  <c r="P45" i="19"/>
  <c r="C5" i="18"/>
  <c r="D9" i="18"/>
  <c r="E9" i="18"/>
  <c r="F9" i="18"/>
  <c r="G9" i="18"/>
  <c r="H9" i="18"/>
  <c r="I9" i="18"/>
  <c r="J9" i="18"/>
  <c r="K9" i="18"/>
  <c r="L9" i="18"/>
  <c r="M9" i="18"/>
  <c r="N9" i="18"/>
  <c r="O9" i="18"/>
  <c r="P9" i="18"/>
  <c r="Q9" i="18"/>
  <c r="R9" i="18"/>
  <c r="S9" i="18"/>
  <c r="T9" i="18"/>
  <c r="U9" i="18"/>
  <c r="V9" i="18"/>
  <c r="W9" i="18"/>
  <c r="X9" i="18"/>
  <c r="Y9" i="18"/>
  <c r="Z9" i="18"/>
  <c r="AA9" i="18"/>
  <c r="C10" i="18"/>
  <c r="D10" i="18"/>
  <c r="E10" i="18"/>
  <c r="F10" i="18"/>
  <c r="G10" i="18"/>
  <c r="H10" i="18"/>
  <c r="I10" i="18"/>
  <c r="J10" i="18"/>
  <c r="K10" i="18"/>
  <c r="L10" i="18"/>
  <c r="M10" i="18"/>
  <c r="N10" i="18"/>
  <c r="O10" i="18"/>
  <c r="P10" i="18"/>
  <c r="Q10" i="18"/>
  <c r="R10" i="18"/>
  <c r="S10" i="18"/>
  <c r="T10" i="18"/>
  <c r="U10" i="18"/>
  <c r="V10" i="18"/>
  <c r="W10" i="18"/>
  <c r="X10" i="18"/>
  <c r="Y10" i="18"/>
  <c r="Z10" i="18"/>
  <c r="C11" i="18"/>
  <c r="D11" i="18"/>
  <c r="E11" i="18"/>
  <c r="F11" i="18"/>
  <c r="G11" i="18"/>
  <c r="H11" i="18"/>
  <c r="I11" i="18"/>
  <c r="J11" i="18"/>
  <c r="K11" i="18"/>
  <c r="L11" i="18"/>
  <c r="M11" i="18"/>
  <c r="N11" i="18"/>
  <c r="O11" i="18"/>
  <c r="P11" i="18"/>
  <c r="Q11" i="18"/>
  <c r="R11" i="18"/>
  <c r="S11" i="18"/>
  <c r="T11" i="18"/>
  <c r="U11" i="18"/>
  <c r="V11" i="18"/>
  <c r="W11" i="18"/>
  <c r="X11" i="18"/>
  <c r="Y11" i="18"/>
  <c r="Z11" i="18"/>
  <c r="AA11" i="18"/>
  <c r="C12" i="18"/>
  <c r="D12" i="18"/>
  <c r="E12" i="18"/>
  <c r="F12" i="18"/>
  <c r="G12" i="18"/>
  <c r="H12" i="18"/>
  <c r="I12" i="18"/>
  <c r="J12" i="18"/>
  <c r="K12" i="18"/>
  <c r="L12" i="18"/>
  <c r="M12" i="18"/>
  <c r="N12" i="18"/>
  <c r="O12" i="18"/>
  <c r="P12" i="18"/>
  <c r="Q12" i="18"/>
  <c r="R12" i="18"/>
  <c r="S12" i="18"/>
  <c r="T12" i="18"/>
  <c r="U12" i="18"/>
  <c r="V12" i="18"/>
  <c r="W12" i="18"/>
  <c r="X12" i="18"/>
  <c r="Y12" i="18"/>
  <c r="Z12" i="18"/>
  <c r="AA12" i="18"/>
  <c r="C16" i="18"/>
  <c r="J20" i="18"/>
  <c r="K20" i="18"/>
  <c r="L20" i="18"/>
  <c r="M20" i="18"/>
  <c r="N20" i="18"/>
  <c r="O20" i="18"/>
  <c r="P20" i="18"/>
  <c r="Q20" i="18"/>
  <c r="R20" i="18"/>
  <c r="S20" i="18"/>
  <c r="T20" i="18"/>
  <c r="U20" i="18"/>
  <c r="V20" i="18"/>
  <c r="W20" i="18"/>
  <c r="X20" i="18"/>
  <c r="Y20" i="18"/>
  <c r="Z20" i="18"/>
  <c r="AA20" i="18"/>
  <c r="I21" i="18"/>
  <c r="J21" i="18"/>
  <c r="K21" i="18"/>
  <c r="L21" i="18"/>
  <c r="M21" i="18"/>
  <c r="N21" i="18"/>
  <c r="O21" i="18"/>
  <c r="P21" i="18"/>
  <c r="Q21" i="18"/>
  <c r="R21" i="18"/>
  <c r="S21" i="18"/>
  <c r="T21" i="18"/>
  <c r="U21" i="18"/>
  <c r="V21" i="18"/>
  <c r="W21" i="18"/>
  <c r="X21" i="18"/>
  <c r="Y21" i="18"/>
  <c r="Z21" i="18"/>
  <c r="V22" i="18"/>
  <c r="AA22" i="18"/>
  <c r="I23" i="18"/>
  <c r="J23" i="18"/>
  <c r="K23" i="18"/>
  <c r="L23" i="18"/>
  <c r="M23" i="18"/>
  <c r="N23" i="18"/>
  <c r="O23" i="18"/>
  <c r="P23" i="18"/>
  <c r="Q23" i="18"/>
  <c r="R23" i="18"/>
  <c r="S23" i="18"/>
  <c r="T23" i="18"/>
  <c r="U23" i="18"/>
  <c r="V23" i="18"/>
  <c r="W23" i="18"/>
  <c r="X23" i="18"/>
  <c r="Y23" i="18"/>
  <c r="Z23" i="18"/>
  <c r="AA23" i="18"/>
  <c r="I24" i="18"/>
  <c r="J24" i="18"/>
  <c r="K24" i="18"/>
  <c r="L24" i="18"/>
  <c r="M24" i="18"/>
  <c r="N24" i="18"/>
  <c r="O24" i="18"/>
  <c r="P24" i="18"/>
  <c r="Q24" i="18"/>
  <c r="R24" i="18"/>
  <c r="S24" i="18"/>
  <c r="T24" i="18"/>
  <c r="U24" i="18"/>
  <c r="V24" i="18"/>
  <c r="W24" i="18"/>
  <c r="X24" i="18"/>
  <c r="Y24" i="18"/>
  <c r="Z24" i="18"/>
  <c r="AA24" i="18"/>
  <c r="C28" i="18"/>
  <c r="D29" i="18"/>
  <c r="D33" i="18"/>
  <c r="E33" i="18"/>
  <c r="F33" i="18"/>
  <c r="G33" i="18"/>
  <c r="H33" i="18"/>
  <c r="I33" i="18"/>
  <c r="J33" i="18"/>
  <c r="K33" i="18"/>
  <c r="L33" i="18"/>
  <c r="M33" i="18"/>
  <c r="N33" i="18"/>
  <c r="O33" i="18"/>
  <c r="P33" i="18"/>
  <c r="Q33" i="18"/>
  <c r="R33" i="18"/>
  <c r="S33" i="18"/>
  <c r="D34" i="18"/>
  <c r="E34" i="18"/>
  <c r="F34" i="18"/>
  <c r="G34" i="18"/>
  <c r="H34" i="18"/>
  <c r="I34" i="18"/>
  <c r="J34" i="18"/>
  <c r="K34" i="18"/>
  <c r="L34" i="18"/>
  <c r="M34" i="18"/>
  <c r="N34" i="18"/>
  <c r="O34" i="18"/>
  <c r="P34" i="18"/>
  <c r="Q34" i="18"/>
  <c r="R34" i="18"/>
  <c r="S34" i="18"/>
  <c r="D35" i="18"/>
  <c r="E35" i="18"/>
  <c r="F35" i="18"/>
  <c r="G35" i="18"/>
  <c r="H35" i="18"/>
  <c r="I35" i="18"/>
  <c r="J35" i="18"/>
  <c r="K35" i="18"/>
  <c r="L35" i="18"/>
  <c r="M35" i="18"/>
  <c r="N35" i="18"/>
  <c r="O35" i="18"/>
  <c r="P35" i="18"/>
  <c r="Q35" i="18"/>
  <c r="R35" i="18"/>
  <c r="S35" i="18"/>
  <c r="D36" i="18"/>
  <c r="E36" i="18"/>
  <c r="F36" i="18"/>
  <c r="G36" i="18"/>
  <c r="H36" i="18"/>
  <c r="I36" i="18"/>
  <c r="J36" i="18"/>
  <c r="K36" i="18"/>
  <c r="L36" i="18"/>
  <c r="M36" i="18"/>
  <c r="N36" i="18"/>
  <c r="O36" i="18"/>
  <c r="P36" i="18"/>
  <c r="Q36" i="18"/>
  <c r="R36" i="18"/>
  <c r="S36" i="18"/>
  <c r="D37" i="18"/>
  <c r="E37" i="18"/>
  <c r="F37" i="18"/>
  <c r="G37" i="18"/>
  <c r="H37" i="18"/>
  <c r="I37" i="18"/>
  <c r="J37" i="18"/>
  <c r="K37" i="18"/>
  <c r="L37" i="18"/>
  <c r="M37" i="18"/>
  <c r="N37" i="18"/>
  <c r="O37" i="18"/>
  <c r="P37" i="18"/>
  <c r="Q37" i="18"/>
  <c r="R37" i="18"/>
  <c r="S37" i="18"/>
  <c r="D38" i="18"/>
  <c r="E38" i="18"/>
  <c r="F38" i="18"/>
  <c r="G38" i="18"/>
  <c r="H38" i="18"/>
  <c r="I38" i="18"/>
  <c r="J38" i="18"/>
  <c r="K38" i="18"/>
  <c r="L38" i="18"/>
  <c r="M38" i="18"/>
  <c r="N38" i="18"/>
  <c r="O38" i="18"/>
  <c r="P38" i="18"/>
  <c r="Q38" i="18"/>
  <c r="R38" i="18"/>
  <c r="S38" i="18"/>
  <c r="D40" i="18"/>
  <c r="E40" i="18"/>
  <c r="F40" i="18"/>
  <c r="G40" i="18"/>
  <c r="H40" i="18"/>
  <c r="I40" i="18"/>
  <c r="J40" i="18"/>
  <c r="K40" i="18"/>
  <c r="L40" i="18"/>
  <c r="M40" i="18"/>
  <c r="N40" i="18"/>
  <c r="O40" i="18"/>
  <c r="P40" i="18"/>
  <c r="Q40" i="18"/>
  <c r="R40" i="18"/>
  <c r="S40" i="18"/>
  <c r="C44" i="18"/>
  <c r="C48" i="18"/>
  <c r="D48" i="18"/>
  <c r="E48" i="18"/>
  <c r="F48" i="18"/>
  <c r="G48" i="18"/>
  <c r="H48" i="18"/>
  <c r="I48" i="18"/>
  <c r="J48" i="18"/>
  <c r="K48" i="18"/>
  <c r="L48" i="18"/>
  <c r="M48" i="18"/>
  <c r="N48" i="18"/>
  <c r="O48" i="18"/>
  <c r="P48" i="18"/>
  <c r="Q48" i="18"/>
  <c r="R48" i="18"/>
  <c r="S48" i="18"/>
  <c r="C49" i="18"/>
  <c r="D49" i="18"/>
  <c r="E49" i="18"/>
  <c r="F49" i="18"/>
  <c r="G49" i="18"/>
  <c r="H49" i="18"/>
  <c r="I49" i="18"/>
  <c r="J49" i="18"/>
  <c r="K49" i="18"/>
  <c r="L49" i="18"/>
  <c r="M49" i="18"/>
  <c r="N49" i="18"/>
  <c r="O49" i="18"/>
  <c r="P49" i="18"/>
  <c r="Q49" i="18"/>
  <c r="R49" i="18"/>
  <c r="S49" i="18"/>
  <c r="C50" i="18"/>
  <c r="D50" i="18"/>
  <c r="E50" i="18"/>
  <c r="F50" i="18"/>
  <c r="G50" i="18"/>
  <c r="H50" i="18"/>
  <c r="I50" i="18"/>
  <c r="J50" i="18"/>
  <c r="K50" i="18"/>
  <c r="L50" i="18"/>
  <c r="M50" i="18"/>
  <c r="N50" i="18"/>
  <c r="O50" i="18"/>
  <c r="P50" i="18"/>
  <c r="Q50" i="18"/>
  <c r="R50" i="18"/>
  <c r="S50" i="18"/>
  <c r="C51" i="18"/>
  <c r="D51" i="18"/>
  <c r="E51" i="18"/>
  <c r="F51" i="18"/>
  <c r="G51" i="18"/>
  <c r="H51" i="18"/>
  <c r="I51" i="18"/>
  <c r="J51" i="18"/>
  <c r="K51" i="18"/>
  <c r="L51" i="18"/>
  <c r="M51" i="18"/>
  <c r="N51" i="18"/>
  <c r="O51" i="18"/>
  <c r="P51" i="18"/>
  <c r="Q51" i="18"/>
  <c r="R51" i="18"/>
  <c r="S51" i="18"/>
  <c r="B4" i="24"/>
  <c r="E4" i="24"/>
  <c r="F4" i="24"/>
  <c r="B5" i="24"/>
  <c r="E5" i="24"/>
  <c r="F5" i="24"/>
  <c r="B7" i="24"/>
  <c r="E7" i="24"/>
  <c r="F7" i="24"/>
  <c r="B8" i="24"/>
  <c r="D8" i="24"/>
  <c r="E8" i="24"/>
  <c r="F8" i="24"/>
  <c r="B10" i="24"/>
  <c r="E10" i="24"/>
  <c r="F10" i="24"/>
  <c r="B11" i="24"/>
  <c r="E11" i="24"/>
  <c r="F11" i="24"/>
  <c r="B12" i="24"/>
  <c r="E12" i="24"/>
  <c r="F12" i="24"/>
  <c r="B14" i="24"/>
  <c r="D15" i="24"/>
  <c r="E15" i="24"/>
  <c r="F15" i="24"/>
  <c r="B16" i="24"/>
  <c r="D16" i="24"/>
  <c r="E16" i="24"/>
  <c r="F16" i="24"/>
  <c r="B17" i="24"/>
  <c r="D17" i="24"/>
  <c r="E17" i="24"/>
  <c r="F17" i="24"/>
  <c r="B18" i="24"/>
  <c r="D18" i="24"/>
  <c r="E18" i="24"/>
  <c r="F18" i="24"/>
  <c r="B19" i="24"/>
  <c r="D19" i="24"/>
  <c r="E19" i="24"/>
  <c r="F19" i="24"/>
  <c r="B22" i="24"/>
  <c r="E22" i="24"/>
  <c r="F22" i="24"/>
  <c r="B31" i="24"/>
  <c r="E31" i="24"/>
  <c r="F31" i="24"/>
  <c r="B36" i="24"/>
  <c r="D36" i="24"/>
  <c r="E36" i="24"/>
  <c r="F36" i="24"/>
  <c r="H34" i="5"/>
  <c r="I34" i="5"/>
  <c r="J34" i="5"/>
  <c r="K34" i="5"/>
  <c r="H36" i="5"/>
  <c r="I36" i="5"/>
  <c r="J36" i="5"/>
  <c r="K36" i="5"/>
  <c r="H38" i="5"/>
  <c r="I38" i="5"/>
  <c r="J38" i="5"/>
  <c r="K38" i="5"/>
  <c r="J39" i="5"/>
  <c r="K39" i="5"/>
  <c r="D10" i="14"/>
  <c r="G10" i="14"/>
  <c r="H10" i="14"/>
  <c r="I10" i="14"/>
  <c r="J10" i="14"/>
  <c r="K10" i="14"/>
  <c r="L10" i="14"/>
  <c r="M10" i="14"/>
  <c r="N10" i="14"/>
  <c r="O10" i="14"/>
  <c r="P10" i="14"/>
  <c r="Q10" i="14"/>
  <c r="R10" i="14"/>
  <c r="S10" i="14"/>
  <c r="T10" i="14"/>
  <c r="U10" i="14"/>
  <c r="V10" i="14"/>
  <c r="W10" i="14"/>
  <c r="X10" i="14"/>
  <c r="Y10" i="14"/>
  <c r="Z10" i="14"/>
  <c r="AA10" i="14"/>
  <c r="AB10" i="14"/>
  <c r="AC10" i="14"/>
  <c r="AD10" i="14"/>
  <c r="D11" i="14"/>
  <c r="M11" i="14"/>
  <c r="N11" i="14"/>
  <c r="O11" i="14"/>
  <c r="P11" i="14"/>
  <c r="Q11" i="14"/>
  <c r="R11" i="14"/>
  <c r="S11" i="14"/>
  <c r="T11" i="14"/>
  <c r="U11" i="14"/>
  <c r="V11" i="14"/>
  <c r="W11" i="14"/>
  <c r="X11" i="14"/>
  <c r="Y11" i="14"/>
  <c r="Z11" i="14"/>
  <c r="AA11" i="14"/>
  <c r="AB11" i="14"/>
  <c r="AC11" i="14"/>
  <c r="AD11" i="14"/>
  <c r="D12" i="14"/>
  <c r="Z12" i="14"/>
  <c r="AE12" i="14"/>
  <c r="D14" i="14"/>
  <c r="G14" i="14"/>
  <c r="H14" i="14"/>
  <c r="I14" i="14"/>
  <c r="J14" i="14"/>
  <c r="K14" i="14"/>
  <c r="L14" i="14"/>
  <c r="M14" i="14"/>
  <c r="N14" i="14"/>
  <c r="O14" i="14"/>
  <c r="P14" i="14"/>
  <c r="Q14" i="14"/>
  <c r="R14" i="14"/>
  <c r="S14" i="14"/>
  <c r="T14" i="14"/>
  <c r="U14" i="14"/>
  <c r="V14" i="14"/>
  <c r="W14" i="14"/>
  <c r="X14" i="14"/>
  <c r="Y14" i="14"/>
  <c r="Z14" i="14"/>
  <c r="AA14" i="14"/>
  <c r="AB14" i="14"/>
  <c r="AC14" i="14"/>
  <c r="AD14" i="14"/>
  <c r="AE14" i="14"/>
  <c r="D16" i="14"/>
  <c r="E16" i="14"/>
  <c r="G16" i="14"/>
  <c r="Z16" i="14"/>
  <c r="AE16" i="14"/>
  <c r="D24" i="14"/>
  <c r="E24" i="14"/>
  <c r="M24" i="14"/>
  <c r="N24" i="14"/>
  <c r="O24" i="14"/>
  <c r="P24" i="14"/>
  <c r="Q24" i="14"/>
  <c r="R24" i="14"/>
  <c r="S24" i="14"/>
  <c r="T24" i="14"/>
  <c r="U24" i="14"/>
  <c r="V24" i="14"/>
  <c r="W24" i="14"/>
  <c r="X24" i="14"/>
  <c r="Y24" i="14"/>
  <c r="Z24" i="14"/>
  <c r="AA24" i="14"/>
  <c r="AB24" i="14"/>
  <c r="AC24" i="14"/>
  <c r="AD24" i="14"/>
  <c r="D26" i="14"/>
  <c r="M26" i="14"/>
  <c r="N26" i="14"/>
  <c r="O26" i="14"/>
  <c r="P26" i="14"/>
  <c r="Q26" i="14"/>
  <c r="R26" i="14"/>
  <c r="S26" i="14"/>
  <c r="T26" i="14"/>
  <c r="U26" i="14"/>
  <c r="V26" i="14"/>
  <c r="W26" i="14"/>
  <c r="X26" i="14"/>
  <c r="Y26" i="14"/>
  <c r="Z26" i="14"/>
  <c r="AA26" i="14"/>
  <c r="AB26" i="14"/>
  <c r="AC26" i="14"/>
  <c r="AD26" i="14"/>
  <c r="D28" i="14"/>
  <c r="E28" i="14"/>
  <c r="G28" i="14"/>
  <c r="H28" i="14"/>
  <c r="I28" i="14"/>
  <c r="J28" i="14"/>
  <c r="K28" i="14"/>
  <c r="L28" i="14"/>
  <c r="M28" i="14"/>
  <c r="N28" i="14"/>
  <c r="O28" i="14"/>
  <c r="P28" i="14"/>
  <c r="Q28" i="14"/>
  <c r="R28" i="14"/>
  <c r="S28" i="14"/>
  <c r="T28" i="14"/>
  <c r="U28" i="14"/>
  <c r="V28" i="14"/>
  <c r="W28" i="14"/>
  <c r="X28" i="14"/>
  <c r="Y28" i="14"/>
  <c r="Z28" i="14"/>
  <c r="AA28" i="14"/>
  <c r="AB28" i="14"/>
  <c r="AC28" i="14"/>
  <c r="AD28" i="14"/>
  <c r="AE28" i="14"/>
  <c r="D33" i="14"/>
  <c r="E33" i="14"/>
  <c r="M33" i="14"/>
  <c r="N33" i="14"/>
  <c r="O33" i="14"/>
  <c r="P33" i="14"/>
  <c r="Q33" i="14"/>
  <c r="R33" i="14"/>
  <c r="S33" i="14"/>
  <c r="T33" i="14"/>
  <c r="U33" i="14"/>
  <c r="V33" i="14"/>
  <c r="W33" i="14"/>
  <c r="X33" i="14"/>
  <c r="Y33" i="14"/>
  <c r="Z33" i="14"/>
  <c r="AA33" i="14"/>
  <c r="AB33" i="14"/>
  <c r="AC33" i="14"/>
  <c r="AD33" i="14"/>
  <c r="D34" i="14"/>
  <c r="E34" i="14"/>
  <c r="G34" i="14"/>
  <c r="H34" i="14"/>
  <c r="I34" i="14"/>
  <c r="J34" i="14"/>
  <c r="K34" i="14"/>
  <c r="L34" i="14"/>
  <c r="D35" i="14"/>
  <c r="E35" i="14"/>
  <c r="M35" i="14"/>
  <c r="N35" i="14"/>
  <c r="O35" i="14"/>
  <c r="P35" i="14"/>
  <c r="Q35" i="14"/>
  <c r="R35" i="14"/>
  <c r="S35" i="14"/>
  <c r="T35" i="14"/>
  <c r="U35" i="14"/>
  <c r="V35" i="14"/>
  <c r="W35" i="14"/>
  <c r="X35" i="14"/>
  <c r="Y35" i="14"/>
  <c r="Z35" i="14"/>
  <c r="AA35" i="14"/>
  <c r="AB35" i="14"/>
  <c r="AC35" i="14"/>
  <c r="AD35" i="14"/>
  <c r="D37" i="14"/>
  <c r="E37" i="14"/>
  <c r="G37" i="14"/>
  <c r="H37" i="14"/>
  <c r="I37" i="14"/>
  <c r="J37" i="14"/>
  <c r="K37" i="14"/>
  <c r="L37" i="14"/>
  <c r="M37" i="14"/>
  <c r="N37" i="14"/>
  <c r="O37" i="14"/>
  <c r="P37" i="14"/>
  <c r="Q37" i="14"/>
  <c r="R37" i="14"/>
  <c r="S37" i="14"/>
  <c r="T37" i="14"/>
  <c r="U37" i="14"/>
  <c r="V37" i="14"/>
  <c r="W37" i="14"/>
  <c r="X37" i="14"/>
  <c r="Y37" i="14"/>
  <c r="Z37" i="14"/>
  <c r="AA37" i="14"/>
  <c r="AB37" i="14"/>
  <c r="AC37" i="14"/>
  <c r="AD37" i="14"/>
  <c r="D39" i="14"/>
  <c r="E39" i="14"/>
  <c r="AD39" i="14"/>
  <c r="AE39" i="14"/>
  <c r="D41" i="14"/>
  <c r="G41" i="14"/>
  <c r="H41" i="14"/>
  <c r="I41" i="14"/>
  <c r="J41" i="14"/>
  <c r="K41" i="14"/>
  <c r="L41" i="14"/>
  <c r="M41" i="14"/>
  <c r="N41" i="14"/>
  <c r="O41" i="14"/>
  <c r="P41" i="14"/>
  <c r="Q41" i="14"/>
  <c r="R41" i="14"/>
  <c r="S41" i="14"/>
  <c r="T41" i="14"/>
  <c r="U41" i="14"/>
  <c r="V41" i="14"/>
  <c r="W41" i="14"/>
  <c r="X41" i="14"/>
  <c r="Y41" i="14"/>
  <c r="Z41" i="14"/>
  <c r="AA41" i="14"/>
  <c r="AB41" i="14"/>
  <c r="AC41" i="14"/>
  <c r="AD41" i="14"/>
  <c r="AE41" i="14"/>
  <c r="D42" i="14"/>
  <c r="M42" i="14"/>
  <c r="N42" i="14"/>
  <c r="O42" i="14"/>
  <c r="P42" i="14"/>
  <c r="Q42" i="14"/>
  <c r="R42" i="14"/>
  <c r="S42" i="14"/>
  <c r="T42" i="14"/>
  <c r="U42" i="14"/>
  <c r="V42" i="14"/>
  <c r="W42" i="14"/>
  <c r="X42" i="14"/>
  <c r="Y42" i="14"/>
  <c r="Z42" i="14"/>
  <c r="AA42" i="14"/>
  <c r="AB42" i="14"/>
  <c r="AC42" i="14"/>
  <c r="AD42" i="14"/>
  <c r="AE42" i="14"/>
  <c r="D44" i="14"/>
  <c r="E44" i="14"/>
  <c r="G44" i="14"/>
  <c r="H44" i="14"/>
  <c r="I44" i="14"/>
  <c r="J44" i="14"/>
  <c r="K44" i="14"/>
  <c r="L44" i="14"/>
  <c r="M44" i="14"/>
  <c r="N44" i="14"/>
  <c r="O44" i="14"/>
  <c r="P44" i="14"/>
  <c r="Q44" i="14"/>
  <c r="R44" i="14"/>
  <c r="S44" i="14"/>
  <c r="T44" i="14"/>
  <c r="U44" i="14"/>
  <c r="V44" i="14"/>
  <c r="W44" i="14"/>
  <c r="X44" i="14"/>
  <c r="Y44" i="14"/>
  <c r="Z44" i="14"/>
  <c r="AA44" i="14"/>
  <c r="AB44" i="14"/>
  <c r="AC44" i="14"/>
  <c r="AD44" i="14"/>
  <c r="AE44" i="14"/>
  <c r="D46" i="14"/>
  <c r="E46" i="14"/>
  <c r="G46" i="14"/>
  <c r="D48" i="14"/>
  <c r="E48" i="14"/>
  <c r="G48" i="14"/>
  <c r="H48" i="14"/>
  <c r="I48" i="14"/>
  <c r="J48" i="14"/>
  <c r="K48" i="14"/>
  <c r="L48" i="14"/>
  <c r="M48" i="14"/>
  <c r="N48" i="14"/>
  <c r="O48" i="14"/>
  <c r="P48" i="14"/>
  <c r="Q48" i="14"/>
  <c r="R48" i="14"/>
  <c r="S48" i="14"/>
  <c r="T48" i="14"/>
  <c r="U48" i="14"/>
  <c r="V48" i="14"/>
  <c r="W48" i="14"/>
  <c r="X48" i="14"/>
  <c r="Y48" i="14"/>
  <c r="Z48" i="14"/>
  <c r="AA48" i="14"/>
  <c r="AB48" i="14"/>
  <c r="AC48" i="14"/>
  <c r="AD48" i="14"/>
  <c r="AE48" i="14"/>
  <c r="D49" i="14"/>
  <c r="G49" i="14"/>
  <c r="H49" i="14"/>
  <c r="I49" i="14"/>
  <c r="J49" i="14"/>
  <c r="K49" i="14"/>
  <c r="L49" i="14"/>
  <c r="M49" i="14"/>
  <c r="N49" i="14"/>
  <c r="O49" i="14"/>
  <c r="P49" i="14"/>
  <c r="Q49" i="14"/>
  <c r="R49" i="14"/>
  <c r="S49" i="14"/>
  <c r="T49" i="14"/>
  <c r="U49" i="14"/>
  <c r="V49" i="14"/>
  <c r="W49" i="14"/>
  <c r="X49" i="14"/>
  <c r="Y49" i="14"/>
  <c r="Z49" i="14"/>
  <c r="AA49" i="14"/>
  <c r="AB49" i="14"/>
  <c r="AC49" i="14"/>
  <c r="AD49" i="14"/>
  <c r="AE49" i="14"/>
  <c r="G50" i="14"/>
  <c r="H50" i="14"/>
  <c r="I50" i="14"/>
  <c r="J50" i="14"/>
  <c r="K50" i="14"/>
  <c r="L50" i="14"/>
  <c r="M50" i="14"/>
  <c r="N50" i="14"/>
  <c r="O50" i="14"/>
  <c r="P50" i="14"/>
  <c r="Q50" i="14"/>
  <c r="R50" i="14"/>
  <c r="S50" i="14"/>
  <c r="T50" i="14"/>
  <c r="U50" i="14"/>
  <c r="V50" i="14"/>
  <c r="W50" i="14"/>
  <c r="X50" i="14"/>
  <c r="Y50" i="14"/>
  <c r="Z50" i="14"/>
  <c r="AA50" i="14"/>
  <c r="AB50" i="14"/>
  <c r="AC50" i="14"/>
  <c r="AD50" i="14"/>
  <c r="AE50" i="14"/>
  <c r="G51" i="14"/>
  <c r="H51" i="14"/>
  <c r="I51" i="14"/>
  <c r="J51" i="14"/>
  <c r="K51" i="14"/>
  <c r="L51" i="14"/>
  <c r="M51" i="14"/>
  <c r="N51" i="14"/>
  <c r="O51" i="14"/>
  <c r="P51" i="14"/>
  <c r="Q51" i="14"/>
  <c r="R51" i="14"/>
  <c r="S51" i="14"/>
  <c r="T51" i="14"/>
  <c r="U51" i="14"/>
  <c r="V51" i="14"/>
  <c r="W51" i="14"/>
  <c r="X51" i="14"/>
  <c r="Y51" i="14"/>
  <c r="Z51" i="14"/>
  <c r="AA51" i="14"/>
  <c r="AB51" i="14"/>
  <c r="AC51" i="14"/>
  <c r="AD51" i="14"/>
  <c r="AE51" i="14"/>
  <c r="G52" i="14"/>
  <c r="H52" i="14"/>
  <c r="I52" i="14"/>
  <c r="J52" i="14"/>
  <c r="K52" i="14"/>
  <c r="L52" i="14"/>
  <c r="M52" i="14"/>
  <c r="N52" i="14"/>
  <c r="O52" i="14"/>
  <c r="P52" i="14"/>
  <c r="Q52" i="14"/>
  <c r="R52" i="14"/>
  <c r="S52" i="14"/>
  <c r="T52" i="14"/>
  <c r="U52" i="14"/>
  <c r="V52" i="14"/>
  <c r="W52" i="14"/>
  <c r="X52" i="14"/>
  <c r="Y52" i="14"/>
  <c r="Z52" i="14"/>
  <c r="AA52" i="14"/>
  <c r="AB52" i="14"/>
  <c r="AC52" i="14"/>
  <c r="AD52" i="14"/>
  <c r="AE52" i="14"/>
  <c r="G6" i="2"/>
  <c r="I6" i="2"/>
  <c r="E10" i="2"/>
  <c r="G10" i="2"/>
  <c r="I10" i="2"/>
  <c r="E12" i="2"/>
  <c r="G12" i="2"/>
  <c r="I12" i="2"/>
  <c r="E14" i="2"/>
  <c r="G14" i="2"/>
  <c r="I14" i="2"/>
  <c r="E16" i="2"/>
  <c r="E17" i="2"/>
  <c r="E19" i="2"/>
  <c r="E21" i="2"/>
  <c r="E22" i="2"/>
  <c r="G22" i="2"/>
  <c r="I22" i="2"/>
  <c r="E24" i="2"/>
  <c r="G24" i="2"/>
  <c r="I24" i="2"/>
  <c r="E26" i="2"/>
  <c r="G26" i="2"/>
  <c r="I26" i="2"/>
  <c r="E30" i="2"/>
  <c r="E32" i="2"/>
  <c r="E34" i="2"/>
  <c r="E35" i="2"/>
  <c r="E36" i="2"/>
  <c r="E37" i="2"/>
  <c r="E38" i="2"/>
  <c r="G38" i="2"/>
  <c r="I38" i="2"/>
  <c r="E39" i="2"/>
  <c r="G39" i="2"/>
  <c r="I39" i="2"/>
  <c r="E40" i="2"/>
  <c r="G40" i="2"/>
  <c r="I40" i="2"/>
  <c r="E41" i="2"/>
  <c r="G41" i="2"/>
  <c r="I41" i="2"/>
  <c r="E43" i="2"/>
  <c r="G43" i="2"/>
  <c r="I43" i="2"/>
  <c r="E45" i="2"/>
  <c r="E46" i="2"/>
  <c r="E47" i="2"/>
  <c r="G47" i="2"/>
  <c r="I47" i="2"/>
  <c r="E48" i="2"/>
  <c r="G48" i="2"/>
  <c r="I48" i="2"/>
  <c r="E49" i="2"/>
  <c r="E50" i="2"/>
  <c r="E51" i="2"/>
  <c r="E52" i="2"/>
  <c r="G52" i="2"/>
  <c r="I52" i="2"/>
  <c r="E53" i="2"/>
  <c r="E54" i="2"/>
  <c r="E55" i="2"/>
  <c r="E56" i="2"/>
  <c r="E57" i="2"/>
  <c r="E58" i="2"/>
  <c r="E59" i="2"/>
  <c r="E61" i="2"/>
  <c r="G61" i="2"/>
  <c r="I61" i="2"/>
  <c r="E63" i="2"/>
  <c r="G63" i="2"/>
  <c r="I63" i="2"/>
  <c r="E65" i="2"/>
  <c r="G65" i="2"/>
  <c r="I65" i="2"/>
  <c r="E67" i="2"/>
  <c r="G67" i="2"/>
  <c r="I67" i="2"/>
  <c r="E68" i="2"/>
  <c r="G68" i="2"/>
  <c r="I68" i="2"/>
  <c r="E69" i="2"/>
  <c r="E70" i="2"/>
  <c r="E72" i="2"/>
  <c r="G72" i="2"/>
  <c r="I72" i="2"/>
  <c r="E74" i="2"/>
  <c r="G74" i="2"/>
  <c r="I74" i="2"/>
  <c r="E76" i="2"/>
  <c r="G76" i="2"/>
  <c r="I76" i="2"/>
  <c r="E78" i="2"/>
  <c r="G78" i="2"/>
  <c r="I78" i="2"/>
  <c r="I80" i="2"/>
  <c r="I81" i="2"/>
  <c r="I82" i="2"/>
  <c r="I84" i="2"/>
  <c r="B5" i="22"/>
  <c r="C5" i="22"/>
  <c r="D5" i="22"/>
  <c r="E5" i="22"/>
  <c r="F5" i="22"/>
  <c r="G5" i="22"/>
  <c r="H5" i="22"/>
  <c r="I5" i="22"/>
  <c r="J5" i="22"/>
  <c r="K5" i="22"/>
  <c r="L5" i="22"/>
  <c r="M5" i="22"/>
  <c r="N5" i="22"/>
  <c r="O5" i="22"/>
  <c r="P5" i="22"/>
  <c r="Q5" i="22"/>
  <c r="R5" i="22"/>
  <c r="B7" i="22"/>
  <c r="C7" i="22"/>
  <c r="D7" i="22"/>
  <c r="E7" i="22"/>
  <c r="F7" i="22"/>
  <c r="G7" i="22"/>
  <c r="H7" i="22"/>
  <c r="I7" i="22"/>
  <c r="J7" i="22"/>
  <c r="K7" i="22"/>
  <c r="L7" i="22"/>
  <c r="M7" i="22"/>
  <c r="N7" i="22"/>
  <c r="O7" i="22"/>
  <c r="P7" i="22"/>
  <c r="Q7" i="22"/>
  <c r="R7" i="22"/>
  <c r="B8" i="22"/>
  <c r="C8" i="22"/>
  <c r="D8" i="22"/>
  <c r="E8" i="22"/>
  <c r="F8" i="22"/>
  <c r="G8" i="22"/>
  <c r="H8" i="22"/>
  <c r="I8" i="22"/>
  <c r="J8" i="22"/>
  <c r="K8" i="22"/>
  <c r="L8" i="22"/>
  <c r="M8" i="22"/>
  <c r="N8" i="22"/>
  <c r="O8" i="22"/>
  <c r="P8" i="22"/>
  <c r="Q8" i="22"/>
  <c r="R8" i="22"/>
  <c r="B9" i="22"/>
  <c r="C9" i="22"/>
  <c r="D9" i="22"/>
  <c r="E9" i="22"/>
  <c r="F9" i="22"/>
  <c r="G9" i="22"/>
  <c r="H9" i="22"/>
  <c r="I9" i="22"/>
  <c r="J9" i="22"/>
  <c r="K9" i="22"/>
  <c r="L9" i="22"/>
  <c r="M9" i="22"/>
  <c r="N9" i="22"/>
  <c r="O9" i="22"/>
  <c r="P9" i="22"/>
  <c r="Q9" i="22"/>
  <c r="R9" i="22"/>
  <c r="B11" i="22"/>
  <c r="C11" i="22"/>
  <c r="D11" i="22"/>
  <c r="E11" i="22"/>
  <c r="F11" i="22"/>
  <c r="G11" i="22"/>
  <c r="H11" i="22"/>
  <c r="I11" i="22"/>
  <c r="J11" i="22"/>
  <c r="K11" i="22"/>
  <c r="L11" i="22"/>
  <c r="M11" i="22"/>
  <c r="N11" i="22"/>
  <c r="O11" i="22"/>
  <c r="P11" i="22"/>
  <c r="Q11" i="22"/>
  <c r="R11" i="22"/>
  <c r="B13" i="22"/>
  <c r="C13" i="22"/>
  <c r="D13" i="22"/>
  <c r="E13" i="22"/>
  <c r="F13" i="22"/>
  <c r="G13" i="22"/>
  <c r="H13" i="22"/>
  <c r="I13" i="22"/>
  <c r="J13" i="22"/>
  <c r="K13" i="22"/>
  <c r="L13" i="22"/>
  <c r="M13" i="22"/>
  <c r="N13" i="22"/>
  <c r="O13" i="22"/>
  <c r="P13" i="22"/>
  <c r="Q13" i="22"/>
  <c r="R13" i="22"/>
  <c r="B17" i="22"/>
  <c r="C17" i="22"/>
  <c r="D17" i="22"/>
  <c r="E17" i="22"/>
  <c r="F17" i="22"/>
  <c r="G17" i="22"/>
  <c r="H17" i="22"/>
  <c r="I17" i="22"/>
  <c r="J17" i="22"/>
  <c r="K17" i="22"/>
  <c r="L17" i="22"/>
  <c r="M17" i="22"/>
  <c r="N17" i="22"/>
  <c r="O17" i="22"/>
  <c r="P17" i="22"/>
  <c r="Q17" i="22"/>
  <c r="R17" i="22"/>
  <c r="B18" i="22"/>
  <c r="C18" i="22"/>
  <c r="D18" i="22"/>
  <c r="E18" i="22"/>
  <c r="F18" i="22"/>
  <c r="G18" i="22"/>
  <c r="H18" i="22"/>
  <c r="I18" i="22"/>
  <c r="J18" i="22"/>
  <c r="K18" i="22"/>
  <c r="L18" i="22"/>
  <c r="M18" i="22"/>
  <c r="N18" i="22"/>
  <c r="O18" i="22"/>
  <c r="P18" i="22"/>
  <c r="Q18" i="22"/>
  <c r="R18" i="22"/>
  <c r="B19" i="22"/>
  <c r="C19" i="22"/>
  <c r="D19" i="22"/>
  <c r="E19" i="22"/>
  <c r="F19" i="22"/>
  <c r="G19" i="22"/>
  <c r="H19" i="22"/>
  <c r="I19" i="22"/>
  <c r="J19" i="22"/>
  <c r="K19" i="22"/>
  <c r="L19" i="22"/>
  <c r="M19" i="22"/>
  <c r="N19" i="22"/>
  <c r="O19" i="22"/>
  <c r="P19" i="22"/>
  <c r="Q19" i="22"/>
  <c r="R19" i="22"/>
  <c r="C23" i="22"/>
  <c r="D23" i="22"/>
  <c r="E23" i="22"/>
  <c r="F23" i="22"/>
  <c r="G23" i="22"/>
  <c r="H23" i="22"/>
  <c r="I23" i="22"/>
  <c r="J23" i="22"/>
  <c r="K23" i="22"/>
  <c r="L23" i="22"/>
  <c r="M23" i="22"/>
  <c r="N23" i="22"/>
  <c r="O23" i="22"/>
  <c r="P23" i="22"/>
  <c r="Q23" i="22"/>
  <c r="R23" i="22"/>
  <c r="B24" i="22"/>
  <c r="C24" i="22"/>
  <c r="D24" i="22"/>
  <c r="E24" i="22"/>
  <c r="F24" i="22"/>
  <c r="G24" i="22"/>
  <c r="H24" i="22"/>
  <c r="I24" i="22"/>
  <c r="J24" i="22"/>
  <c r="K24" i="22"/>
  <c r="L24" i="22"/>
  <c r="M24" i="22"/>
  <c r="N24" i="22"/>
  <c r="O24" i="22"/>
  <c r="P24" i="22"/>
  <c r="Q24" i="22"/>
  <c r="R24" i="22"/>
  <c r="B25" i="22"/>
  <c r="C25" i="22"/>
  <c r="D25" i="22"/>
  <c r="E25" i="22"/>
  <c r="F25" i="22"/>
  <c r="G25" i="22"/>
  <c r="H25" i="22"/>
  <c r="I25" i="22"/>
  <c r="J25" i="22"/>
  <c r="K25" i="22"/>
  <c r="L25" i="22"/>
  <c r="M25" i="22"/>
  <c r="N25" i="22"/>
  <c r="O25" i="22"/>
  <c r="P25" i="22"/>
  <c r="Q25" i="22"/>
  <c r="R25" i="22"/>
  <c r="B29" i="22"/>
  <c r="C29" i="22"/>
  <c r="D29" i="22"/>
  <c r="E29" i="22"/>
  <c r="F29" i="22"/>
  <c r="G29" i="22"/>
  <c r="H29" i="22"/>
  <c r="I29" i="22"/>
  <c r="J29" i="22"/>
  <c r="K29" i="22"/>
  <c r="L29" i="22"/>
  <c r="M29" i="22"/>
  <c r="N29" i="22"/>
  <c r="O29" i="22"/>
  <c r="P29" i="22"/>
  <c r="Q29" i="22"/>
  <c r="R29" i="22"/>
  <c r="B30" i="22"/>
  <c r="C30" i="22"/>
  <c r="D30" i="22"/>
  <c r="E30" i="22"/>
  <c r="F30" i="22"/>
  <c r="G30" i="22"/>
  <c r="H30" i="22"/>
  <c r="I30" i="22"/>
  <c r="J30" i="22"/>
  <c r="K30" i="22"/>
  <c r="L30" i="22"/>
  <c r="M30" i="22"/>
  <c r="N30" i="22"/>
  <c r="O30" i="22"/>
  <c r="P30" i="22"/>
  <c r="Q30" i="22"/>
  <c r="R30" i="22"/>
  <c r="B31" i="22"/>
  <c r="C31" i="22"/>
  <c r="D31" i="22"/>
  <c r="E31" i="22"/>
  <c r="F31" i="22"/>
  <c r="G31" i="22"/>
  <c r="H31" i="22"/>
  <c r="I31" i="22"/>
  <c r="J31" i="22"/>
  <c r="K31" i="22"/>
  <c r="L31" i="22"/>
  <c r="M31" i="22"/>
  <c r="N31" i="22"/>
  <c r="O31" i="22"/>
  <c r="P31" i="22"/>
  <c r="Q31" i="22"/>
  <c r="R31" i="22"/>
  <c r="B32" i="22"/>
  <c r="C32" i="22"/>
  <c r="D32" i="22"/>
  <c r="E32" i="22"/>
  <c r="F32" i="22"/>
  <c r="G32" i="22"/>
  <c r="H32" i="22"/>
  <c r="I32" i="22"/>
  <c r="J32" i="22"/>
  <c r="K32" i="22"/>
  <c r="L32" i="22"/>
  <c r="M32" i="22"/>
  <c r="N32" i="22"/>
  <c r="O32" i="22"/>
  <c r="P32" i="22"/>
  <c r="Q32" i="22"/>
  <c r="R32" i="22"/>
  <c r="B33" i="22"/>
  <c r="C33" i="22"/>
  <c r="D33" i="22"/>
  <c r="E33" i="22"/>
  <c r="F33" i="22"/>
  <c r="G33" i="22"/>
  <c r="H33" i="22"/>
  <c r="I33" i="22"/>
  <c r="J33" i="22"/>
  <c r="K33" i="22"/>
  <c r="L33" i="22"/>
  <c r="M33" i="22"/>
  <c r="N33" i="22"/>
  <c r="O33" i="22"/>
  <c r="P33" i="22"/>
  <c r="Q33" i="22"/>
  <c r="R33" i="22"/>
  <c r="B37" i="22"/>
  <c r="C37" i="22"/>
  <c r="D37" i="22"/>
  <c r="E37" i="22"/>
  <c r="F37" i="22"/>
  <c r="G37" i="22"/>
  <c r="H37" i="22"/>
  <c r="I37" i="22"/>
  <c r="J37" i="22"/>
  <c r="K37" i="22"/>
  <c r="L37" i="22"/>
  <c r="M37" i="22"/>
  <c r="N37" i="22"/>
  <c r="B38" i="22"/>
  <c r="C38" i="22"/>
  <c r="D38" i="22"/>
  <c r="E38" i="22"/>
  <c r="F38" i="22"/>
  <c r="G38" i="22"/>
  <c r="H38" i="22"/>
  <c r="I38" i="22"/>
  <c r="J38" i="22"/>
  <c r="K38" i="22"/>
  <c r="L38" i="22"/>
  <c r="M38" i="22"/>
  <c r="N38" i="22"/>
  <c r="B39" i="22"/>
  <c r="C39" i="22"/>
  <c r="D39" i="22"/>
  <c r="E39" i="22"/>
  <c r="F39" i="22"/>
  <c r="G39" i="22"/>
  <c r="H39" i="22"/>
  <c r="I39" i="22"/>
  <c r="J39" i="22"/>
  <c r="K39" i="22"/>
  <c r="L39" i="22"/>
  <c r="M39" i="22"/>
  <c r="N39" i="22"/>
  <c r="B40" i="22"/>
  <c r="C40" i="22"/>
  <c r="D40" i="22"/>
  <c r="E40" i="22"/>
  <c r="F40" i="22"/>
  <c r="G40" i="22"/>
  <c r="H40" i="22"/>
  <c r="I40" i="22"/>
  <c r="J40" i="22"/>
  <c r="K40" i="22"/>
  <c r="L40" i="22"/>
  <c r="M40" i="22"/>
  <c r="N40" i="22"/>
  <c r="B41" i="22"/>
  <c r="C41" i="22"/>
  <c r="D41" i="22"/>
  <c r="E41" i="22"/>
  <c r="F41" i="22"/>
  <c r="G41" i="22"/>
  <c r="H41" i="22"/>
  <c r="I41" i="22"/>
  <c r="J41" i="22"/>
  <c r="K41" i="22"/>
  <c r="L41" i="22"/>
  <c r="M41" i="22"/>
  <c r="N41" i="22"/>
  <c r="B42" i="22"/>
  <c r="C42" i="22"/>
  <c r="D42" i="22"/>
  <c r="E42" i="22"/>
  <c r="F42" i="22"/>
  <c r="G42" i="22"/>
  <c r="H42" i="22"/>
  <c r="I42" i="22"/>
  <c r="J42" i="22"/>
  <c r="K42" i="22"/>
  <c r="L42" i="22"/>
  <c r="M42" i="22"/>
  <c r="N42" i="22"/>
  <c r="B43" i="22"/>
  <c r="C43" i="22"/>
  <c r="D43" i="22"/>
  <c r="E43" i="22"/>
  <c r="F43" i="22"/>
  <c r="G43" i="22"/>
  <c r="H43" i="22"/>
  <c r="I43" i="22"/>
  <c r="J43" i="22"/>
  <c r="K43" i="22"/>
  <c r="L43" i="22"/>
  <c r="M43" i="22"/>
  <c r="N43" i="22"/>
  <c r="B44" i="22"/>
  <c r="C44" i="22"/>
  <c r="D44" i="22"/>
  <c r="E44" i="22"/>
  <c r="F44" i="22"/>
  <c r="G44" i="22"/>
  <c r="H44" i="22"/>
  <c r="I44" i="22"/>
  <c r="J44" i="22"/>
  <c r="K44" i="22"/>
  <c r="L44" i="22"/>
  <c r="M44" i="22"/>
  <c r="N44" i="22"/>
  <c r="B46" i="22"/>
  <c r="B47" i="22"/>
  <c r="B48" i="22"/>
  <c r="F6" i="9"/>
  <c r="F12" i="9"/>
  <c r="F13" i="9"/>
  <c r="F15" i="9"/>
  <c r="F19" i="9"/>
  <c r="F22" i="9"/>
  <c r="C28" i="9"/>
  <c r="D28" i="9"/>
  <c r="E28" i="9"/>
  <c r="F28" i="9"/>
  <c r="C29" i="9"/>
  <c r="D29" i="9"/>
  <c r="E29" i="9"/>
  <c r="F29" i="9"/>
  <c r="C30" i="9"/>
  <c r="D30" i="9"/>
  <c r="E30" i="9"/>
  <c r="F30" i="9"/>
  <c r="C31" i="9"/>
  <c r="D31" i="9"/>
  <c r="E31" i="9"/>
  <c r="F31" i="9"/>
  <c r="C32" i="9"/>
  <c r="D32" i="9"/>
  <c r="E32" i="9"/>
  <c r="F32" i="9"/>
  <c r="C33" i="9"/>
  <c r="D33" i="9"/>
  <c r="E33" i="9"/>
  <c r="F33" i="9"/>
  <c r="C34" i="9"/>
  <c r="D34" i="9"/>
  <c r="E34" i="9"/>
  <c r="F34" i="9"/>
  <c r="C35" i="9"/>
  <c r="D35" i="9"/>
  <c r="E35" i="9"/>
  <c r="F35" i="9"/>
  <c r="C36" i="9"/>
  <c r="D36" i="9"/>
  <c r="E36" i="9"/>
  <c r="F36" i="9"/>
  <c r="C37" i="9"/>
  <c r="D37" i="9"/>
  <c r="E37" i="9"/>
  <c r="F37" i="9"/>
  <c r="C39" i="9"/>
  <c r="D39" i="9"/>
  <c r="E39" i="9"/>
  <c r="F39" i="9"/>
  <c r="F41" i="9"/>
  <c r="B11" i="26"/>
  <c r="C11" i="26"/>
  <c r="D11" i="26"/>
  <c r="E11" i="26"/>
  <c r="F11" i="26"/>
  <c r="G11" i="26"/>
  <c r="H11" i="26"/>
  <c r="I11" i="26"/>
  <c r="J11" i="26"/>
  <c r="K11" i="26"/>
  <c r="L11" i="26"/>
  <c r="M11" i="26"/>
  <c r="N11" i="26"/>
  <c r="O11" i="26"/>
  <c r="P11" i="26"/>
  <c r="Q11" i="26"/>
  <c r="R11" i="26"/>
  <c r="B12" i="26"/>
  <c r="C12" i="26"/>
  <c r="D12" i="26"/>
  <c r="E12" i="26"/>
  <c r="F12" i="26"/>
  <c r="G12" i="26"/>
  <c r="H12" i="26"/>
  <c r="I12" i="26"/>
  <c r="J12" i="26"/>
  <c r="K12" i="26"/>
  <c r="L12" i="26"/>
  <c r="M12" i="26"/>
  <c r="N12" i="26"/>
  <c r="O12" i="26"/>
  <c r="P12" i="26"/>
  <c r="Q12" i="26"/>
  <c r="R12" i="26"/>
  <c r="B13" i="26"/>
  <c r="C13" i="26"/>
  <c r="D13" i="26"/>
  <c r="E13" i="26"/>
  <c r="F13" i="26"/>
  <c r="G13" i="26"/>
  <c r="H13" i="26"/>
  <c r="I13" i="26"/>
  <c r="J13" i="26"/>
  <c r="K13" i="26"/>
  <c r="L13" i="26"/>
  <c r="M13" i="26"/>
  <c r="N13" i="26"/>
  <c r="O13" i="26"/>
  <c r="P13" i="26"/>
  <c r="Q13" i="26"/>
  <c r="R13" i="26"/>
  <c r="B15" i="26"/>
  <c r="C15" i="26"/>
  <c r="D15" i="26"/>
  <c r="E15" i="26"/>
  <c r="F15" i="26"/>
  <c r="G15" i="26"/>
  <c r="H15" i="26"/>
  <c r="I15" i="26"/>
  <c r="J15" i="26"/>
  <c r="K15" i="26"/>
  <c r="L15" i="26"/>
  <c r="M15" i="26"/>
  <c r="N15" i="26"/>
  <c r="O15" i="26"/>
  <c r="P15" i="26"/>
  <c r="Q15" i="26"/>
  <c r="R15" i="26"/>
  <c r="B17" i="26"/>
  <c r="C17" i="26"/>
  <c r="D17" i="26"/>
  <c r="E17" i="26"/>
  <c r="F17" i="26"/>
  <c r="G17" i="26"/>
  <c r="H17" i="26"/>
  <c r="I17" i="26"/>
  <c r="J17" i="26"/>
  <c r="K17" i="26"/>
  <c r="L17" i="26"/>
  <c r="M17" i="26"/>
  <c r="N17" i="26"/>
  <c r="O17" i="26"/>
  <c r="P17" i="26"/>
  <c r="Q17" i="26"/>
  <c r="R17" i="26"/>
  <c r="B19" i="26"/>
  <c r="C19" i="26"/>
  <c r="D19" i="26"/>
  <c r="E19" i="26"/>
  <c r="F19" i="26"/>
  <c r="G19" i="26"/>
  <c r="H19" i="26"/>
  <c r="I19" i="26"/>
  <c r="J19" i="26"/>
  <c r="K19" i="26"/>
  <c r="L19" i="26"/>
  <c r="M19" i="26"/>
  <c r="N19" i="26"/>
  <c r="O19" i="26"/>
  <c r="P19" i="26"/>
  <c r="Q19" i="26"/>
  <c r="R19" i="2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Vishal Vasanji</author>
  </authors>
  <commentList>
    <comment ref="H90" authorId="0" shapeId="0" xr:uid="{BFC211EB-17FD-4B9B-88BD-96AB3E98A6E2}">
      <text>
        <r>
          <rPr>
            <b/>
            <sz val="9"/>
            <color indexed="81"/>
            <rFont val="Tahoma"/>
            <family val="2"/>
          </rPr>
          <t>Source: HUD 2024 Units TDC Limits, https://www.hud.gov/sites/dfiles/PIH/documents/2024_Units_TDC_Limits.pdf</t>
        </r>
      </text>
    </comment>
    <comment ref="J91" authorId="0" shapeId="0" xr:uid="{00DDBD69-322B-484A-A3FC-471BACCABCA3}">
      <text>
        <r>
          <rPr>
            <b/>
            <sz val="9"/>
            <color indexed="81"/>
            <rFont val="Tahoma"/>
            <family val="2"/>
          </rPr>
          <t>Source: HUD 2024 Units TDC Limits, New Orleans row, 1BR Walkup. https://www.hud.gov/sites/dfiles/PIH/documents/2024_Units_TDC_Limits.pdf</t>
        </r>
      </text>
    </comment>
    <comment ref="J92" authorId="0" shapeId="0" xr:uid="{7E518E38-1E19-434F-BB6A-4B8204B0B615}">
      <text>
        <r>
          <rPr>
            <b/>
            <sz val="9"/>
            <color indexed="81"/>
            <rFont val="Tahoma"/>
            <family val="2"/>
          </rPr>
          <t>Source: HUD 2024 Units TDC Limits, New Orleans row, 2BR Walkup. https://www.hud.gov/sites/dfiles/PIH/documents/2024_Units_TDC_Limits.pdf</t>
        </r>
      </text>
    </comment>
    <comment ref="H96" authorId="0" shapeId="0" xr:uid="{3F4F0C9F-CDAA-4AFD-AD50-1E328E85D789}">
      <text>
        <r>
          <rPr>
            <b/>
            <sz val="9"/>
            <color indexed="81"/>
            <rFont val="Tahoma"/>
            <family val="2"/>
          </rPr>
          <t>Vishal Vasanji:</t>
        </r>
        <r>
          <rPr>
            <sz val="9"/>
            <color indexed="81"/>
            <rFont val="Tahoma"/>
            <family val="2"/>
          </rPr>
          <t xml:space="preserve">
Select building type: Detached/Semi, Row House, Walkup, or Elevator. Drives the weighted per-unit TDC limit in I86.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Vishal Vasanji</author>
    <author>tc={720D97B7-AAA2-49DB-8BA5-ADA28DD2502D}</author>
  </authors>
  <commentList>
    <comment ref="G16" authorId="0" shapeId="0" xr:uid="{E7672845-CDC4-41AE-BAE3-E25ACD5DC44C}">
      <text>
        <r>
          <rPr>
            <b/>
            <sz val="9"/>
            <color indexed="81"/>
            <rFont val="Tahoma"/>
            <family val="2"/>
          </rPr>
          <t>Installment 1 - Partnership Admission: 20% at Closing</t>
        </r>
      </text>
    </comment>
    <comment ref="Z16" authorId="0" shapeId="0" xr:uid="{2AD946F5-DFFD-489E-950A-91A1247D57D7}">
      <text>
        <r>
          <rPr>
            <b/>
            <sz val="9"/>
            <color indexed="81"/>
            <rFont val="Tahoma"/>
            <family val="2"/>
          </rPr>
          <t>Vishal Vasanji:</t>
        </r>
        <r>
          <rPr>
            <sz val="9"/>
            <color indexed="81"/>
            <rFont val="Tahoma"/>
            <family val="2"/>
          </rPr>
          <t xml:space="preserve">
Installment 2 - During Construction: 50% paid when construction reaches 90% completion (cumulative 91.5% at this month per Construction Estimates curve)</t>
        </r>
      </text>
    </comment>
    <comment ref="AE16" authorId="0" shapeId="0" xr:uid="{2AAC880E-D7E5-4195-BC01-952650533F3B}">
      <text>
        <r>
          <rPr>
            <b/>
            <sz val="9"/>
            <color indexed="81"/>
            <rFont val="Tahoma"/>
            <family val="2"/>
          </rPr>
          <t>Vishal Vasanji:</t>
        </r>
        <r>
          <rPr>
            <sz val="9"/>
            <color indexed="81"/>
            <rFont val="Tahoma"/>
            <family val="2"/>
          </rPr>
          <t xml:space="preserve">
Installments 3 &amp; 4 - Perm Loan Conversion (25%) + IRS 8609 (5%) = 30% at Stabilization</t>
        </r>
      </text>
    </comment>
    <comment ref="L33" authorId="0" shapeId="0" xr:uid="{D703CE4D-5632-472C-8F7D-595B4EE189E4}">
      <text>
        <r>
          <rPr>
            <b/>
            <sz val="9"/>
            <color indexed="81"/>
            <rFont val="Tahoma"/>
            <family val="2"/>
          </rPr>
          <t>Vishal Vasanji:</t>
        </r>
        <r>
          <rPr>
            <sz val="9"/>
            <color indexed="81"/>
            <rFont val="Tahoma"/>
            <family val="2"/>
          </rPr>
          <t xml:space="preserve">
Mobilization Fee</t>
        </r>
      </text>
    </comment>
    <comment ref="G34" authorId="1" shapeId="0" xr:uid="{720D97B7-AAA2-49DB-8BA5-ADA28DD2502D}">
      <text>
        <t>[Threaded comment]
Your version of Excel allows you to read this threaded comment; however, any edits to it will get removed if the file is opened in a newer version of Excel. Learn more: https://go.microsoft.com/fwlink/?linkid=870924
Comment:
    60% at M1; balance over 5 months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Vishal Vasanji</author>
  </authors>
  <commentList>
    <comment ref="D22" authorId="0" shapeId="0" xr:uid="{12B90A95-E908-44A5-AF8A-35B76B07A45F}">
      <text>
        <r>
          <rPr>
            <b/>
            <sz val="9"/>
            <color indexed="81"/>
            <rFont val="Tahoma"/>
            <family val="2"/>
          </rPr>
          <t>Vishal Vasanji:</t>
        </r>
        <r>
          <rPr>
            <sz val="9"/>
            <color indexed="81"/>
            <rFont val="Tahoma"/>
            <family val="2"/>
          </rPr>
          <t xml:space="preserve">
PILOT (EBR): property tax frozen at current amount for Yrs 1-10.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Vishal Vasanji</author>
  </authors>
  <commentList>
    <comment ref="C11" authorId="0" shapeId="0" xr:uid="{6274C99C-C2C1-46E6-9288-33379FF69DAC}">
      <text>
        <r>
          <rPr>
            <b/>
            <sz val="9"/>
            <color indexed="81"/>
            <rFont val="Tahoma"/>
            <family val="2"/>
          </rPr>
          <t>Construction loan rate 6.0% per Harmony Bank term sheet (recent comparable deal), 24-mo term. Source: uploaded bank term sheet.</t>
        </r>
      </text>
    </comment>
    <comment ref="C26" authorId="0" shapeId="0" xr:uid="{020C429E-92E8-479D-834B-B8CE4CFC9CB9}">
      <text>
        <r>
          <rPr>
            <b/>
            <sz val="9"/>
            <color indexed="81"/>
            <rFont val="Tahoma"/>
            <family val="2"/>
          </rPr>
          <t>Vishal Vasanji:</t>
        </r>
        <r>
          <rPr>
            <sz val="9"/>
            <color indexed="81"/>
            <rFont val="Tahoma"/>
            <family val="2"/>
          </rPr>
          <t xml:space="preserve">
Lender minimum DSCR for sizing the permanent loan = 1.15x (lender threshold).</t>
        </r>
      </text>
    </comment>
    <comment ref="C28" authorId="0" shapeId="0" xr:uid="{CE49FC87-A517-4E3B-B468-3F67004CE825}">
      <text>
        <r>
          <rPr>
            <b/>
            <sz val="9"/>
            <color indexed="81"/>
            <rFont val="Tahoma"/>
            <family val="2"/>
          </rPr>
          <t>Permanent loan coupon 5.5% per Harmony Bank term sheet (recent comparable deal): 15-yr term, 40-yr amortization, hard debt. Source: uploaded bank term sheet.</t>
        </r>
      </text>
    </comment>
    <comment ref="C30" authorId="0" shapeId="0" xr:uid="{A49DABE7-8376-4BB2-B345-A712A0B4D3B3}">
      <text>
        <r>
          <rPr>
            <b/>
            <sz val="9"/>
            <color indexed="81"/>
            <rFont val="Tahoma"/>
            <family val="2"/>
          </rPr>
          <t>Vishal Vasanji:</t>
        </r>
        <r>
          <rPr>
            <sz val="9"/>
            <color indexed="81"/>
            <rFont val="Tahoma"/>
            <family val="2"/>
          </rPr>
          <t xml:space="preserve">
LHC Multi-Family Bond Issuer Fee = 2/10 of 1% (0.20%) of bonds issued, charged annually (LHC acts as conduit issuer). Source: uploaded LHC Fee Schedule, fees effective 8/08/2025.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Vishal Vasanji</author>
  </authors>
  <commentList>
    <comment ref="B11" authorId="0" shapeId="0" xr:uid="{4271C5D4-147D-4D42-8C09-0808CF601F21}">
      <text>
        <r>
          <rPr>
            <b/>
            <sz val="9"/>
            <color indexed="81"/>
            <rFont val="Tahoma"/>
            <family val="2"/>
          </rPr>
          <t>Vishal Vasanji:</t>
        </r>
        <r>
          <rPr>
            <sz val="9"/>
            <color indexed="81"/>
            <rFont val="Tahoma"/>
            <family val="2"/>
          </rPr>
          <t xml:space="preserve">
Yr 1 balance = perm loan amount at conversion ('Loan Amortization'!D33). Yrs 2–17 = perm loan ending balance, 'Loan Amortization' row 37 (column offset −1, matching the pro forma's debt-service links).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Vishal Vasanji</author>
  </authors>
  <commentList>
    <comment ref="N57" authorId="0" shapeId="0" xr:uid="{715A7EC5-9FEC-4C3F-B5A0-3452F81F9A3B}">
      <text>
        <r>
          <rPr>
            <b/>
            <sz val="9"/>
            <color indexed="81"/>
            <rFont val="Tahoma"/>
            <family val="2"/>
          </rPr>
          <t>Vishal Vasanji:</t>
        </r>
        <r>
          <rPr>
            <sz val="9"/>
            <color indexed="81"/>
            <rFont val="Tahoma"/>
            <family val="2"/>
          </rPr>
          <t xml:space="preserve">
Source: HUD 2024 Unit TDC Limits, Region VI Louisiana, New Orleans, Detached/Semi-Detached (TDC col). https://www.hud.gov/sites/dfiles/PIH/documents/2024_Units_TDC_Limits.pdf</t>
        </r>
      </text>
    </comment>
    <comment ref="O57" authorId="0" shapeId="0" xr:uid="{B275E799-01CA-447E-B33A-9272E20CEF34}">
      <text>
        <r>
          <rPr>
            <b/>
            <sz val="9"/>
            <color indexed="81"/>
            <rFont val="Tahoma"/>
            <family val="2"/>
          </rPr>
          <t>Vishal Vasanji:</t>
        </r>
        <r>
          <rPr>
            <sz val="9"/>
            <color indexed="81"/>
            <rFont val="Tahoma"/>
            <family val="2"/>
          </rPr>
          <t xml:space="preserve">
Source: HUD 2024 Unit TDC Limits, Region VI Louisiana, New Orleans, Row House (TDC col). https://www.hud.gov/sites/dfiles/PIH/documents/2024_Units_TDC_Limits.pdf</t>
        </r>
      </text>
    </comment>
    <comment ref="P57" authorId="0" shapeId="0" xr:uid="{B0E46135-784D-4C68-8DFD-246B4F9F28B1}">
      <text>
        <r>
          <rPr>
            <b/>
            <sz val="9"/>
            <color indexed="81"/>
            <rFont val="Tahoma"/>
            <family val="2"/>
          </rPr>
          <t>Vishal Vasanji:</t>
        </r>
        <r>
          <rPr>
            <sz val="9"/>
            <color indexed="81"/>
            <rFont val="Tahoma"/>
            <family val="2"/>
          </rPr>
          <t xml:space="preserve">
Source: HUD 2024 Unit TDC Limits, Region VI Louisiana, New Orleans, Walkup (TDC col). https://www.hud.gov/sites/dfiles/PIH/documents/2024_Units_TDC_Limits.pdf</t>
        </r>
      </text>
    </comment>
    <comment ref="Q57" authorId="0" shapeId="0" xr:uid="{F2FB2A1F-6375-4D46-B490-E3045D094BBA}">
      <text>
        <r>
          <rPr>
            <b/>
            <sz val="9"/>
            <color indexed="81"/>
            <rFont val="Tahoma"/>
            <family val="2"/>
          </rPr>
          <t>Vishal Vasanji:</t>
        </r>
        <r>
          <rPr>
            <sz val="9"/>
            <color indexed="81"/>
            <rFont val="Tahoma"/>
            <family val="2"/>
          </rPr>
          <t xml:space="preserve">
Source: HUD 2024 Unit TDC Limits, Region VI Louisiana, New Orleans, Elevator (TDC col). https://www.hud.gov/sites/dfiles/PIH/documents/2024_Units_TDC_Limits.pdf</t>
        </r>
      </text>
    </comment>
    <comment ref="N58" authorId="0" shapeId="0" xr:uid="{41E605B7-14D5-4649-B9FE-C5FD16275C1A}">
      <text>
        <r>
          <rPr>
            <b/>
            <sz val="9"/>
            <color indexed="81"/>
            <rFont val="Tahoma"/>
            <family val="2"/>
          </rPr>
          <t>Vishal Vasanji:</t>
        </r>
        <r>
          <rPr>
            <sz val="9"/>
            <color indexed="81"/>
            <rFont val="Tahoma"/>
            <family val="2"/>
          </rPr>
          <t xml:space="preserve">
Source: HUD 2024 Unit TDC Limits, Region VI Louisiana, New Orleans, Elevator (HCC). https://www.hud.gov/sites/dfiles/PIH/documents/2024_Units_TDC_Limits.pdf</t>
        </r>
      </text>
    </comment>
    <comment ref="O58" authorId="0" shapeId="0" xr:uid="{81A699DA-E8BD-4E42-B5DF-4FE8DC627186}">
      <text>
        <r>
          <rPr>
            <b/>
            <sz val="9"/>
            <color indexed="81"/>
            <rFont val="Tahoma"/>
            <family val="2"/>
          </rPr>
          <t>Vishal Vasanji:</t>
        </r>
        <r>
          <rPr>
            <sz val="9"/>
            <color indexed="81"/>
            <rFont val="Tahoma"/>
            <family val="2"/>
          </rPr>
          <t xml:space="preserve">
Source: HUD 2024 Unit TDC Limits, Region VI Louisiana, New Orleans, Elevator (TDC). https://www.hud.gov/sites/dfiles/PIH/documents/2024_Units_TDC_Limits.pdf</t>
        </r>
      </text>
    </comment>
    <comment ref="N59" authorId="0" shapeId="0" xr:uid="{18EC0F0A-AF7B-43BE-891E-C771B0D48505}">
      <text>
        <r>
          <rPr>
            <b/>
            <sz val="9"/>
            <color indexed="81"/>
            <rFont val="Tahoma"/>
            <family val="2"/>
          </rPr>
          <t>Vishal Vasanji:</t>
        </r>
        <r>
          <rPr>
            <sz val="9"/>
            <color indexed="81"/>
            <rFont val="Tahoma"/>
            <family val="2"/>
          </rPr>
          <t xml:space="preserve">
Source: HUD 2024 Unit TDC Limits, Region VI Louisiana, New Orleans, Elevator (HCC). https://www.hud.gov/sites/dfiles/PIH/documents/2024_Units_TDC_Limits.pdf</t>
        </r>
      </text>
    </comment>
    <comment ref="O59" authorId="0" shapeId="0" xr:uid="{A62DBF75-9077-4501-AD06-753988A5890F}">
      <text>
        <r>
          <rPr>
            <b/>
            <sz val="9"/>
            <color indexed="81"/>
            <rFont val="Tahoma"/>
            <family val="2"/>
          </rPr>
          <t>Vishal Vasanji:</t>
        </r>
        <r>
          <rPr>
            <sz val="9"/>
            <color indexed="81"/>
            <rFont val="Tahoma"/>
            <family val="2"/>
          </rPr>
          <t xml:space="preserve">
Source: HUD 2024 Unit TDC Limits, Region VI Louisiana, New Orleans, Elevator (TDC). https://www.hud.gov/sites/dfiles/PIH/documents/2024_Units_TDC_Limits.pdf</t>
        </r>
      </text>
    </comment>
    <comment ref="N60" authorId="0" shapeId="0" xr:uid="{E017814F-7F40-47FD-8D37-E6D10304EB2C}">
      <text>
        <r>
          <rPr>
            <b/>
            <sz val="9"/>
            <color indexed="81"/>
            <rFont val="Tahoma"/>
            <family val="2"/>
          </rPr>
          <t>Vishal Vasanji:</t>
        </r>
        <r>
          <rPr>
            <sz val="9"/>
            <color indexed="81"/>
            <rFont val="Tahoma"/>
            <family val="2"/>
          </rPr>
          <t xml:space="preserve">
Source: HUD 2024 Unit TDC Limits, Region VI Louisiana, New Orleans, Elevator (HCC). https://www.hud.gov/sites/dfiles/PIH/documents/2024_Units_TDC_Limits.pdf</t>
        </r>
      </text>
    </comment>
    <comment ref="O60" authorId="0" shapeId="0" xr:uid="{32AB175E-A0A4-428D-AF2F-2878DB34C02D}">
      <text>
        <r>
          <rPr>
            <b/>
            <sz val="9"/>
            <color indexed="81"/>
            <rFont val="Tahoma"/>
            <family val="2"/>
          </rPr>
          <t>Vishal Vasanji:</t>
        </r>
        <r>
          <rPr>
            <sz val="9"/>
            <color indexed="81"/>
            <rFont val="Tahoma"/>
            <family val="2"/>
          </rPr>
          <t xml:space="preserve">
Source: HUD 2024 Unit TDC Limits, Region VI Louisiana, New Orleans, Elevator (TDC). https://www.hud.gov/sites/dfiles/PIH/documents/2024_Units_TDC_Limits.pdf</t>
        </r>
      </text>
    </comment>
    <comment ref="N61" authorId="0" shapeId="0" xr:uid="{495F8129-BE71-4F52-8482-662BAB1081C1}">
      <text>
        <r>
          <rPr>
            <b/>
            <sz val="9"/>
            <color indexed="81"/>
            <rFont val="Tahoma"/>
            <family val="2"/>
          </rPr>
          <t>Vishal Vasanji:</t>
        </r>
        <r>
          <rPr>
            <sz val="9"/>
            <color indexed="81"/>
            <rFont val="Tahoma"/>
            <family val="2"/>
          </rPr>
          <t xml:space="preserve">
Source: HUD 2024 Unit TDC Limits, Region VI Louisiana, New Orleans, Elevator (HCC). https://www.hud.gov/sites/dfiles/PIH/documents/2024_Units_TDC_Limits.pdf</t>
        </r>
      </text>
    </comment>
    <comment ref="O61" authorId="0" shapeId="0" xr:uid="{BC847E5F-CF5C-44D5-B043-E97C6D238059}">
      <text>
        <r>
          <rPr>
            <b/>
            <sz val="9"/>
            <color indexed="81"/>
            <rFont val="Tahoma"/>
            <family val="2"/>
          </rPr>
          <t>Vishal Vasanji:</t>
        </r>
        <r>
          <rPr>
            <sz val="9"/>
            <color indexed="81"/>
            <rFont val="Tahoma"/>
            <family val="2"/>
          </rPr>
          <t xml:space="preserve">
Source: HUD 2024 Unit TDC Limits, Region VI Louisiana, New Orleans, Elevator (TDC). https://www.hud.gov/sites/dfiles/PIH/documents/2024_Units_TDC_Limits.pdf</t>
        </r>
      </text>
    </comment>
    <comment ref="N62" authorId="0" shapeId="0" xr:uid="{36B15671-6314-4615-881F-EF1CF27D6F1A}">
      <text>
        <r>
          <rPr>
            <b/>
            <sz val="9"/>
            <color indexed="81"/>
            <rFont val="Tahoma"/>
            <family val="2"/>
          </rPr>
          <t>Vishal Vasanji:</t>
        </r>
        <r>
          <rPr>
            <sz val="9"/>
            <color indexed="81"/>
            <rFont val="Tahoma"/>
            <family val="2"/>
          </rPr>
          <t xml:space="preserve">
Source: HUD 2024 Unit TDC Limits, Region VI Louisiana, New Orleans, Elevator (HCC). https://www.hud.gov/sites/dfiles/PIH/documents/2024_Units_TDC_Limits.pdf</t>
        </r>
      </text>
    </comment>
    <comment ref="O62" authorId="0" shapeId="0" xr:uid="{93A252B9-24CF-4349-B7CB-E0DC3DF9074F}">
      <text>
        <r>
          <rPr>
            <b/>
            <sz val="9"/>
            <color indexed="81"/>
            <rFont val="Tahoma"/>
            <family val="2"/>
          </rPr>
          <t>Vishal Vasanji:</t>
        </r>
        <r>
          <rPr>
            <sz val="9"/>
            <color indexed="81"/>
            <rFont val="Tahoma"/>
            <family val="2"/>
          </rPr>
          <t xml:space="preserve">
Source: HUD 2024 Unit TDC Limits, Region VI Louisiana, New Orleans, Elevator (TDC). https://www.hud.gov/sites/dfiles/PIH/documents/2024_Units_TDC_Limits.pdf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<sst xmlns="http://schemas.openxmlformats.org/spreadsheetml/2006/main" count="1397" uniqueCount="801">
  <si>
    <t>Bridge Loan</t>
  </si>
  <si>
    <t>Bridge Loan Payback</t>
  </si>
  <si>
    <t>LIHTC</t>
  </si>
  <si>
    <t>LHC HOME</t>
  </si>
  <si>
    <t xml:space="preserve">Deferred GC Fee </t>
  </si>
  <si>
    <t>Total Sources of Funds</t>
  </si>
  <si>
    <t>Total Uses of Funds</t>
  </si>
  <si>
    <t>Sources of Funds</t>
  </si>
  <si>
    <t>Series 2026 Permanent Bonds</t>
  </si>
  <si>
    <t>Total Loan/Bond Par Amount</t>
  </si>
  <si>
    <t>Deferred Developer Fee</t>
  </si>
  <si>
    <t>Uses of Funds</t>
  </si>
  <si>
    <t>On-Site Improvements</t>
  </si>
  <si>
    <t>Contingency (belongs to the GC)</t>
  </si>
  <si>
    <t>General Requirements</t>
  </si>
  <si>
    <t>Total Hard Costs</t>
  </si>
  <si>
    <t>Plan Review Fees</t>
  </si>
  <si>
    <t>Accounting Fees</t>
  </si>
  <si>
    <t>Appraisal</t>
  </si>
  <si>
    <t>Market Analysis</t>
  </si>
  <si>
    <t>Environmental Study and Geotech</t>
  </si>
  <si>
    <t>Title &amp; Recording</t>
  </si>
  <si>
    <t>Total Soft Costs</t>
  </si>
  <si>
    <t>Total Construction Costs</t>
  </si>
  <si>
    <t>Developer Fee</t>
  </si>
  <si>
    <t xml:space="preserve">Operating Deficit Guarantee Reserve </t>
  </si>
  <si>
    <t>Total Reserves</t>
  </si>
  <si>
    <t>Land/Building Acquisition Cost</t>
  </si>
  <si>
    <t>Construction Costs</t>
  </si>
  <si>
    <t>Total</t>
  </si>
  <si>
    <t>Per Unit</t>
  </si>
  <si>
    <t>Permit, ROW and Impact Fees</t>
  </si>
  <si>
    <t>Capitalized Construction Interest</t>
  </si>
  <si>
    <t>Placement Fee</t>
  </si>
  <si>
    <t>Legal</t>
  </si>
  <si>
    <t>Total Other Costs</t>
  </si>
  <si>
    <t>Total Soft Money</t>
  </si>
  <si>
    <t>Total Deferred Fees</t>
  </si>
  <si>
    <t>% of Tot Sources</t>
  </si>
  <si>
    <t>% of Tot Uses</t>
  </si>
  <si>
    <t>SOURCES AND USES</t>
  </si>
  <si>
    <t>Monthly</t>
  </si>
  <si>
    <t>Annual</t>
  </si>
  <si>
    <t>Unit Type</t>
  </si>
  <si>
    <t>Net Operating Income</t>
  </si>
  <si>
    <t>Gross Rental Income</t>
  </si>
  <si>
    <t>Vacancy Adjustment</t>
  </si>
  <si>
    <t>Other Income</t>
  </si>
  <si>
    <t>Operating Expenses</t>
  </si>
  <si>
    <t>Management Fee</t>
  </si>
  <si>
    <t>Contract Services</t>
  </si>
  <si>
    <t>Utilities</t>
  </si>
  <si>
    <t>Replacement Reserves</t>
  </si>
  <si>
    <t>Total Operating Expenses</t>
  </si>
  <si>
    <t>Expenses as a % of Gross Revenues</t>
  </si>
  <si>
    <t>NET OPERATING INCOME</t>
  </si>
  <si>
    <t>NET OPERATING INCOME CALCULATION</t>
  </si>
  <si>
    <t>% AMI</t>
  </si>
  <si>
    <t>UA</t>
  </si>
  <si>
    <t>Net Rent</t>
  </si>
  <si>
    <t>Schedule of Projected Credit Delivery</t>
  </si>
  <si>
    <t>Year</t>
  </si>
  <si>
    <t>Credits Delivered</t>
  </si>
  <si>
    <t>LP Credits</t>
  </si>
  <si>
    <t>GP Credits</t>
  </si>
  <si>
    <t>LIHTC CREDIT CALCULATIONS</t>
  </si>
  <si>
    <t>Total Development Costs</t>
  </si>
  <si>
    <t>Annual Allocation of Tax Credits</t>
  </si>
  <si>
    <t>Tax Credit Equity Price</t>
  </si>
  <si>
    <t>Cash Value</t>
  </si>
  <si>
    <t>Basis Boost</t>
  </si>
  <si>
    <t>Debt/Equity Ratio</t>
  </si>
  <si>
    <t>Debt</t>
  </si>
  <si>
    <t>Equity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</si>
  <si>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</si>
  <si>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</si>
  <si>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</si>
  <si>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</si>
  <si>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</si>
  <si>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</si>
  <si>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</si>
  <si>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</si>
  <si>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</si>
  <si>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</si>
  <si>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SOURCES AND USES TIMING</t>
  </si>
  <si>
    <t>TOTAL</t>
  </si>
  <si>
    <t>Total Construction Cost</t>
  </si>
  <si>
    <t>CASH FLOW FORECAST</t>
  </si>
  <si>
    <t>Yrs 11-17</t>
  </si>
  <si>
    <t>Yr 1</t>
  </si>
  <si>
    <t>Yr 2</t>
  </si>
  <si>
    <t>Yr 3</t>
  </si>
  <si>
    <t>Yr 4</t>
  </si>
  <si>
    <t>Yr 5</t>
  </si>
  <si>
    <t>Yr 6</t>
  </si>
  <si>
    <t>Yr 7</t>
  </si>
  <si>
    <t>Yr 8</t>
  </si>
  <si>
    <t>Yr 9</t>
  </si>
  <si>
    <t>Yr 10</t>
  </si>
  <si>
    <t>Yr 11</t>
  </si>
  <si>
    <t>Yr 12</t>
  </si>
  <si>
    <t>Yr 13</t>
  </si>
  <si>
    <t>Yr 14</t>
  </si>
  <si>
    <t>Yr 15</t>
  </si>
  <si>
    <t>Yr 16</t>
  </si>
  <si>
    <t>Yr 17</t>
  </si>
  <si>
    <t>NOI as a % of Gross Revenues</t>
  </si>
  <si>
    <t>Expense Growth Rate</t>
  </si>
  <si>
    <t>Revenue Growth Rate</t>
  </si>
  <si>
    <t>Issuer Fee</t>
  </si>
  <si>
    <t>Trustee Fee</t>
  </si>
  <si>
    <t>Senior A Bond Interest</t>
  </si>
  <si>
    <t>Senior A Bond Principal</t>
  </si>
  <si>
    <t>Senior A Bond DSCR</t>
  </si>
  <si>
    <t>Cash Available after Bond Pmts</t>
  </si>
  <si>
    <t>Servicing Fee</t>
  </si>
  <si>
    <t>Cash Available after Fees</t>
  </si>
  <si>
    <t>RATIOS &amp; ASSUMPTIONS</t>
  </si>
  <si>
    <t>M1</t>
  </si>
  <si>
    <t>M2</t>
  </si>
  <si>
    <t>Construction Cash Burn % by month</t>
  </si>
  <si>
    <t>M0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</si>
  <si>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</si>
  <si>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</si>
  <si>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</si>
  <si>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</si>
  <si>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</si>
  <si>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</si>
  <si>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</si>
  <si>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</si>
  <si>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</si>
  <si>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</si>
  <si>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</si>
  <si>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</si>
  <si>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</si>
  <si>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</si>
  <si>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</si>
  <si>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</si>
  <si>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Cumul</t>
  </si>
  <si>
    <t>Check</t>
  </si>
  <si>
    <t>Closings</t>
  </si>
  <si>
    <t>TOTAL DEV COSTS</t>
  </si>
  <si>
    <t>Construction Period</t>
  </si>
  <si>
    <t>Preconstruction</t>
  </si>
  <si>
    <t>Bonds Fund Needed</t>
  </si>
  <si>
    <t>Bonds O/S Balance</t>
  </si>
  <si>
    <t>Amortization</t>
  </si>
  <si>
    <t>Annual Issuer Fee</t>
  </si>
  <si>
    <t>Base Interest Rate</t>
  </si>
  <si>
    <t>Annual Trustee Fee</t>
  </si>
  <si>
    <t>Period</t>
  </si>
  <si>
    <t>Payment</t>
  </si>
  <si>
    <t>Principal</t>
  </si>
  <si>
    <t>Construction Bonds</t>
  </si>
  <si>
    <t>Draw Amount</t>
  </si>
  <si>
    <t>Interest Expense</t>
  </si>
  <si>
    <t>Permanent Bonds</t>
  </si>
  <si>
    <t>Coupon Rate</t>
  </si>
  <si>
    <t>Loan Origination</t>
  </si>
  <si>
    <t>Servicing Setup</t>
  </si>
  <si>
    <t>Bond Cost of Issuance</t>
  </si>
  <si>
    <t>Bond Counsel</t>
  </si>
  <si>
    <t>Financial Advisor</t>
  </si>
  <si>
    <t>Trustee Setup</t>
  </si>
  <si>
    <t>Issuer Closing Fee</t>
  </si>
  <si>
    <t>Bond Issuance Misc</t>
  </si>
  <si>
    <t>As % of Bond Amount</t>
  </si>
  <si>
    <t>Bond Amount</t>
  </si>
  <si>
    <t>As % of Developmen Cost</t>
  </si>
  <si>
    <t>Equity/Partnership</t>
  </si>
  <si>
    <t>Total Financing Fees</t>
  </si>
  <si>
    <t>Miscellaneous</t>
  </si>
  <si>
    <t>FINANCING FEES</t>
  </si>
  <si>
    <t>Financing Fees</t>
  </si>
  <si>
    <t>Applicable Fraction</t>
  </si>
  <si>
    <t>Credit Rate</t>
  </si>
  <si>
    <t>Asset Management Fee - 10%</t>
  </si>
  <si>
    <t>Less: Federal Grants</t>
  </si>
  <si>
    <t>UNIT MIX</t>
  </si>
  <si>
    <t>Property Taxes</t>
  </si>
  <si>
    <t># BRs</t>
  </si>
  <si>
    <t># Baths</t>
  </si>
  <si>
    <t>Sqft</t>
  </si>
  <si>
    <t># Units</t>
  </si>
  <si>
    <t>Staff Unit</t>
  </si>
  <si>
    <t>PSH</t>
  </si>
  <si>
    <t>Gr Rent</t>
  </si>
  <si>
    <t>Yes</t>
  </si>
  <si>
    <t>No</t>
  </si>
  <si>
    <t>Electricty</t>
  </si>
  <si>
    <t>Electricity</t>
  </si>
  <si>
    <t>Water</t>
  </si>
  <si>
    <t>Sewer</t>
  </si>
  <si>
    <t>Trash</t>
  </si>
  <si>
    <t>Unit Ratio</t>
  </si>
  <si>
    <t>Checks</t>
  </si>
  <si>
    <t>% of Rental Subsidy Units in the project:</t>
  </si>
  <si>
    <t>% of Low-Income Units in the project:</t>
  </si>
  <si>
    <t>Total square feet for LIHTC units:</t>
  </si>
  <si>
    <t>PSH Units:</t>
  </si>
  <si>
    <t>Non-PSH Units Under 30% AMI:</t>
  </si>
  <si>
    <t>Units under 30% AMI:</t>
  </si>
  <si>
    <t>Units under 20% AMI:</t>
  </si>
  <si>
    <t>Units under 50% AMI:</t>
  </si>
  <si>
    <t>Units between 31% and 50% AMI:</t>
  </si>
  <si>
    <t>Units under 80% AMI:</t>
  </si>
  <si>
    <t>Units Not AMI Restricted</t>
  </si>
  <si>
    <t>LIHTC 'Income Average'</t>
  </si>
  <si>
    <t>Staff Units</t>
  </si>
  <si>
    <t>Subsidy</t>
  </si>
  <si>
    <t>Tenant Charges</t>
  </si>
  <si>
    <t>Pet Fees</t>
  </si>
  <si>
    <t>PUPA</t>
  </si>
  <si>
    <t>Maintenance + Make Ready</t>
  </si>
  <si>
    <t>Admin Expenses</t>
  </si>
  <si>
    <t>Property Insurance</t>
  </si>
  <si>
    <t>Compliance</t>
  </si>
  <si>
    <t>Staff Payroll</t>
  </si>
  <si>
    <t>Property Manager</t>
  </si>
  <si>
    <t>Leasing Agent</t>
  </si>
  <si>
    <t>Maintenance Staff</t>
  </si>
  <si>
    <t>#</t>
  </si>
  <si>
    <t>$/hr</t>
  </si>
  <si>
    <t>Per Year</t>
  </si>
  <si>
    <t>$/Turn</t>
  </si>
  <si>
    <t>Maintenance</t>
  </si>
  <si>
    <t>$/Unit/Mo</t>
  </si>
  <si>
    <t>#/Mo</t>
  </si>
  <si>
    <t>Total Payroll</t>
  </si>
  <si>
    <t>Total Maintenance + Make Ready</t>
  </si>
  <si>
    <t>Total Utilities</t>
  </si>
  <si>
    <t>Units</t>
  </si>
  <si>
    <t>Clubhouse</t>
  </si>
  <si>
    <t>Property</t>
  </si>
  <si>
    <t>$/Mo</t>
  </si>
  <si>
    <t>Landscaping</t>
  </si>
  <si>
    <t>Pest Control</t>
  </si>
  <si>
    <t>Pool Maintenance</t>
  </si>
  <si>
    <t>Total Contract Services</t>
  </si>
  <si>
    <t xml:space="preserve">Make Ready </t>
  </si>
  <si>
    <t>EXPENSE DETAIL</t>
  </si>
  <si>
    <t>Elevator Maintenance</t>
  </si>
  <si>
    <t>Janitorial</t>
  </si>
  <si>
    <t>Security</t>
  </si>
  <si>
    <t>Waste Collection</t>
  </si>
  <si>
    <t>Gas</t>
  </si>
  <si>
    <t>Benefits Burden</t>
  </si>
  <si>
    <t>Tax Burden</t>
  </si>
  <si>
    <t>Operating Cash Flow</t>
  </si>
  <si>
    <t>Cap Rate</t>
  </si>
  <si>
    <t>Stabilized Value</t>
  </si>
  <si>
    <t>Total Property Tax</t>
  </si>
  <si>
    <t>Operating Cash Flow as a % of Gross Revenues</t>
  </si>
  <si>
    <t>Millage Factor</t>
  </si>
  <si>
    <t>Total Property Insurance</t>
  </si>
  <si>
    <t>Gross Revenues:</t>
  </si>
  <si>
    <t>Gross Revenues</t>
  </si>
  <si>
    <t>Net Revenues</t>
  </si>
  <si>
    <t>Net Revenue</t>
  </si>
  <si>
    <t>Gross Revenue</t>
  </si>
  <si>
    <t>Administrative</t>
  </si>
  <si>
    <t>Payroll</t>
  </si>
  <si>
    <t>Less: Community Facilities</t>
  </si>
  <si>
    <t>Less: Home Loans</t>
  </si>
  <si>
    <t>Less: Reserves</t>
  </si>
  <si>
    <t>Replacement Reserve Deposit</t>
  </si>
  <si>
    <t>Syndication Costs</t>
  </si>
  <si>
    <t>Community Facilities</t>
  </si>
  <si>
    <t>Special Site Conditions</t>
  </si>
  <si>
    <t>GC Overhead</t>
  </si>
  <si>
    <t>GC Profit</t>
  </si>
  <si>
    <t>Builder Profit Fee Base</t>
  </si>
  <si>
    <t>Residential Structures</t>
  </si>
  <si>
    <t>Developer Fee Base</t>
  </si>
  <si>
    <t>Insurance Reserves</t>
  </si>
  <si>
    <t>$/SF Construction Cost</t>
  </si>
  <si>
    <t>Less: Financing Fees</t>
  </si>
  <si>
    <t>Adjusted Construction Basis</t>
  </si>
  <si>
    <t>Qualified Construction Basis</t>
  </si>
  <si>
    <t>Tax Credit Equity</t>
  </si>
  <si>
    <t>Stabilize</t>
  </si>
  <si>
    <t>Developer Fee Limit</t>
  </si>
  <si>
    <t>Max TDC</t>
  </si>
  <si>
    <t>Max TDC/Unit</t>
  </si>
  <si>
    <t>Tax Equity Bridge Loan</t>
  </si>
  <si>
    <t>Tax Equity Proceeds</t>
  </si>
  <si>
    <t>Tax Equity O/S Balance</t>
  </si>
  <si>
    <t>Capitalized Bridge Interest</t>
  </si>
  <si>
    <t>Construction Cost Estimates</t>
  </si>
  <si>
    <t>Sitework</t>
  </si>
  <si>
    <t>Category</t>
  </si>
  <si>
    <t>Estimate</t>
  </si>
  <si>
    <t>Unit Cost</t>
  </si>
  <si>
    <t>Construction Cost - Units</t>
  </si>
  <si>
    <t>Construction Cost - Clubhouse</t>
  </si>
  <si>
    <t>Elevators</t>
  </si>
  <si>
    <t>$/sf</t>
  </si>
  <si>
    <t>Pool</t>
  </si>
  <si>
    <t>lump sum</t>
  </si>
  <si>
    <t>Playground</t>
  </si>
  <si>
    <t>Contigency</t>
  </si>
  <si>
    <t>Total Vertical Construction Cost</t>
  </si>
  <si>
    <t>Total Hard Construction Cost</t>
  </si>
  <si>
    <t>Overhead</t>
  </si>
  <si>
    <t>Profit</t>
  </si>
  <si>
    <t>Vertical Cost per Unit</t>
  </si>
  <si>
    <t>Vertical Cost per SF</t>
  </si>
  <si>
    <t>Hard Cost per Unit</t>
  </si>
  <si>
    <t>Hard Cost per SF</t>
  </si>
  <si>
    <t>Sources/Uses Balance</t>
  </si>
  <si>
    <t>CONSTRUCTION DEBT</t>
  </si>
  <si>
    <t>Beginning Balance</t>
  </si>
  <si>
    <t>Ending Balance</t>
  </si>
  <si>
    <t>YR1</t>
  </si>
  <si>
    <t>Amount Needed</t>
  </si>
  <si>
    <t>Equity Bridge Loan</t>
  </si>
  <si>
    <t>Perm Loan</t>
  </si>
  <si>
    <t>Mortgage Rate Constant</t>
  </si>
  <si>
    <t>FINANCING FEES &amp; ASSUMPTION</t>
  </si>
  <si>
    <t>Takeout (Gap)/Surplus</t>
  </si>
  <si>
    <t>Interest Expense Reserves</t>
  </si>
  <si>
    <t>GP Loan</t>
  </si>
  <si>
    <t>N/A</t>
  </si>
  <si>
    <t>LHC Fees</t>
  </si>
  <si>
    <t>RE Taxes During Construction</t>
  </si>
  <si>
    <t>Survey</t>
  </si>
  <si>
    <t>Marketing/Lease-Up</t>
  </si>
  <si>
    <t>FF&amp;E (Common Areas)</t>
  </si>
  <si>
    <t>Owner's Counsel</t>
  </si>
  <si>
    <t>Construction/Builder's Risk</t>
  </si>
  <si>
    <t>* from 2025 QAP</t>
  </si>
  <si>
    <t>Loan Sizing</t>
  </si>
  <si>
    <t>Stablization NOI - YR2</t>
  </si>
  <si>
    <t>Stabilized DSCR - Sizing</t>
  </si>
  <si>
    <t>$/unit</t>
  </si>
  <si>
    <t>*Acquisition/Rehab: $110,000/unit direct hard cost; GC fees &amp; contingency layered on top</t>
  </si>
  <si>
    <t>Supportable Perm Loan (NOI/DSCR)</t>
  </si>
  <si>
    <t>CDBG</t>
  </si>
  <si>
    <t>YEAR 1 LEASE-UP — MONTHLY CASH FLOW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</si>
  <si>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</si>
  <si>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</si>
  <si>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</si>
  <si>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</si>
  <si>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</si>
  <si>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</si>
  <si>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</si>
  <si>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</si>
  <si>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</si>
  <si>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</si>
  <si>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</si>
  <si>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</si>
  <si>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LEASE-UP ASSUMPTIONS</t>
  </si>
  <si>
    <t>Units Leased per Month</t>
  </si>
  <si>
    <t>Cumulative Units Occupied</t>
  </si>
  <si>
    <t>Occupancy %</t>
  </si>
  <si>
    <t>Fixed %</t>
  </si>
  <si>
    <t>Operating Deficit Funding</t>
  </si>
  <si>
    <t>Interest Reserve Funding</t>
  </si>
  <si>
    <t>Operating Deficit Reserve</t>
  </si>
  <si>
    <t>Interest Expense Reserve</t>
  </si>
  <si>
    <t>Surplus cash distribution — see Surplus Cash Waterfall' sheet</t>
  </si>
  <si>
    <t>Cash after Fees</t>
  </si>
  <si>
    <t>Target (LP cushion)</t>
  </si>
  <si>
    <t>Surplus Cash Distribution &amp; Paydown Schedules</t>
  </si>
  <si>
    <t>Less: Deferred Developer Fee Payment</t>
  </si>
  <si>
    <t>Less: Reserve Funding</t>
  </si>
  <si>
    <t>Less: CDBG / LHC Loan Payment</t>
  </si>
  <si>
    <t>Total Distributed</t>
  </si>
  <si>
    <t>Undistributed Surplus / (Deficit)</t>
  </si>
  <si>
    <t>DEFERRED DEVELOPER FEE PAYDOWN</t>
  </si>
  <si>
    <t>Less: Payment (from surplus)</t>
  </si>
  <si>
    <t>CDBG / LHC SOFT LOAN PAYDOWN</t>
  </si>
  <si>
    <t>RESERVE ACCOUNT BALANCE</t>
  </si>
  <si>
    <t>Plus: Reserve Funding (replenishment)</t>
  </si>
  <si>
    <t>Less: Reserve Draw (lease-up)</t>
  </si>
  <si>
    <t>Op Cash before Debt Service</t>
  </si>
  <si>
    <t>Total Reserve Requirement</t>
  </si>
  <si>
    <t>RESERVE DRAWDOWN DURING LEASE-UP</t>
  </si>
  <si>
    <t>Debt Service (IO)</t>
  </si>
  <si>
    <t>Add: Debt Service (IO)</t>
  </si>
  <si>
    <t>Cash Available for Debt Service</t>
  </si>
  <si>
    <t>Funds Needed from Interest Reserve</t>
  </si>
  <si>
    <t>SURPLUS CASH AVAILABLE</t>
  </si>
  <si>
    <t>2025 New Orleans-Metairie MSA Gross Rent Limits</t>
  </si>
  <si>
    <t>Source: HUD FY2025 MTSP Income Limits (Orleans Parish)</t>
  </si>
  <si>
    <t>New Orleans Utility Allowances</t>
  </si>
  <si>
    <t>Source: HANO Utility Allowance Schedule, eff. 09/01/2025 (Apartment, all-electric)</t>
  </si>
  <si>
    <t>Sports Courts</t>
  </si>
  <si>
    <t>QAP RULE REGISTER</t>
  </si>
  <si>
    <t>LIHTC deal-tracker — QAP rules engine mirror · 32 rules · one-way offline mirror of the platform rules engine</t>
  </si>
  <si>
    <t>QAP Basis:</t>
  </si>
  <si>
    <t>Louisiana 2025 QAP</t>
  </si>
  <si>
    <t>rule_id</t>
  </si>
  <si>
    <t>group</t>
  </si>
  <si>
    <t>metric</t>
  </si>
  <si>
    <t>category</t>
  </si>
  <si>
    <t>severity</t>
  </si>
  <si>
    <t>scope</t>
  </si>
  <si>
    <t>operator</t>
  </si>
  <si>
    <t>threshold_value</t>
  </si>
  <si>
    <t>threshold_text</t>
  </si>
  <si>
    <t>pass_logic</t>
  </si>
  <si>
    <t>model_cells</t>
  </si>
  <si>
    <t>dashboard_kpi_id</t>
  </si>
  <si>
    <t>citation</t>
  </si>
  <si>
    <t>notes</t>
  </si>
  <si>
    <t>ELG-9PCT-BOND</t>
  </si>
  <si>
    <t>Credit Structure</t>
  </si>
  <si>
    <t>9% credit + tax-exempt bonds</t>
  </si>
  <si>
    <t>eligibility</t>
  </si>
  <si>
    <t>error</t>
  </si>
  <si>
    <t>COMPUTED</t>
  </si>
  <si>
    <t>eq</t>
  </si>
  <si>
    <t>Mutually exclusive</t>
  </si>
  <si>
    <t>IF CreditType=9% then 'Sources &amp; Uses'!I12 = 0</t>
  </si>
  <si>
    <t>Sources &amp; Uses'!I12</t>
  </si>
  <si>
    <t>QAP §II · IRC §42(h)(4)</t>
  </si>
  <si>
    <t>Evaluated only when 9% competitive; N/A for 4% bond.</t>
  </si>
  <si>
    <t>ELG-4PCT-BOND</t>
  </si>
  <si>
    <t>4% credit requires bonds</t>
  </si>
  <si>
    <t>gt</t>
  </si>
  <si>
    <t>Bonds required</t>
  </si>
  <si>
    <t>IF CreditType=4% then 'Sources &amp; Uses'!I12 &gt; 0</t>
  </si>
  <si>
    <t>Westbend I12=$30.19M &gt; 0.</t>
  </si>
  <si>
    <t>ELG-POOL-CAP</t>
  </si>
  <si>
    <t>Credit Sizing</t>
  </si>
  <si>
    <t>Per-project LIHTC pool cap</t>
  </si>
  <si>
    <t>lte</t>
  </si>
  <si>
    <t>$1.0M rural / $1.5M metro / $1.0M rural QNP-CHDO / uncapped reprocessing</t>
  </si>
  <si>
    <t>IF 9%: 'Tax Credit Calc'!F21 &lt;= pool cap (by pool toggle); 4% -&gt; N/A</t>
  </si>
  <si>
    <t>Tax Credit Calc'!F21</t>
  </si>
  <si>
    <t>QAP §II.B.1</t>
  </si>
  <si>
    <t>Cap toggle-dependent (see params). N/A for 4% bond (draws PAB volume cap).</t>
  </si>
  <si>
    <t>ELG-CREDIT-MAX</t>
  </si>
  <si>
    <t>Maximum allowable credit</t>
  </si>
  <si>
    <t>MIN(basis method, equity-gap method)</t>
  </si>
  <si>
    <t>Tax Credit Calc'!F21 &lt;= MIN(basis credit, gap credit)</t>
  </si>
  <si>
    <t>QAP §II.B · §IV.D</t>
  </si>
  <si>
    <t>Gap credit = (TDC-debt-soft-deferred)/price/10 / LP-fraction. Assumption flagged.</t>
  </si>
  <si>
    <t>ELG-BOOST-30</t>
  </si>
  <si>
    <t>Construction basis boost cap</t>
  </si>
  <si>
    <t>&lt;= 30%</t>
  </si>
  <si>
    <t>Tax Credit Calc'!F16 &lt;= 30%</t>
  </si>
  <si>
    <t>Tax Credit Calc'!F16</t>
  </si>
  <si>
    <t>QAP §II.C</t>
  </si>
  <si>
    <t>Westbend boost F16 = 0%.</t>
  </si>
  <si>
    <t>ELG-BOOST-ELIGIBILITY</t>
  </si>
  <si>
    <t>Basis boost geographic eligibility</t>
  </si>
  <si>
    <t>warning</t>
  </si>
  <si>
    <t>INPUT</t>
  </si>
  <si>
    <t>info</t>
  </si>
  <si>
    <t>Qualifying geography required</t>
  </si>
  <si>
    <t>IF boost claimed: geography eligible (input M6)</t>
  </si>
  <si>
    <t>Dashboard input M6</t>
  </si>
  <si>
    <t>QCT/DDA/Tribal/disaster/FFIEC (9%); QCT or DDA only (bond). Needs input M6.</t>
  </si>
  <si>
    <t>ELG-EQUITY-MATCH</t>
  </si>
  <si>
    <t>LIHTC equity reconciliation</t>
  </si>
  <si>
    <t>APP-SIDE</t>
  </si>
  <si>
    <t>Must match</t>
  </si>
  <si>
    <t>§18.10 LIHTC equity = syndication gross equity (app-form)</t>
  </si>
  <si>
    <t>(application form)</t>
  </si>
  <si>
    <t>QAP §IV.D.2</t>
  </si>
  <si>
    <t>App-side: needs §18.10 equity field. Excluded from verdict rollup.</t>
  </si>
  <si>
    <t>UW-DSCR-Y1</t>
  </si>
  <si>
    <t>DSCR</t>
  </si>
  <si>
    <t>Annual DSCR band (house rule, all yrs)</t>
  </si>
  <si>
    <t>underwriting</t>
  </si>
  <si>
    <t>between</t>
  </si>
  <si>
    <t>1.15 – 1.40</t>
  </si>
  <si>
    <t>MIN(DSCR Yr2-17) &gt;= 1.15 AND MAX &lt;= 1.40</t>
  </si>
  <si>
    <t>17-year Pro Forma'! row26 / (row30+row31), cols E:T</t>
  </si>
  <si>
    <t>DSCR-GATE</t>
  </si>
  <si>
    <t>QAP §IV.D.6</t>
  </si>
  <si>
    <t>Primary gate. Numerator = NOI before repl reserves. Yr1 excluded (lease-up). DSCR floor is a house rule.</t>
  </si>
  <si>
    <t>UW-DSCR-15</t>
  </si>
  <si>
    <t>15-year projected DSCR (QAP spot)</t>
  </si>
  <si>
    <t>1.00 – 1.40</t>
  </si>
  <si>
    <t>1.00 &lt;= DSCR &lt;= 1.40 at Yr5/10/15</t>
  </si>
  <si>
    <t>17-year Pro Forma'! row26/(row30+row31) cols H,M,R</t>
  </si>
  <si>
    <t>QAP spot-check subset of the annual gate.</t>
  </si>
  <si>
    <t>FEE-DEVELOPER</t>
  </si>
  <si>
    <t>Fee Limits</t>
  </si>
  <si>
    <t>Developer fee</t>
  </si>
  <si>
    <t>MIN($2.0M, 15% of base); no cap for 4% bond</t>
  </si>
  <si>
    <t>IF 4% bond: PASS (no cap); else I66 &lt;= MIN(2,000,000, 15%*I83)</t>
  </si>
  <si>
    <t>Sources &amp; Uses'!I66 (base I83)</t>
  </si>
  <si>
    <t>QAP §IV.D.18</t>
  </si>
  <si>
    <t>Replaces model placeholder I84 ($9,999,999). Westbend 4% bond -&gt; no cap.</t>
  </si>
  <si>
    <t>FEE-ARCHITECT</t>
  </si>
  <si>
    <t>Architect / build-design fee</t>
  </si>
  <si>
    <t>&lt;= 7% of construction contract</t>
  </si>
  <si>
    <t>Sources &amp; Uses'!I46 &lt;= 7% * I43</t>
  </si>
  <si>
    <t>Sources &amp; Uses'!I46 (contract I43)</t>
  </si>
  <si>
    <t>QAP §IV.D.19</t>
  </si>
  <si>
    <t>Construction contract = Total Hard Costs I43 (assumption).</t>
  </si>
  <si>
    <t>FEE-BUILDER-PROFIT</t>
  </si>
  <si>
    <t>Builder profit</t>
  </si>
  <si>
    <t>&lt;= 6% of builder-profit base</t>
  </si>
  <si>
    <t>Sources &amp; Uses'!I40 &lt;= 6% * I82</t>
  </si>
  <si>
    <t>Sources &amp; Uses'!I40 (base I82)</t>
  </si>
  <si>
    <t>QAP §IV.D.20</t>
  </si>
  <si>
    <t>Westbend exactly at 6% cap (zero cushion).</t>
  </si>
  <si>
    <t>FEE-BUILDER-OVERHEAD</t>
  </si>
  <si>
    <t>Builder overhead</t>
  </si>
  <si>
    <t>&lt;= 2% of builder-profit base</t>
  </si>
  <si>
    <t>Sources &amp; Uses'!I39 &lt;= 2% * I82</t>
  </si>
  <si>
    <t>Sources &amp; Uses'!I39 (base I82)</t>
  </si>
  <si>
    <t>QAP §IV.D.21</t>
  </si>
  <si>
    <t>Exactly at 2% cap.</t>
  </si>
  <si>
    <t>FEE-GENERAL-REQUIREMENTS</t>
  </si>
  <si>
    <t>General requirements</t>
  </si>
  <si>
    <t>Sources &amp; Uses'!I38 &lt;= 6% * I82</t>
  </si>
  <si>
    <t>Sources &amp; Uses'!I38 (base I82)</t>
  </si>
  <si>
    <t>QAP §IV.D.23</t>
  </si>
  <si>
    <t>Exactly at 6% cap.</t>
  </si>
  <si>
    <t>FEE-CONTINGENCY</t>
  </si>
  <si>
    <t>Construction contingency</t>
  </si>
  <si>
    <t>&lt;= 10% of construction contract</t>
  </si>
  <si>
    <t>Sources &amp; Uses'!I41 &lt;= 10% * I43</t>
  </si>
  <si>
    <t>Sources &amp; Uses'!I41 (contract I43)</t>
  </si>
  <si>
    <t>QAP §IV.D</t>
  </si>
  <si>
    <t>Westbend ~4.8% &lt;= 10%.</t>
  </si>
  <si>
    <t>UW-OPEX-MIN</t>
  </si>
  <si>
    <t>Operating &amp; Reserves</t>
  </si>
  <si>
    <t>Minimum operating expenses</t>
  </si>
  <si>
    <t>gte</t>
  </si>
  <si>
    <t>&gt;= $4,500 per unit per year</t>
  </si>
  <si>
    <t>17-year Pro Forma'!E24 &gt;= 4500 * units</t>
  </si>
  <si>
    <t>17-year Pro Forma'!E24; Units</t>
  </si>
  <si>
    <t>QAP §IV.D.13</t>
  </si>
  <si>
    <t>Units = 'Unit Mix+Rents'!D15 = 280.</t>
  </si>
  <si>
    <t>UW-OPERATING-RESERVE-6MO</t>
  </si>
  <si>
    <t>Operating reserve minimum</t>
  </si>
  <si>
    <t>&gt;= 6 months (0.5x annual opex)</t>
  </si>
  <si>
    <t>Sources &amp; Uses'!I68 &gt;= 0.5 * 'PF'!E24</t>
  </si>
  <si>
    <t>Sources &amp; Uses'!I68; 'PF'!E24</t>
  </si>
  <si>
    <t>QAP §IV.D.14</t>
  </si>
  <si>
    <t>6-mo = half of annual stabilized opex.</t>
  </si>
  <si>
    <t>FEE-ASSET-MGMT-CAP</t>
  </si>
  <si>
    <t>Asset-management fee cap (opex)</t>
  </si>
  <si>
    <t>&lt;= $5,000 / year</t>
  </si>
  <si>
    <t>Combined AM fee in OPEX &lt;= $5,000/yr</t>
  </si>
  <si>
    <t>(no AM line inside opex)</t>
  </si>
  <si>
    <t>QAP §IV.D.3 · §44</t>
  </si>
  <si>
    <t>N/A: Westbend opex has no AM line. PF row38 AM fee is a below-NOI partnership fee, NOT opex. Excluded from rollup.</t>
  </si>
  <si>
    <t>UW-RESERVE-PUPA</t>
  </si>
  <si>
    <t>Replacement-reserve deposit minimum</t>
  </si>
  <si>
    <t>$300 senior / $350 family / $500 rehab per unit/yr</t>
  </si>
  <si>
    <t>17-year Pro Forma'!D28 / units &gt;= project-type floor</t>
  </si>
  <si>
    <t>17-year Pro Forma'!D28; Units</t>
  </si>
  <si>
    <t>QAP §IV.D.10</t>
  </si>
  <si>
    <t>Floor toggle-dependent (params). Westbend $350/unit = Family floor.</t>
  </si>
  <si>
    <t>UW-RESERVE-ADEQUACY</t>
  </si>
  <si>
    <t>Replacement-reserve adequacy</t>
  </si>
  <si>
    <t>&gt;= per-unit min balance every year</t>
  </si>
  <si>
    <t>Cumulative repl-reserve balance &gt;= per-unit min every yr</t>
  </si>
  <si>
    <t>17-year Pro Forma'! row28 cumulative</t>
  </si>
  <si>
    <t>Helper: cumulative deposits vs floor*units each year.</t>
  </si>
  <si>
    <t>UW-VACANCY13</t>
  </si>
  <si>
    <t>Vacancy &amp; Trending</t>
  </si>
  <si>
    <t>Vacancy, years 1-3</t>
  </si>
  <si>
    <t>&gt;= 7% (normal market)</t>
  </si>
  <si>
    <t>Rev+Expenses'!D30 &gt;= 7%</t>
  </si>
  <si>
    <t>Rev+Expenses'!D30</t>
  </si>
  <si>
    <t>QAP §IV.D.5</t>
  </si>
  <si>
    <t>Westbend 7%.</t>
  </si>
  <si>
    <t>UW-VACANCY4</t>
  </si>
  <si>
    <t>Vacancy, years 4+</t>
  </si>
  <si>
    <t>Same vacancy assumption Yr4+.</t>
  </si>
  <si>
    <t>UW-TREND-RENT13</t>
  </si>
  <si>
    <t>Rent inflation, years 1-3</t>
  </si>
  <si>
    <t>&lt;= 2.0% (LHC standard)</t>
  </si>
  <si>
    <t>17-year Pro Forma'!E6/D6-1 &lt;= 2.0%</t>
  </si>
  <si>
    <t>17-year Pro Forma'! row6 YoY / D48</t>
  </si>
  <si>
    <t>QAP §IV.D.4</t>
  </si>
  <si>
    <t>Revenue growth D48 = 2%.</t>
  </si>
  <si>
    <t>UW-TREND-RENT415</t>
  </si>
  <si>
    <t>Rent inflation, years 4-15</t>
  </si>
  <si>
    <t>PF row6 YoY &lt;= 2.0%</t>
  </si>
  <si>
    <t>Same 2% trend Yr4-15.</t>
  </si>
  <si>
    <t>UW-TREND-EXPENSE</t>
  </si>
  <si>
    <t>Expense inflation</t>
  </si>
  <si>
    <t>&gt;= 2.8% (LHC standard)</t>
  </si>
  <si>
    <t>PF expense growth D49 &gt;= 2.8%</t>
  </si>
  <si>
    <t>17-year Pro Forma'!D49</t>
  </si>
  <si>
    <t>Expense growth D49 = 3%.</t>
  </si>
  <si>
    <t>UW-HUD-TDC</t>
  </si>
  <si>
    <t>Cost &amp; TDC</t>
  </si>
  <si>
    <t>HUD Total Development Cost limit</t>
  </si>
  <si>
    <t>&lt;= 100% of HUD per-unit TDC limit (summed)</t>
  </si>
  <si>
    <t>Adjusted TDC 'Sources &amp; Uses'!I79 &lt;= HUD limit (input M10)</t>
  </si>
  <si>
    <t>Sources &amp; Uses'!I79; input M10</t>
  </si>
  <si>
    <t>QAP §IV.D.25</t>
  </si>
  <si>
    <t>Model I86 ($287,704) is a QAP figure, NOT the HUD limit. Enter M10 per deal.</t>
  </si>
  <si>
    <t>UW-SOURCES-USES</t>
  </si>
  <si>
    <t>Sources &amp; Uses balance</t>
  </si>
  <si>
    <t>Sources = Uses (to $1)</t>
  </si>
  <si>
    <t>ABS('Sources &amp; Uses'!I81) &lt;= 1</t>
  </si>
  <si>
    <t>Sources &amp; Uses'!I81</t>
  </si>
  <si>
    <t>Westbend balance ~$0.</t>
  </si>
  <si>
    <t>UW-BASIS-RECON</t>
  </si>
  <si>
    <t>Eligible-basis reconciliation</t>
  </si>
  <si>
    <t>No reconciliation errors</t>
  </si>
  <si>
    <t>Eligible-basis config reconciles with unit-mix (app-form)</t>
  </si>
  <si>
    <t>IRC §42(d)</t>
  </si>
  <si>
    <t>App-side: needs eligible-basis config. Excluded from rollup.</t>
  </si>
  <si>
    <t>UW-SYND-COSTCAP</t>
  </si>
  <si>
    <t>Syndication</t>
  </si>
  <si>
    <t>Syndication cost cap</t>
  </si>
  <si>
    <t>&lt;= 10% private / 15% public of proceeds</t>
  </si>
  <si>
    <t>Financing Assumptions'!D49 &lt;= rate * 'Tax Credit Calc'!F40</t>
  </si>
  <si>
    <t>Financing Assumptions'!D49; 'Tax Credit Calc'!F40</t>
  </si>
  <si>
    <t>QAP §IV.D.24</t>
  </si>
  <si>
    <t>Rate by offering toggle (M8). Westbend $50K &lt;&lt; 10%*$15.19M.</t>
  </si>
  <si>
    <t>UW-SYND-PARTVI</t>
  </si>
  <si>
    <t>Syndication cost reconciliation</t>
  </si>
  <si>
    <t>Part VI = Dev Costs syndication total</t>
  </si>
  <si>
    <t>Part VI syndication = Dev Costs syndication subtotal (app-form)</t>
  </si>
  <si>
    <t>App-side: needs Part VI form. Excluded from rollup.</t>
  </si>
  <si>
    <t>UW-CASHFLOW-10PCT</t>
  </si>
  <si>
    <t>Cash Flow</t>
  </si>
  <si>
    <t>Year-1 cash flow ceiling</t>
  </si>
  <si>
    <t>&lt;= 10% of operating expenses</t>
  </si>
  <si>
    <t>Stabilized cash 'PF'!E40 &lt;= 10% * 'PF'!E24</t>
  </si>
  <si>
    <t>17-year Pro Forma'!E40; E24</t>
  </si>
  <si>
    <t>Stabilized (Yr2) cash vs 10% of opex.</t>
  </si>
  <si>
    <t>UW-DEFERRED-DEV-FEE-15YR</t>
  </si>
  <si>
    <t>Deferred developer fee payoff</t>
  </si>
  <si>
    <t>Fully repaid by year 15</t>
  </si>
  <si>
    <t>Cumulative 'PF'! row40 (Yr2-&gt;) at Yr15 &gt;= deferred fee (input M11)</t>
  </si>
  <si>
    <t>17-year Pro Forma'! row40 cumulative; input M11</t>
  </si>
  <si>
    <t>UW-DEF-FEE</t>
  </si>
  <si>
    <t>QAP §IV.D.3 · §IV.D.9</t>
  </si>
  <si>
    <t>Source = PF row40 cumulative (waterfall is a stub - not used). Default deferred fee = 'Sources &amp; Uses'!I22.</t>
  </si>
  <si>
    <t>THRESHOLD PARAMETERS (toggle-dependent &amp; shared) — dashboard binds here via named ranges</t>
  </si>
  <si>
    <t>Parameter</t>
  </si>
  <si>
    <t>Value</t>
  </si>
  <si>
    <t>Replacement reserve floor — Senior ($/unit/yr)</t>
  </si>
  <si>
    <t>Replacement reserve floor — Family ($/unit/yr)</t>
  </si>
  <si>
    <t>Replacement reserve floor — Rehab ($/unit/yr)</t>
  </si>
  <si>
    <t>Pool cap — Metro ($)</t>
  </si>
  <si>
    <t>Pool cap — Rural ($)</t>
  </si>
  <si>
    <t>Pool cap — Rural QNP-CHDO ($)</t>
  </si>
  <si>
    <t>Pool cap — Reprocessing (uncapped)</t>
  </si>
  <si>
    <t>Developer fee cap — absolute ($)</t>
  </si>
  <si>
    <t>Developer fee cap — % of dev fee base</t>
  </si>
  <si>
    <t>Syndication cost cap — Private (% proceeds)</t>
  </si>
  <si>
    <t>Syndication cost cap — Public (% proceeds)</t>
  </si>
  <si>
    <t>DSCR floor — house rule</t>
  </si>
  <si>
    <t>DSCR ceiling — QAP</t>
  </si>
  <si>
    <t>DSCR 15-yr floor — QAP</t>
  </si>
  <si>
    <t>LEGEND</t>
  </si>
  <si>
    <t>Hard fail — ineligible, disqualifying, or a credit reduction.</t>
  </si>
  <si>
    <t>LHC standard / scrutiny — may reduce credits or subordinate loan; not an automatic disqualifier.</t>
  </si>
  <si>
    <t>Derivable from the model; drives the dashboard.</t>
  </si>
  <si>
    <t>Needs a per-deal external value (dashboard inputs); computed once supplied.</t>
  </si>
  <si>
    <t>Needs application-form data absent from the model; 'Verify in platform'. Excluded from rollup.</t>
  </si>
  <si>
    <t>yellow cell</t>
  </si>
  <si>
    <t>Value not sourced — pull from engine JSON, do not fabricate.</t>
  </si>
  <si>
    <t>DEAL INPUTS</t>
  </si>
  <si>
    <t>Project name</t>
  </si>
  <si>
    <t>Project type</t>
  </si>
  <si>
    <t>Family</t>
  </si>
  <si>
    <t>Credit type</t>
  </si>
  <si>
    <t>4% bond</t>
  </si>
  <si>
    <t>Basis-boost geography eligible</t>
  </si>
  <si>
    <t>RD/HUD financed</t>
  </si>
  <si>
    <t>Syndication offering</t>
  </si>
  <si>
    <t>Private</t>
  </si>
  <si>
    <t>Pool (if 9%)</t>
  </si>
  <si>
    <t>Metro</t>
  </si>
  <si>
    <t>Deferred developer fee</t>
  </si>
  <si>
    <t>Yr#</t>
  </si>
  <si>
    <t>DSCR (pre-res)</t>
  </si>
  <si>
    <t>DSCR (aft-res)</t>
  </si>
  <si>
    <t>Cash aft fees</t>
  </si>
  <si>
    <t>Cum cash</t>
  </si>
  <si>
    <t>Min DSCR (pre-res)</t>
  </si>
  <si>
    <t>Min DSCR year</t>
  </si>
  <si>
    <t>Max DSCR (pre-res)</t>
  </si>
  <si>
    <t>DSCR band status</t>
  </si>
  <si>
    <t>DSCR-15 QAP (y5/10/15) min</t>
  </si>
  <si>
    <t>Cum cash @ Yr15</t>
  </si>
  <si>
    <t>Deferred payback year</t>
  </si>
  <si>
    <t>Equity-gap max credit</t>
  </si>
  <si>
    <t>kpi_id</t>
  </si>
  <si>
    <t>value</t>
  </si>
  <si>
    <t>threshold</t>
  </si>
  <si>
    <t>status</t>
  </si>
  <si>
    <t>message</t>
  </si>
  <si>
    <t>rank</t>
  </si>
  <si>
    <t>Bonds &gt; $0</t>
  </si>
  <si>
    <t>9% + bonds mutually exclusive</t>
  </si>
  <si>
    <t>Bonds = $0</t>
  </si>
  <si>
    <t>Basis-boost geo eligibility</t>
  </si>
  <si>
    <t>Qualifying geo</t>
  </si>
  <si>
    <t>Per-project pool cap</t>
  </si>
  <si>
    <t>Annual DSCR band (Yr2-17)</t>
  </si>
  <si>
    <t>1.15-1.40</t>
  </si>
  <si>
    <t>15-yr projected DSCR (y5/10/15)</t>
  </si>
  <si>
    <t>1.00-1.40</t>
  </si>
  <si>
    <t>Architect / design fee</t>
  </si>
  <si>
    <t>Operating reserve (6 mo)</t>
  </si>
  <si>
    <t>Repl-reserve deposit / unit</t>
  </si>
  <si>
    <t>Repl-reserve adequacy (all yrs)</t>
  </si>
  <si>
    <t>HUD Total Dev Cost limit</t>
  </si>
  <si>
    <t>Sources = Uses balance</t>
  </si>
  <si>
    <t>Year-1 cash-flow ceiling</t>
  </si>
  <si>
    <t>Deferred Fee</t>
  </si>
  <si>
    <t>Deferred dev-fee payoff by Yr15</t>
  </si>
  <si>
    <t>Expense inflation (payroll YoY)</t>
  </si>
  <si>
    <t>Asset-mgmt fee cap (opex)</t>
  </si>
  <si>
    <t>n/a</t>
  </si>
  <si>
    <t>$5,000/yr</t>
  </si>
  <si>
    <t>No asset-mgmt line inside operating expenses (row-38 AM fee is below-NOI partnership fee) — verify in platform</t>
  </si>
  <si>
    <t>§18.10 LIHTC equity vs syndication gross — verify in platform</t>
  </si>
  <si>
    <t>No recon errors</t>
  </si>
  <si>
    <t>Eligible-basis config vs unit-mix aggregates — verify in platform</t>
  </si>
  <si>
    <t>Part VI = Dev Costs</t>
  </si>
  <si>
    <t>Part VI syndication vs Development Costs subtotal — verify in platform</t>
  </si>
  <si>
    <t>Hard fails</t>
  </si>
  <si>
    <t>Warnings</t>
  </si>
  <si>
    <t>Pending</t>
  </si>
  <si>
    <t>VERDICT</t>
  </si>
  <si>
    <t>Metric</t>
  </si>
  <si>
    <t>Test</t>
  </si>
  <si>
    <t>Threshold</t>
  </si>
  <si>
    <t>Status</t>
  </si>
  <si>
    <t>Severity</t>
  </si>
  <si>
    <t>CREDIT STRUCTURE &amp; SIZING</t>
  </si>
  <si>
    <t>&gt;</t>
  </si>
  <si>
    <t>=</t>
  </si>
  <si>
    <t>≤</t>
  </si>
  <si>
    <t>req</t>
  </si>
  <si>
    <t>band</t>
  </si>
  <si>
    <t>FEE LIMITS</t>
  </si>
  <si>
    <t>OPERATING &amp; RESERVES</t>
  </si>
  <si>
    <t>≥</t>
  </si>
  <si>
    <t>VACANCY &amp; TRENDING</t>
  </si>
  <si>
    <t>CASH FLOW &amp; DEFERRED FEE</t>
  </si>
  <si>
    <t>sortkey</t>
  </si>
  <si>
    <t>QAP-TDC-PERUNIT</t>
  </si>
  <si>
    <t>Per-unit TDC vs QAP max</t>
  </si>
  <si>
    <t>QAP-TDC-TOTAL</t>
  </si>
  <si>
    <t>Total TDC vs QAP max</t>
  </si>
  <si>
    <t>EXCLUDED</t>
  </si>
  <si>
    <t>COST &amp; TDC</t>
  </si>
  <si>
    <t>New Orleans TDC Limits</t>
  </si>
  <si>
    <t>BRs</t>
  </si>
  <si>
    <t>Detached/Semi</t>
  </si>
  <si>
    <t>Row House</t>
  </si>
  <si>
    <t>Walkup</t>
  </si>
  <si>
    <t>Elevator</t>
  </si>
  <si>
    <t>Building type:</t>
  </si>
  <si>
    <t>1BR TDC/unit:</t>
  </si>
  <si>
    <t>2BR TDC/unit:</t>
  </si>
  <si>
    <t>Weighted TDC/unit:</t>
  </si>
  <si>
    <t>Total TDC limit:</t>
  </si>
  <si>
    <t>Source: HUD FY2024 Unit TDC Limits, Region VI – Midsouth, New Orleans row (hud.gov)</t>
  </si>
  <si>
    <t>* HUD 2024 Region VI</t>
  </si>
  <si>
    <t>BR</t>
  </si>
  <si>
    <t>Total →</t>
  </si>
  <si>
    <t>HUD 2024 TDC LIMITS — New Orleans, LA (TDC $/unit by building type)</t>
  </si>
  <si>
    <t>Detached/Semi-Detached</t>
  </si>
  <si>
    <t>Walk-up</t>
  </si>
  <si>
    <t>TDC/unit (active)</t>
  </si>
  <si>
    <t>Subtotal</t>
  </si>
  <si>
    <t>Westbend</t>
  </si>
  <si>
    <t>EQUITY VALUATION SCHEDULE</t>
  </si>
  <si>
    <t>Direct capitalization: same-year NOI ÷ flat cap rate. Equity = capitalized value less end-of-year balances of senior bonds, deferred developer fee, and CDBG/LHC soft loan.</t>
  </si>
  <si>
    <t>CAPITALIZED PROPERTY VALUE</t>
  </si>
  <si>
    <t>Less: Senior Bond Balance</t>
  </si>
  <si>
    <t>Less: Deferred Developer Fee Balance</t>
  </si>
  <si>
    <t>Less: CDBG / LHC Soft Loan Balance</t>
  </si>
  <si>
    <t>NET EQUITY VALUE</t>
  </si>
  <si>
    <t>Equity as % of Property Value</t>
  </si>
  <si>
    <t>ASSUMPTIONS</t>
  </si>
  <si>
    <t>Cap Rate (flat, all years)</t>
  </si>
  <si>
    <t>Net Equity excl. Soft Loan</t>
  </si>
  <si>
    <t>Calculated Property Tax</t>
  </si>
  <si>
    <t>PILOT in place? (Yes/No)</t>
  </si>
  <si>
    <t>PILOT term (years)</t>
  </si>
  <si>
    <t>PILOT Annual Payment ($)</t>
  </si>
  <si>
    <t>Abatement</t>
  </si>
  <si>
    <t>Demolition</t>
  </si>
  <si>
    <t>Architect &amp; Engineering</t>
  </si>
  <si>
    <t>Input</t>
  </si>
  <si>
    <t>Building / product type</t>
  </si>
  <si>
    <t>TDC cost region</t>
  </si>
  <si>
    <t>New Orleans</t>
  </si>
  <si>
    <t>SCORECARD SUMMARY</t>
  </si>
  <si>
    <t>HELPER — DSCR &amp; CASH BY YEAR</t>
  </si>
  <si>
    <t>KPI RULE REGISTER</t>
  </si>
  <si>
    <t>HUD TDC limit</t>
  </si>
  <si>
    <t>VERDICT KEY</t>
  </si>
  <si>
    <t>MARGINAL — no hard fails, but ≥1 warning or pending item</t>
  </si>
  <si>
    <t>PENCILS — fully clean: no hard fails, warnings, or pending items</t>
  </si>
  <si>
    <t>FAIL — one or more hard fails present</t>
  </si>
  <si>
    <t>Less: Acquisition Cost</t>
  </si>
  <si>
    <t>Add: Building Basis</t>
  </si>
  <si>
    <t>$/shaft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</si>
</sst>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5" formatCode="&quot;$&quot;#,##0_);\(&quot;$&quot;#,##0\)"/>
    <numFmt numFmtId="6" formatCode="&quot;$&quot;#,##0_);[Red]\(&quot;$&quot;#,##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&quot;$&quot;* #,##0_);_(&quot;$&quot;* \(#,##0\);_(&quot;$&quot;* &quot;-&quot;??_);_(@_)"/>
    <numFmt numFmtId="166" formatCode="_(&quot;$&quot;* #,##0.00_);_(&quot;$&quot;* \(#,##0.00\);_(&quot;$&quot;* &quot;-&quot;_);_(@_)"/>
    <numFmt numFmtId="167" formatCode="0.00\x"/>
    <numFmt numFmtId="168" formatCode="m/yy"/>
    <numFmt numFmtId="169" formatCode="&quot;M&quot;0"/>
    <numFmt numFmtId="170" formatCode="0.0"/>
    <numFmt numFmtId="171" formatCode="_(* #,##0.00_);_(* \(#,##0.00\);_(* &quot;-&quot;_);_(@_)"/>
    <numFmt numFmtId="172" formatCode="&quot;Y&quot;0"/>
    <numFmt numFmtId="173" formatCode="_(&quot;$&quot;* #,##0.00_);_(&quot;$&quot;* \(#,##0.00\);_(&quot;$&quot;* &quot;-&quot;???_);_(@_)"/>
    <numFmt numFmtId="174" formatCode="#,##0;\(#,##0\);&quot;-&quot;"/>
    <numFmt numFmtId="175" formatCode="&quot;$&quot;#,##0"/>
    <numFmt numFmtId="176" formatCode="0.00&quot;x&quot;"/>
    <numFmt numFmtId="177" formatCode="&quot;$&quot;#,##0;\(&quot;$&quot;#,##0\);&quot;-&quot;"/>
    <numFmt numFmtId="178" formatCode="0.000&quot;x&quot;"/>
    <numFmt numFmtId="179" formatCode="0%\ &quot;T/O Ratio&quot;"/>
    <numFmt numFmtId="180" formatCode="0.0\ &quot;x Water&quot;"/>
  </numFmts>
  <fonts count="5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sz val="1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sz val="10"/>
      <color rgb="FFFF0000"/>
      <name val="Aptos Narrow"/>
      <family val="2"/>
      <scheme val="minor"/>
    </font>
    <font>
      <i/>
      <sz val="11"/>
      <color rgb="FF0070C0"/>
      <name val="Aptos Narrow"/>
      <family val="2"/>
      <scheme val="minor"/>
    </font>
    <font>
      <sz val="10"/>
      <name val="Arial"/>
      <family val="2"/>
    </font>
    <font>
      <sz val="11"/>
      <color theme="0" tint="-0.34998626667073579"/>
      <name val="Aptos Narrow"/>
      <family val="2"/>
      <scheme val="minor"/>
    </font>
    <font>
      <i/>
      <sz val="10"/>
      <name val="Aptos Narrow"/>
      <family val="2"/>
      <scheme val="minor"/>
    </font>
    <font>
      <sz val="10"/>
      <name val="Arial"/>
      <family val="2"/>
    </font>
    <font>
      <sz val="8"/>
      <name val="Aptos Narrow"/>
      <family val="2"/>
      <scheme val="minor"/>
    </font>
    <font>
      <i/>
      <sz val="10"/>
      <color rgb="FFFF0000"/>
      <name val="Aptos Narrow"/>
      <family val="2"/>
      <scheme val="minor"/>
    </font>
    <font>
      <sz val="10"/>
      <color theme="1"/>
      <name val="Aptos Narrow"/>
      <family val="2"/>
      <scheme val="minor"/>
    </font>
    <font>
      <i/>
      <sz val="11"/>
      <color theme="0" tint="-0.249977111117893"/>
      <name val="Aptos Narrow"/>
      <family val="2"/>
      <scheme val="minor"/>
    </font>
    <font>
      <sz val="10"/>
      <color rgb="FF0070C0"/>
      <name val="Arial"/>
      <family val="2"/>
    </font>
    <font>
      <i/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0"/>
      <color rgb="FF0070C0"/>
      <name val="Aptos Narrow"/>
      <family val="2"/>
      <scheme val="minor"/>
    </font>
    <font>
      <i/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4"/>
      <color rgb="FF1F4E5F"/>
      <name val="Arial"/>
      <family val="2"/>
    </font>
    <font>
      <i/>
      <sz val="9"/>
      <color rgb="FF595959"/>
      <name val="Arial"/>
      <family val="2"/>
    </font>
    <font>
      <b/>
      <sz val="10"/>
      <color rgb="FF0000FF"/>
      <name val="Arial"/>
      <family val="2"/>
    </font>
    <font>
      <b/>
      <sz val="10"/>
      <color rgb="FFFFFFFF"/>
      <name val="Arial"/>
      <family val="2"/>
    </font>
    <font>
      <b/>
      <sz val="10"/>
      <color rgb="FF1F4E5F"/>
      <name val="Arial"/>
      <family val="2"/>
    </font>
    <font>
      <b/>
      <sz val="10"/>
      <color rgb="FFFFFFFF"/>
      <name val="Arial"/>
      <family val="2"/>
    </font>
    <font>
      <b/>
      <sz val="22"/>
      <name val="Arial"/>
      <family val="2"/>
    </font>
    <font>
      <b/>
      <sz val="11"/>
      <color rgb="FFFFFFFF"/>
      <name val="Aptos Narrow"/>
      <family val="2"/>
      <scheme val="minor"/>
    </font>
    <font>
      <i/>
      <sz val="10"/>
      <color rgb="FF595959"/>
      <name val="Aptos Narrow"/>
      <family val="2"/>
      <scheme val="minor"/>
    </font>
    <font>
      <b/>
      <i/>
      <sz val="11"/>
      <color rgb="FF0070C0"/>
      <name val="Aptos Narrow"/>
      <family val="2"/>
      <scheme val="minor"/>
    </font>
    <font>
      <i/>
      <sz val="10"/>
      <color rgb="FF00800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008000"/>
      <name val="Aptos Narrow"/>
      <family val="2"/>
    </font>
    <font>
      <b/>
      <sz val="11"/>
      <color rgb="FF1F4E5F"/>
      <name val="Arial"/>
      <family val="2"/>
    </font>
    <font>
      <b/>
      <sz val="10"/>
      <color rgb="FFFFFFFF"/>
      <name val="Arial"/>
      <family val="2"/>
    </font>
    <font>
      <b/>
      <sz val="11"/>
      <color rgb="FF0070C0"/>
      <name val="Aptos Narrow"/>
      <family val="2"/>
    </font>
    <font>
      <b/>
      <i/>
      <sz val="10"/>
      <color theme="1"/>
      <name val="Arial"/>
      <family val="2"/>
    </font>
    <font>
      <i/>
      <sz val="10"/>
      <color theme="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1F4E5F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E2841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CC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6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6" fillId="0" borderId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0" fontId="13" fillId="0" borderId="0"/>
  </cellStyleXfs>
  <cellXfs count="395">
    <xf numFmtId="0" fontId="0" fillId="0" borderId="0" xfId="0"/>
    <xf numFmtId="0" fontId="37" fillId="9" borderId="16" xfId="0" applyFont="1" applyFill="1" applyBorder="1" applyAlignment="1">
      <alignment vertical="center"/>
    </xf>
    <xf numFmtId="0" fontId="37" fillId="9" borderId="16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30" fillId="0" borderId="16" xfId="0" applyFont="1" applyBorder="1" applyAlignment="1">
      <alignment vertical="center"/>
    </xf>
    <xf numFmtId="178" fontId="30" fillId="0" borderId="16" xfId="0" applyNumberFormat="1" applyFont="1" applyBorder="1" applyAlignment="1">
      <alignment horizontal="right" vertical="center"/>
    </xf>
    <xf numFmtId="0" fontId="30" fillId="0" borderId="16" xfId="0" applyFont="1" applyBorder="1" applyAlignment="1">
      <alignment horizontal="center" vertical="center"/>
    </xf>
    <xf numFmtId="0" fontId="30" fillId="0" borderId="16" xfId="0" applyFont="1" applyBorder="1" applyAlignment="1">
      <alignment horizontal="right" vertical="center"/>
    </xf>
    <xf numFmtId="177" fontId="30" fillId="0" borderId="16" xfId="0" applyNumberFormat="1" applyFont="1" applyBorder="1" applyAlignment="1">
      <alignment horizontal="right" vertical="center"/>
    </xf>
    <xf numFmtId="175" fontId="30" fillId="0" borderId="16" xfId="0" applyNumberFormat="1" applyFont="1" applyBorder="1" applyAlignment="1">
      <alignment horizontal="right" vertical="center"/>
    </xf>
    <xf numFmtId="164" fontId="30" fillId="0" borderId="16" xfId="0" applyNumberFormat="1" applyFont="1" applyBorder="1" applyAlignment="1">
      <alignment horizontal="right" vertical="center"/>
    </xf>
    <xf numFmtId="0" fontId="48" fillId="0" borderId="0" xfId="0" applyFont="1"/>
    <xf numFmtId="0" fontId="49" fillId="0" borderId="0" xfId="0" applyFont="1"/>
    <xf numFmtId="0" fontId="5" fillId="0" borderId="0" xfId="0" applyFont="1"/>
    <xf numFmtId="9" fontId="0" fillId="0" borderId="0" xfId="3" applyFont="1" applyAlignment="1" applyProtection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9" fontId="2" fillId="0" borderId="2" xfId="3" applyFont="1" applyFill="1" applyBorder="1" applyAlignment="1" applyProtection="1">
      <alignment horizontal="center" vertical="center"/>
    </xf>
    <xf numFmtId="0" fontId="19" fillId="0" borderId="0" xfId="0" applyFont="1" applyAlignment="1">
      <alignment horizontal="center" vertical="center"/>
    </xf>
    <xf numFmtId="165" fontId="0" fillId="0" borderId="0" xfId="2" applyNumberFormat="1" applyFont="1" applyAlignment="1" applyProtection="1">
      <alignment horizontal="center" vertical="center"/>
    </xf>
    <xf numFmtId="164" fontId="19" fillId="0" borderId="0" xfId="3" applyNumberFormat="1" applyFont="1" applyAlignment="1" applyProtection="1">
      <alignment horizontal="center" vertical="center"/>
    </xf>
    <xf numFmtId="3" fontId="4" fillId="0" borderId="0" xfId="1" applyNumberFormat="1" applyFont="1" applyAlignment="1" applyProtection="1">
      <alignment horizontal="center" vertical="center"/>
    </xf>
    <xf numFmtId="3" fontId="4" fillId="12" borderId="0" xfId="1" applyNumberFormat="1" applyFont="1" applyFill="1" applyAlignment="1" applyProtection="1">
      <alignment horizontal="center" vertical="center"/>
    </xf>
    <xf numFmtId="165" fontId="0" fillId="12" borderId="0" xfId="2" applyNumberFormat="1" applyFont="1" applyFill="1" applyAlignment="1" applyProtection="1">
      <alignment horizontal="center" vertical="center"/>
    </xf>
    <xf numFmtId="3" fontId="4" fillId="0" borderId="0" xfId="1" applyNumberFormat="1" applyFont="1" applyBorder="1" applyAlignment="1" applyProtection="1">
      <alignment horizontal="center" vertical="center"/>
    </xf>
    <xf numFmtId="3" fontId="4" fillId="12" borderId="0" xfId="1" applyNumberFormat="1" applyFont="1" applyFill="1" applyBorder="1" applyAlignment="1" applyProtection="1">
      <alignment horizontal="center" vertical="center"/>
    </xf>
    <xf numFmtId="0" fontId="2" fillId="0" borderId="10" xfId="0" applyFont="1" applyBorder="1" applyAlignment="1">
      <alignment vertical="center"/>
    </xf>
    <xf numFmtId="3" fontId="2" fillId="0" borderId="10" xfId="1" applyNumberFormat="1" applyFont="1" applyBorder="1" applyAlignment="1" applyProtection="1">
      <alignment horizontal="center" vertical="center"/>
    </xf>
    <xf numFmtId="0" fontId="2" fillId="0" borderId="10" xfId="0" applyFont="1" applyBorder="1" applyAlignment="1">
      <alignment horizontal="center" vertical="center"/>
    </xf>
    <xf numFmtId="164" fontId="2" fillId="0" borderId="10" xfId="3" applyNumberFormat="1" applyFont="1" applyBorder="1" applyAlignment="1" applyProtection="1">
      <alignment horizontal="center" vertical="center"/>
    </xf>
    <xf numFmtId="165" fontId="2" fillId="0" borderId="10" xfId="2" applyNumberFormat="1" applyFont="1" applyBorder="1" applyAlignment="1" applyProtection="1">
      <alignment vertical="center"/>
    </xf>
    <xf numFmtId="0" fontId="7" fillId="0" borderId="0" xfId="0" applyFont="1"/>
    <xf numFmtId="0" fontId="2" fillId="4" borderId="2" xfId="0" applyFont="1" applyFill="1" applyBorder="1" applyAlignment="1">
      <alignment horizontal="center" vertical="center"/>
    </xf>
    <xf numFmtId="9" fontId="2" fillId="4" borderId="2" xfId="3" applyFont="1" applyFill="1" applyBorder="1" applyAlignment="1" applyProtection="1">
      <alignment horizontal="center" vertical="center"/>
    </xf>
    <xf numFmtId="0" fontId="0" fillId="4" borderId="2" xfId="0" applyFill="1" applyBorder="1" applyAlignment="1">
      <alignment horizontal="center" vertical="center"/>
    </xf>
    <xf numFmtId="9" fontId="0" fillId="4" borderId="2" xfId="3" applyFont="1" applyFill="1" applyBorder="1" applyAlignment="1" applyProtection="1">
      <alignment horizontal="center" vertical="center"/>
    </xf>
    <xf numFmtId="5" fontId="2" fillId="4" borderId="2" xfId="0" applyNumberFormat="1" applyFont="1" applyFill="1" applyBorder="1" applyAlignment="1">
      <alignment horizontal="center" vertical="center"/>
    </xf>
    <xf numFmtId="0" fontId="23" fillId="0" borderId="0" xfId="0" applyFont="1"/>
    <xf numFmtId="0" fontId="5" fillId="0" borderId="0" xfId="0" applyFont="1" applyAlignment="1">
      <alignment vertical="center"/>
    </xf>
    <xf numFmtId="0" fontId="9" fillId="0" borderId="0" xfId="0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left"/>
    </xf>
    <xf numFmtId="164" fontId="9" fillId="5" borderId="2" xfId="0" applyNumberFormat="1" applyFont="1" applyFill="1" applyBorder="1" applyAlignment="1">
      <alignment horizontal="center"/>
    </xf>
    <xf numFmtId="0" fontId="9" fillId="5" borderId="2" xfId="0" applyFont="1" applyFill="1" applyBorder="1" applyAlignment="1">
      <alignment horizontal="center"/>
    </xf>
    <xf numFmtId="165" fontId="4" fillId="0" borderId="2" xfId="2" applyNumberFormat="1" applyFont="1" applyBorder="1" applyProtection="1"/>
    <xf numFmtId="165" fontId="0" fillId="0" borderId="0" xfId="0" applyNumberFormat="1"/>
    <xf numFmtId="165" fontId="4" fillId="0" borderId="0" xfId="2" applyNumberFormat="1" applyFont="1" applyBorder="1" applyProtection="1"/>
    <xf numFmtId="0" fontId="2" fillId="0" borderId="0" xfId="0" applyFont="1"/>
    <xf numFmtId="0" fontId="9" fillId="0" borderId="0" xfId="0" applyFont="1"/>
    <xf numFmtId="1" fontId="9" fillId="0" borderId="0" xfId="0" applyNumberFormat="1" applyFont="1" applyAlignment="1">
      <alignment horizontal="center"/>
    </xf>
    <xf numFmtId="44" fontId="9" fillId="0" borderId="0" xfId="2" applyFont="1" applyBorder="1" applyProtection="1"/>
    <xf numFmtId="165" fontId="9" fillId="0" borderId="2" xfId="2" applyNumberFormat="1" applyFont="1" applyBorder="1" applyProtection="1"/>
    <xf numFmtId="164" fontId="4" fillId="0" borderId="0" xfId="0" applyNumberFormat="1" applyFont="1"/>
    <xf numFmtId="164" fontId="4" fillId="0" borderId="0" xfId="0" applyNumberFormat="1" applyFont="1" applyAlignment="1">
      <alignment horizontal="center"/>
    </xf>
    <xf numFmtId="165" fontId="9" fillId="0" borderId="8" xfId="2" applyNumberFormat="1" applyFont="1" applyBorder="1" applyProtection="1"/>
    <xf numFmtId="165" fontId="9" fillId="0" borderId="0" xfId="2" applyNumberFormat="1" applyFont="1" applyBorder="1" applyProtection="1"/>
    <xf numFmtId="0" fontId="6" fillId="0" borderId="0" xfId="0" applyFont="1"/>
    <xf numFmtId="0" fontId="0" fillId="0" borderId="0" xfId="0" applyAlignment="1">
      <alignment horizontal="left" indent="2"/>
    </xf>
    <xf numFmtId="1" fontId="4" fillId="0" borderId="0" xfId="0" applyNumberFormat="1" applyFont="1" applyAlignment="1">
      <alignment horizontal="center"/>
    </xf>
    <xf numFmtId="10" fontId="0" fillId="0" borderId="0" xfId="3" applyNumberFormat="1" applyFont="1" applyProtection="1"/>
    <xf numFmtId="0" fontId="2" fillId="5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165" fontId="0" fillId="0" borderId="2" xfId="2" applyNumberFormat="1" applyFont="1" applyBorder="1" applyProtection="1"/>
    <xf numFmtId="41" fontId="0" fillId="0" borderId="2" xfId="2" applyNumberFormat="1" applyFont="1" applyBorder="1" applyProtection="1"/>
    <xf numFmtId="41" fontId="4" fillId="0" borderId="2" xfId="0" applyNumberFormat="1" applyFont="1" applyBorder="1"/>
    <xf numFmtId="41" fontId="0" fillId="0" borderId="2" xfId="0" applyNumberFormat="1" applyBorder="1"/>
    <xf numFmtId="0" fontId="0" fillId="0" borderId="2" xfId="0" applyBorder="1" applyAlignment="1">
      <alignment horizontal="center" wrapText="1"/>
    </xf>
    <xf numFmtId="0" fontId="2" fillId="0" borderId="2" xfId="0" applyFont="1" applyBorder="1" applyAlignment="1">
      <alignment horizontal="center"/>
    </xf>
    <xf numFmtId="165" fontId="2" fillId="0" borderId="2" xfId="2" applyNumberFormat="1" applyFont="1" applyBorder="1" applyProtection="1"/>
    <xf numFmtId="41" fontId="2" fillId="0" borderId="2" xfId="0" applyNumberFormat="1" applyFont="1" applyBorder="1"/>
    <xf numFmtId="44" fontId="4" fillId="0" borderId="2" xfId="2" applyFont="1" applyBorder="1" applyProtection="1"/>
    <xf numFmtId="0" fontId="0" fillId="0" borderId="0" xfId="0" applyAlignment="1">
      <alignment horizontal="center"/>
    </xf>
    <xf numFmtId="41" fontId="0" fillId="0" borderId="0" xfId="0" applyNumberFormat="1"/>
    <xf numFmtId="0" fontId="27" fillId="0" borderId="0" xfId="0" applyFont="1"/>
    <xf numFmtId="0" fontId="27" fillId="0" borderId="0" xfId="0" applyFont="1" applyAlignment="1">
      <alignment horizontal="center"/>
    </xf>
    <xf numFmtId="41" fontId="27" fillId="0" borderId="0" xfId="0" applyNumberFormat="1" applyFont="1"/>
    <xf numFmtId="165" fontId="27" fillId="0" borderId="0" xfId="2" applyNumberFormat="1" applyFont="1" applyProtection="1"/>
    <xf numFmtId="44" fontId="27" fillId="0" borderId="0" xfId="2" applyFont="1" applyProtection="1"/>
    <xf numFmtId="0" fontId="2" fillId="0" borderId="0" xfId="0" applyFont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0" fontId="4" fillId="0" borderId="2" xfId="3" applyNumberFormat="1" applyFont="1" applyBorder="1" applyAlignment="1" applyProtection="1">
      <alignment horizontal="center" vertical="center" wrapText="1"/>
    </xf>
    <xf numFmtId="6" fontId="0" fillId="0" borderId="0" xfId="0" applyNumberFormat="1" applyAlignment="1">
      <alignment horizontal="center" vertical="center" wrapText="1"/>
    </xf>
    <xf numFmtId="6" fontId="14" fillId="0" borderId="0" xfId="0" applyNumberFormat="1" applyFont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2" fillId="0" borderId="10" xfId="0" applyFont="1" applyBorder="1"/>
    <xf numFmtId="0" fontId="2" fillId="0" borderId="9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/>
    <xf numFmtId="0" fontId="0" fillId="0" borderId="15" xfId="0" applyBorder="1" applyAlignment="1">
      <alignment horizontal="center"/>
    </xf>
    <xf numFmtId="9" fontId="2" fillId="0" borderId="6" xfId="3" applyFont="1" applyBorder="1" applyAlignment="1" applyProtection="1">
      <alignment horizontal="center"/>
    </xf>
    <xf numFmtId="9" fontId="2" fillId="0" borderId="1" xfId="3" applyFont="1" applyBorder="1" applyProtection="1"/>
    <xf numFmtId="9" fontId="2" fillId="0" borderId="14" xfId="3" applyFont="1" applyBorder="1" applyAlignment="1" applyProtection="1">
      <alignment horizontal="center"/>
    </xf>
    <xf numFmtId="9" fontId="6" fillId="0" borderId="1" xfId="3" applyFont="1" applyBorder="1" applyAlignment="1" applyProtection="1">
      <alignment horizontal="center"/>
    </xf>
    <xf numFmtId="9" fontId="6" fillId="0" borderId="0" xfId="3" applyFont="1" applyAlignment="1" applyProtection="1">
      <alignment horizontal="center"/>
    </xf>
    <xf numFmtId="0" fontId="0" fillId="0" borderId="0" xfId="0" applyAlignment="1">
      <alignment horizontal="left"/>
    </xf>
    <xf numFmtId="42" fontId="6" fillId="0" borderId="1" xfId="0" applyNumberFormat="1" applyFont="1" applyBorder="1" applyAlignment="1">
      <alignment horizontal="center"/>
    </xf>
    <xf numFmtId="41" fontId="4" fillId="0" borderId="0" xfId="2" applyNumberFormat="1" applyFont="1" applyProtection="1"/>
    <xf numFmtId="41" fontId="4" fillId="0" borderId="0" xfId="0" applyNumberFormat="1" applyFont="1"/>
    <xf numFmtId="41" fontId="6" fillId="0" borderId="0" xfId="0" applyNumberFormat="1" applyFont="1" applyAlignment="1">
      <alignment horizontal="center"/>
    </xf>
    <xf numFmtId="165" fontId="4" fillId="0" borderId="0" xfId="2" applyNumberFormat="1" applyFont="1" applyProtection="1"/>
    <xf numFmtId="0" fontId="0" fillId="0" borderId="0" xfId="0" applyAlignment="1">
      <alignment horizontal="left" indent="1"/>
    </xf>
    <xf numFmtId="41" fontId="6" fillId="0" borderId="1" xfId="0" applyNumberFormat="1" applyFont="1" applyBorder="1" applyAlignment="1">
      <alignment horizontal="center"/>
    </xf>
    <xf numFmtId="42" fontId="4" fillId="0" borderId="0" xfId="0" applyNumberFormat="1" applyFont="1"/>
    <xf numFmtId="0" fontId="2" fillId="0" borderId="0" xfId="0" applyFont="1" applyAlignment="1">
      <alignment horizontal="left"/>
    </xf>
    <xf numFmtId="9" fontId="8" fillId="0" borderId="0" xfId="3" applyFont="1" applyAlignment="1" applyProtection="1">
      <alignment horizontal="center"/>
    </xf>
    <xf numFmtId="41" fontId="2" fillId="0" borderId="0" xfId="0" applyNumberFormat="1" applyFont="1"/>
    <xf numFmtId="42" fontId="9" fillId="0" borderId="0" xfId="0" applyNumberFormat="1" applyFont="1"/>
    <xf numFmtId="41" fontId="4" fillId="0" borderId="1" xfId="0" applyNumberFormat="1" applyFont="1" applyBorder="1"/>
    <xf numFmtId="42" fontId="4" fillId="0" borderId="1" xfId="0" applyNumberFormat="1" applyFont="1" applyBorder="1"/>
    <xf numFmtId="42" fontId="8" fillId="0" borderId="1" xfId="0" applyNumberFormat="1" applyFont="1" applyBorder="1" applyAlignment="1">
      <alignment horizontal="center"/>
    </xf>
    <xf numFmtId="42" fontId="2" fillId="0" borderId="1" xfId="0" applyNumberFormat="1" applyFont="1" applyBorder="1"/>
    <xf numFmtId="0" fontId="0" fillId="0" borderId="1" xfId="0" applyBorder="1" applyAlignment="1">
      <alignment horizontal="center"/>
    </xf>
    <xf numFmtId="164" fontId="2" fillId="0" borderId="0" xfId="3" applyNumberFormat="1" applyFont="1" applyAlignment="1" applyProtection="1">
      <alignment horizontal="center" vertical="center"/>
    </xf>
    <xf numFmtId="42" fontId="8" fillId="0" borderId="0" xfId="0" applyNumberFormat="1" applyFont="1" applyAlignment="1">
      <alignment horizontal="center"/>
    </xf>
    <xf numFmtId="41" fontId="8" fillId="0" borderId="0" xfId="0" applyNumberFormat="1" applyFont="1" applyAlignment="1">
      <alignment horizontal="center"/>
    </xf>
    <xf numFmtId="164" fontId="0" fillId="0" borderId="0" xfId="3" applyNumberFormat="1" applyFont="1" applyAlignment="1" applyProtection="1">
      <alignment horizontal="center" vertical="center"/>
    </xf>
    <xf numFmtId="0" fontId="6" fillId="0" borderId="0" xfId="0" applyFont="1" applyAlignment="1">
      <alignment horizontal="center"/>
    </xf>
    <xf numFmtId="164" fontId="0" fillId="0" borderId="0" xfId="3" applyNumberFormat="1" applyFont="1" applyBorder="1" applyAlignment="1" applyProtection="1">
      <alignment horizontal="center" vertical="center"/>
    </xf>
    <xf numFmtId="164" fontId="0" fillId="0" borderId="10" xfId="3" applyNumberFormat="1" applyFont="1" applyBorder="1" applyAlignment="1" applyProtection="1">
      <alignment horizontal="center" vertical="center"/>
    </xf>
    <xf numFmtId="41" fontId="6" fillId="0" borderId="10" xfId="0" applyNumberFormat="1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164" fontId="1" fillId="0" borderId="0" xfId="3" applyNumberFormat="1" applyFont="1" applyAlignment="1" applyProtection="1">
      <alignment horizontal="center" vertical="center"/>
    </xf>
    <xf numFmtId="42" fontId="6" fillId="0" borderId="0" xfId="0" applyNumberFormat="1" applyFont="1" applyAlignment="1">
      <alignment horizontal="center"/>
    </xf>
    <xf numFmtId="44" fontId="0" fillId="0" borderId="0" xfId="2" applyFont="1" applyProtection="1"/>
    <xf numFmtId="42" fontId="0" fillId="0" borderId="0" xfId="0" applyNumberFormat="1"/>
    <xf numFmtId="164" fontId="0" fillId="0" borderId="1" xfId="3" applyNumberFormat="1" applyFont="1" applyBorder="1" applyAlignment="1" applyProtection="1">
      <alignment horizontal="center" vertical="center"/>
    </xf>
    <xf numFmtId="41" fontId="0" fillId="0" borderId="1" xfId="0" applyNumberFormat="1" applyBorder="1"/>
    <xf numFmtId="42" fontId="2" fillId="0" borderId="0" xfId="0" applyNumberFormat="1" applyFont="1"/>
    <xf numFmtId="44" fontId="0" fillId="0" borderId="0" xfId="0" applyNumberFormat="1"/>
    <xf numFmtId="164" fontId="4" fillId="0" borderId="0" xfId="3" applyNumberFormat="1" applyFont="1" applyAlignment="1" applyProtection="1">
      <alignment horizontal="center"/>
    </xf>
    <xf numFmtId="10" fontId="0" fillId="0" borderId="0" xfId="0" applyNumberFormat="1"/>
    <xf numFmtId="9" fontId="0" fillId="0" borderId="0" xfId="3" applyFont="1" applyAlignment="1" applyProtection="1">
      <alignment horizontal="center" vertical="center"/>
    </xf>
    <xf numFmtId="9" fontId="1" fillId="0" borderId="0" xfId="3" applyFont="1" applyAlignment="1" applyProtection="1">
      <alignment horizontal="center" vertical="center"/>
    </xf>
    <xf numFmtId="42" fontId="9" fillId="0" borderId="1" xfId="0" applyNumberFormat="1" applyFont="1" applyBorder="1"/>
    <xf numFmtId="0" fontId="8" fillId="0" borderId="0" xfId="0" applyFont="1" applyAlignment="1">
      <alignment horizontal="center"/>
    </xf>
    <xf numFmtId="164" fontId="0" fillId="0" borderId="0" xfId="3" applyNumberFormat="1" applyFont="1" applyProtection="1"/>
    <xf numFmtId="0" fontId="18" fillId="0" borderId="0" xfId="0" applyFont="1" applyAlignment="1">
      <alignment horizontal="left"/>
    </xf>
    <xf numFmtId="165" fontId="18" fillId="0" borderId="0" xfId="2" applyNumberFormat="1" applyFont="1" applyAlignment="1" applyProtection="1">
      <alignment horizontal="center" vertical="center"/>
    </xf>
    <xf numFmtId="0" fontId="18" fillId="0" borderId="0" xfId="0" applyFont="1"/>
    <xf numFmtId="164" fontId="18" fillId="0" borderId="0" xfId="3" applyNumberFormat="1" applyFont="1" applyAlignment="1" applyProtection="1">
      <alignment horizontal="center" vertical="center"/>
    </xf>
    <xf numFmtId="42" fontId="18" fillId="0" borderId="0" xfId="0" applyNumberFormat="1" applyFont="1" applyAlignment="1">
      <alignment horizontal="center"/>
    </xf>
    <xf numFmtId="42" fontId="18" fillId="0" borderId="0" xfId="0" applyNumberFormat="1" applyFont="1"/>
    <xf numFmtId="0" fontId="7" fillId="0" borderId="0" xfId="0" applyFont="1" applyAlignment="1">
      <alignment horizontal="left" vertical="center" indent="1"/>
    </xf>
    <xf numFmtId="166" fontId="18" fillId="0" borderId="0" xfId="0" applyNumberFormat="1" applyFont="1"/>
    <xf numFmtId="42" fontId="42" fillId="0" borderId="0" xfId="0" applyNumberFormat="1" applyFont="1"/>
    <xf numFmtId="0" fontId="39" fillId="10" borderId="0" xfId="0" applyFont="1" applyFill="1"/>
    <xf numFmtId="0" fontId="40" fillId="0" borderId="0" xfId="0" applyFont="1" applyAlignment="1">
      <alignment horizontal="left"/>
    </xf>
    <xf numFmtId="0" fontId="2" fillId="11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9" fillId="0" borderId="0" xfId="0" applyFont="1"/>
    <xf numFmtId="0" fontId="2" fillId="5" borderId="4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168" fontId="0" fillId="0" borderId="0" xfId="0" applyNumberFormat="1" applyAlignment="1">
      <alignment horizontal="center" vertical="center"/>
    </xf>
    <xf numFmtId="168" fontId="0" fillId="0" borderId="10" xfId="0" applyNumberFormat="1" applyBorder="1" applyAlignment="1">
      <alignment horizontal="center" vertical="center"/>
    </xf>
    <xf numFmtId="168" fontId="0" fillId="0" borderId="11" xfId="0" applyNumberFormat="1" applyBorder="1" applyAlignment="1">
      <alignment horizontal="center" vertical="center"/>
    </xf>
    <xf numFmtId="168" fontId="0" fillId="0" borderId="12" xfId="0" applyNumberFormat="1" applyBorder="1" applyAlignment="1">
      <alignment horizontal="center" vertical="center"/>
    </xf>
    <xf numFmtId="168" fontId="0" fillId="0" borderId="13" xfId="0" applyNumberFormat="1" applyBorder="1" applyAlignment="1">
      <alignment horizontal="center" vertical="center"/>
    </xf>
    <xf numFmtId="169" fontId="0" fillId="0" borderId="0" xfId="0" applyNumberFormat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169" fontId="0" fillId="0" borderId="6" xfId="0" applyNumberFormat="1" applyBorder="1" applyAlignment="1">
      <alignment horizontal="center" vertical="center"/>
    </xf>
    <xf numFmtId="169" fontId="0" fillId="0" borderId="8" xfId="0" applyNumberFormat="1" applyBorder="1" applyAlignment="1">
      <alignment horizontal="center" vertical="center"/>
    </xf>
    <xf numFmtId="169" fontId="0" fillId="0" borderId="14" xfId="0" applyNumberFormat="1" applyBorder="1" applyAlignment="1">
      <alignment horizontal="center" vertical="center"/>
    </xf>
    <xf numFmtId="0" fontId="11" fillId="0" borderId="0" xfId="0" applyFont="1"/>
    <xf numFmtId="0" fontId="0" fillId="0" borderId="5" xfId="0" applyBorder="1"/>
    <xf numFmtId="41" fontId="11" fillId="0" borderId="0" xfId="0" applyNumberFormat="1" applyFont="1"/>
    <xf numFmtId="42" fontId="4" fillId="0" borderId="5" xfId="0" applyNumberFormat="1" applyFont="1" applyBorder="1"/>
    <xf numFmtId="41" fontId="0" fillId="0" borderId="5" xfId="0" applyNumberFormat="1" applyBorder="1"/>
    <xf numFmtId="41" fontId="4" fillId="0" borderId="5" xfId="0" applyNumberFormat="1" applyFont="1" applyBorder="1"/>
    <xf numFmtId="41" fontId="0" fillId="0" borderId="6" xfId="0" applyNumberFormat="1" applyBorder="1"/>
    <xf numFmtId="42" fontId="0" fillId="0" borderId="5" xfId="0" applyNumberFormat="1" applyBorder="1"/>
    <xf numFmtId="41" fontId="0" fillId="0" borderId="10" xfId="0" applyNumberFormat="1" applyBorder="1"/>
    <xf numFmtId="42" fontId="0" fillId="0" borderId="1" xfId="0" applyNumberFormat="1" applyBorder="1"/>
    <xf numFmtId="42" fontId="0" fillId="0" borderId="6" xfId="0" applyNumberFormat="1" applyBorder="1"/>
    <xf numFmtId="42" fontId="2" fillId="0" borderId="5" xfId="0" applyNumberFormat="1" applyFont="1" applyBorder="1"/>
    <xf numFmtId="164" fontId="0" fillId="0" borderId="0" xfId="0" applyNumberFormat="1" applyAlignment="1">
      <alignment horizontal="center"/>
    </xf>
    <xf numFmtId="41" fontId="0" fillId="0" borderId="11" xfId="0" applyNumberFormat="1" applyBorder="1"/>
    <xf numFmtId="41" fontId="18" fillId="0" borderId="0" xfId="0" applyNumberFormat="1" applyFont="1"/>
    <xf numFmtId="41" fontId="18" fillId="0" borderId="5" xfId="0" applyNumberFormat="1" applyFont="1" applyBorder="1"/>
    <xf numFmtId="41" fontId="20" fillId="0" borderId="0" xfId="0" applyNumberFormat="1" applyFont="1"/>
    <xf numFmtId="41" fontId="20" fillId="0" borderId="5" xfId="0" applyNumberFormat="1" applyFont="1" applyBorder="1"/>
    <xf numFmtId="0" fontId="9" fillId="0" borderId="4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4" fillId="0" borderId="0" xfId="0" applyFont="1" applyAlignment="1">
      <alignment horizontal="left" indent="1"/>
    </xf>
    <xf numFmtId="42" fontId="4" fillId="0" borderId="0" xfId="5" applyNumberFormat="1" applyFont="1" applyFill="1" applyBorder="1" applyProtection="1"/>
    <xf numFmtId="41" fontId="4" fillId="0" borderId="0" xfId="5" applyNumberFormat="1" applyFont="1" applyFill="1" applyBorder="1" applyProtection="1"/>
    <xf numFmtId="41" fontId="4" fillId="0" borderId="0" xfId="6" applyNumberFormat="1" applyFont="1" applyFill="1" applyBorder="1" applyProtection="1"/>
    <xf numFmtId="0" fontId="4" fillId="0" borderId="0" xfId="0" applyFont="1" applyAlignment="1">
      <alignment horizontal="left" indent="2"/>
    </xf>
    <xf numFmtId="41" fontId="4" fillId="0" borderId="10" xfId="5" applyNumberFormat="1" applyFont="1" applyFill="1" applyBorder="1" applyProtection="1"/>
    <xf numFmtId="41" fontId="4" fillId="0" borderId="10" xfId="0" applyNumberFormat="1" applyFont="1" applyBorder="1"/>
    <xf numFmtId="42" fontId="9" fillId="0" borderId="0" xfId="5" applyNumberFormat="1" applyFont="1" applyFill="1" applyBorder="1" applyProtection="1"/>
    <xf numFmtId="10" fontId="4" fillId="0" borderId="0" xfId="0" applyNumberFormat="1" applyFont="1"/>
    <xf numFmtId="41" fontId="4" fillId="0" borderId="1" xfId="5" applyNumberFormat="1" applyFont="1" applyFill="1" applyBorder="1" applyProtection="1"/>
    <xf numFmtId="41" fontId="4" fillId="0" borderId="10" xfId="6" applyNumberFormat="1" applyFont="1" applyFill="1" applyBorder="1" applyProtection="1"/>
    <xf numFmtId="41" fontId="9" fillId="0" borderId="0" xfId="5" applyNumberFormat="1" applyFont="1" applyFill="1" applyBorder="1" applyProtection="1"/>
    <xf numFmtId="0" fontId="15" fillId="0" borderId="0" xfId="0" applyFont="1" applyAlignment="1">
      <alignment horizontal="left" indent="1"/>
    </xf>
    <xf numFmtId="0" fontId="15" fillId="0" borderId="0" xfId="0" applyFont="1"/>
    <xf numFmtId="164" fontId="15" fillId="0" borderId="0" xfId="3" applyNumberFormat="1" applyFont="1" applyFill="1" applyBorder="1" applyProtection="1"/>
    <xf numFmtId="0" fontId="8" fillId="0" borderId="3" xfId="0" applyFont="1" applyBorder="1"/>
    <xf numFmtId="0" fontId="0" fillId="0" borderId="4" xfId="0" applyBorder="1"/>
    <xf numFmtId="41" fontId="0" fillId="0" borderId="4" xfId="0" applyNumberFormat="1" applyBorder="1"/>
    <xf numFmtId="0" fontId="6" fillId="0" borderId="5" xfId="0" applyFont="1" applyBorder="1" applyAlignment="1">
      <alignment horizontal="left"/>
    </xf>
    <xf numFmtId="167" fontId="6" fillId="0" borderId="0" xfId="0" applyNumberFormat="1" applyFont="1" applyAlignment="1">
      <alignment horizontal="center"/>
    </xf>
    <xf numFmtId="0" fontId="0" fillId="0" borderId="5" xfId="0" applyBorder="1" applyAlignment="1">
      <alignment horizontal="left"/>
    </xf>
    <xf numFmtId="164" fontId="4" fillId="0" borderId="0" xfId="3" applyNumberFormat="1" applyFont="1" applyBorder="1" applyAlignment="1" applyProtection="1">
      <alignment horizontal="center"/>
    </xf>
    <xf numFmtId="164" fontId="0" fillId="0" borderId="0" xfId="3" applyNumberFormat="1" applyFont="1" applyBorder="1" applyAlignment="1" applyProtection="1">
      <alignment horizontal="center"/>
    </xf>
    <xf numFmtId="0" fontId="0" fillId="0" borderId="6" xfId="0" applyBorder="1" applyAlignment="1">
      <alignment horizontal="left"/>
    </xf>
    <xf numFmtId="0" fontId="15" fillId="0" borderId="1" xfId="0" applyFont="1" applyBorder="1"/>
    <xf numFmtId="0" fontId="0" fillId="0" borderId="1" xfId="0" applyBorder="1"/>
    <xf numFmtId="164" fontId="0" fillId="0" borderId="1" xfId="3" applyNumberFormat="1" applyFont="1" applyBorder="1" applyAlignment="1" applyProtection="1">
      <alignment horizontal="center"/>
    </xf>
    <xf numFmtId="0" fontId="28" fillId="0" borderId="0" xfId="0" applyFont="1" applyAlignment="1">
      <alignment horizontal="left"/>
    </xf>
    <xf numFmtId="164" fontId="0" fillId="0" borderId="0" xfId="0" applyNumberFormat="1"/>
    <xf numFmtId="0" fontId="0" fillId="0" borderId="7" xfId="0" applyBorder="1"/>
    <xf numFmtId="41" fontId="0" fillId="0" borderId="7" xfId="0" applyNumberFormat="1" applyBorder="1"/>
    <xf numFmtId="41" fontId="0" fillId="0" borderId="8" xfId="0" applyNumberFormat="1" applyBorder="1"/>
    <xf numFmtId="42" fontId="2" fillId="0" borderId="7" xfId="0" applyNumberFormat="1" applyFont="1" applyBorder="1"/>
    <xf numFmtId="42" fontId="0" fillId="0" borderId="7" xfId="0" applyNumberFormat="1" applyBorder="1"/>
    <xf numFmtId="167" fontId="6" fillId="0" borderId="7" xfId="0" applyNumberFormat="1" applyFont="1" applyBorder="1" applyAlignment="1">
      <alignment horizontal="center"/>
    </xf>
    <xf numFmtId="41" fontId="0" fillId="0" borderId="7" xfId="0" applyNumberFormat="1" applyBorder="1" applyAlignment="1">
      <alignment horizontal="center"/>
    </xf>
    <xf numFmtId="164" fontId="0" fillId="0" borderId="7" xfId="3" applyNumberFormat="1" applyFont="1" applyBorder="1" applyAlignment="1" applyProtection="1">
      <alignment horizontal="center"/>
    </xf>
    <xf numFmtId="164" fontId="0" fillId="0" borderId="8" xfId="3" applyNumberFormat="1" applyFont="1" applyBorder="1" applyAlignment="1" applyProtection="1">
      <alignment horizontal="center"/>
    </xf>
    <xf numFmtId="0" fontId="29" fillId="0" borderId="0" xfId="0" applyFont="1"/>
    <xf numFmtId="174" fontId="2" fillId="0" borderId="0" xfId="0" applyNumberFormat="1" applyFont="1"/>
    <xf numFmtId="0" fontId="0" fillId="0" borderId="0" xfId="0" applyAlignment="1">
      <alignment indent="1"/>
    </xf>
    <xf numFmtId="174" fontId="0" fillId="0" borderId="0" xfId="0" applyNumberFormat="1"/>
    <xf numFmtId="174" fontId="0" fillId="0" borderId="1" xfId="0" applyNumberFormat="1" applyBorder="1"/>
    <xf numFmtId="0" fontId="9" fillId="0" borderId="2" xfId="0" applyFont="1" applyBorder="1" applyAlignment="1">
      <alignment horizontal="center"/>
    </xf>
    <xf numFmtId="174" fontId="2" fillId="0" borderId="10" xfId="0" applyNumberFormat="1" applyFont="1" applyBorder="1"/>
    <xf numFmtId="9" fontId="0" fillId="0" borderId="0" xfId="3" applyFont="1" applyProtection="1"/>
    <xf numFmtId="165" fontId="2" fillId="0" borderId="0" xfId="2" applyNumberFormat="1" applyFont="1" applyProtection="1"/>
    <xf numFmtId="0" fontId="13" fillId="0" borderId="0" xfId="4"/>
    <xf numFmtId="0" fontId="9" fillId="0" borderId="0" xfId="4" applyFont="1" applyAlignment="1">
      <alignment horizontal="left"/>
    </xf>
    <xf numFmtId="0" fontId="9" fillId="0" borderId="0" xfId="4" applyFont="1" applyAlignment="1">
      <alignment horizontal="left" indent="1"/>
    </xf>
    <xf numFmtId="42" fontId="9" fillId="0" borderId="0" xfId="4" applyNumberFormat="1" applyFont="1"/>
    <xf numFmtId="0" fontId="22" fillId="0" borderId="0" xfId="4" applyFont="1" applyAlignment="1">
      <alignment horizontal="left" indent="2"/>
    </xf>
    <xf numFmtId="0" fontId="4" fillId="0" borderId="0" xfId="4" applyFont="1"/>
    <xf numFmtId="9" fontId="22" fillId="0" borderId="0" xfId="3" applyFont="1" applyProtection="1"/>
    <xf numFmtId="164" fontId="13" fillId="0" borderId="0" xfId="3" applyNumberFormat="1" applyFont="1" applyFill="1" applyProtection="1"/>
    <xf numFmtId="0" fontId="7" fillId="0" borderId="0" xfId="0" applyFont="1" applyAlignment="1">
      <alignment horizontal="left" indent="1"/>
    </xf>
    <xf numFmtId="0" fontId="4" fillId="0" borderId="0" xfId="4" applyFont="1" applyAlignment="1">
      <alignment horizontal="left" indent="2"/>
    </xf>
    <xf numFmtId="44" fontId="4" fillId="0" borderId="0" xfId="4" applyNumberFormat="1" applyFont="1"/>
    <xf numFmtId="165" fontId="13" fillId="0" borderId="0" xfId="4" applyNumberFormat="1"/>
    <xf numFmtId="10" fontId="13" fillId="0" borderId="0" xfId="3" applyNumberFormat="1" applyFont="1" applyProtection="1"/>
    <xf numFmtId="42" fontId="13" fillId="0" borderId="0" xfId="4" applyNumberFormat="1"/>
    <xf numFmtId="0" fontId="13" fillId="0" borderId="0" xfId="4" applyAlignment="1">
      <alignment horizontal="left" indent="2"/>
    </xf>
    <xf numFmtId="10" fontId="13" fillId="0" borderId="0" xfId="4" applyNumberFormat="1"/>
    <xf numFmtId="0" fontId="4" fillId="0" borderId="0" xfId="4" applyFont="1" applyAlignment="1">
      <alignment horizontal="left" indent="1"/>
    </xf>
    <xf numFmtId="42" fontId="4" fillId="0" borderId="0" xfId="4" applyNumberFormat="1" applyFont="1"/>
    <xf numFmtId="0" fontId="22" fillId="0" borderId="0" xfId="4" applyFont="1" applyAlignment="1">
      <alignment horizontal="left" indent="3"/>
    </xf>
    <xf numFmtId="10" fontId="22" fillId="0" borderId="0" xfId="3" applyNumberFormat="1" applyFont="1" applyProtection="1"/>
    <xf numFmtId="0" fontId="9" fillId="0" borderId="0" xfId="4" applyFont="1"/>
    <xf numFmtId="164" fontId="9" fillId="0" borderId="0" xfId="3" applyNumberFormat="1" applyFont="1" applyProtection="1"/>
    <xf numFmtId="165" fontId="9" fillId="0" borderId="0" xfId="4" applyNumberFormat="1" applyFont="1"/>
    <xf numFmtId="41" fontId="13" fillId="0" borderId="0" xfId="3" applyNumberFormat="1" applyFont="1" applyProtection="1"/>
    <xf numFmtId="0" fontId="2" fillId="0" borderId="17" xfId="0" applyFont="1" applyBorder="1" applyAlignment="1">
      <alignment horizontal="center"/>
    </xf>
    <xf numFmtId="164" fontId="0" fillId="0" borderId="18" xfId="0" applyNumberFormat="1" applyBorder="1" applyAlignment="1">
      <alignment horizontal="center"/>
    </xf>
    <xf numFmtId="41" fontId="0" fillId="0" borderId="18" xfId="0" applyNumberFormat="1" applyBorder="1"/>
    <xf numFmtId="42" fontId="6" fillId="0" borderId="0" xfId="0" applyNumberFormat="1" applyFont="1"/>
    <xf numFmtId="164" fontId="6" fillId="0" borderId="0" xfId="0" applyNumberFormat="1" applyFont="1" applyAlignment="1">
      <alignment horizontal="center"/>
    </xf>
    <xf numFmtId="0" fontId="8" fillId="0" borderId="2" xfId="0" applyFont="1" applyBorder="1"/>
    <xf numFmtId="10" fontId="4" fillId="0" borderId="0" xfId="4" applyNumberFormat="1" applyFont="1"/>
    <xf numFmtId="0" fontId="4" fillId="0" borderId="0" xfId="4" applyFont="1" applyAlignment="1">
      <alignment horizontal="left" indent="4"/>
    </xf>
    <xf numFmtId="169" fontId="9" fillId="3" borderId="2" xfId="4" applyNumberFormat="1" applyFont="1" applyFill="1" applyBorder="1" applyAlignment="1">
      <alignment horizontal="center"/>
    </xf>
    <xf numFmtId="41" fontId="4" fillId="0" borderId="2" xfId="4" applyNumberFormat="1" applyFont="1" applyBorder="1"/>
    <xf numFmtId="41" fontId="13" fillId="0" borderId="2" xfId="4" applyNumberFormat="1" applyBorder="1"/>
    <xf numFmtId="49" fontId="4" fillId="0" borderId="0" xfId="4" applyNumberFormat="1" applyFont="1" applyAlignment="1">
      <alignment horizontal="left" indent="2"/>
    </xf>
    <xf numFmtId="0" fontId="4" fillId="0" borderId="0" xfId="4" applyFont="1" applyAlignment="1">
      <alignment horizontal="center"/>
    </xf>
    <xf numFmtId="41" fontId="4" fillId="0" borderId="2" xfId="4" applyNumberFormat="1" applyFont="1" applyBorder="1" applyAlignment="1">
      <alignment horizontal="center"/>
    </xf>
    <xf numFmtId="41" fontId="4" fillId="0" borderId="0" xfId="4" applyNumberFormat="1" applyFont="1"/>
    <xf numFmtId="169" fontId="4" fillId="0" borderId="0" xfId="4" applyNumberFormat="1" applyFont="1" applyAlignment="1">
      <alignment horizontal="left" indent="2"/>
    </xf>
    <xf numFmtId="172" fontId="9" fillId="3" borderId="2" xfId="4" applyNumberFormat="1" applyFont="1" applyFill="1" applyBorder="1" applyAlignment="1">
      <alignment horizontal="center"/>
    </xf>
    <xf numFmtId="172" fontId="4" fillId="0" borderId="0" xfId="4" applyNumberFormat="1" applyFont="1" applyAlignment="1">
      <alignment horizontal="center"/>
    </xf>
    <xf numFmtId="169" fontId="4" fillId="0" borderId="0" xfId="4" applyNumberFormat="1" applyFont="1" applyAlignment="1">
      <alignment horizontal="center"/>
    </xf>
    <xf numFmtId="41" fontId="13" fillId="0" borderId="0" xfId="4" applyNumberFormat="1"/>
    <xf numFmtId="8" fontId="4" fillId="0" borderId="2" xfId="4" applyNumberFormat="1" applyFont="1" applyBorder="1"/>
    <xf numFmtId="41" fontId="4" fillId="0" borderId="0" xfId="4" applyNumberFormat="1" applyFont="1" applyAlignment="1">
      <alignment horizontal="center"/>
    </xf>
    <xf numFmtId="169" fontId="9" fillId="0" borderId="0" xfId="4" applyNumberFormat="1" applyFont="1" applyAlignment="1">
      <alignment horizontal="center"/>
    </xf>
    <xf numFmtId="0" fontId="32" fillId="0" borderId="0" xfId="0" applyFont="1"/>
    <xf numFmtId="0" fontId="30" fillId="0" borderId="0" xfId="0" applyFont="1"/>
    <xf numFmtId="0" fontId="33" fillId="0" borderId="0" xfId="0" applyFont="1"/>
    <xf numFmtId="0" fontId="31" fillId="0" borderId="0" xfId="0" applyFont="1"/>
    <xf numFmtId="0" fontId="35" fillId="7" borderId="16" xfId="0" applyFont="1" applyFill="1" applyBorder="1" applyAlignment="1">
      <alignment horizontal="center"/>
    </xf>
    <xf numFmtId="0" fontId="30" fillId="0" borderId="16" xfId="0" applyFont="1" applyBorder="1" applyAlignment="1">
      <alignment vertical="top"/>
    </xf>
    <xf numFmtId="0" fontId="30" fillId="0" borderId="16" xfId="0" quotePrefix="1" applyFont="1" applyBorder="1" applyAlignment="1">
      <alignment vertical="top"/>
    </xf>
    <xf numFmtId="0" fontId="36" fillId="0" borderId="0" xfId="0" applyFont="1"/>
    <xf numFmtId="0" fontId="35" fillId="7" borderId="0" xfId="0" applyFont="1" applyFill="1"/>
    <xf numFmtId="175" fontId="30" fillId="0" borderId="0" xfId="0" applyNumberFormat="1" applyFont="1"/>
    <xf numFmtId="164" fontId="30" fillId="0" borderId="0" xfId="0" applyNumberFormat="1" applyFont="1"/>
    <xf numFmtId="176" fontId="30" fillId="0" borderId="0" xfId="0" applyNumberFormat="1" applyFont="1"/>
    <xf numFmtId="0" fontId="45" fillId="0" borderId="0" xfId="0" applyFont="1"/>
    <xf numFmtId="0" fontId="43" fillId="0" borderId="0" xfId="0" applyFont="1"/>
    <xf numFmtId="0" fontId="46" fillId="7" borderId="19" xfId="0" applyFont="1" applyFill="1" applyBorder="1" applyAlignment="1">
      <alignment horizontal="center" vertical="center"/>
    </xf>
    <xf numFmtId="0" fontId="43" fillId="0" borderId="19" xfId="0" applyFont="1" applyBorder="1"/>
    <xf numFmtId="1" fontId="43" fillId="0" borderId="19" xfId="0" applyNumberFormat="1" applyFont="1" applyBorder="1" applyAlignment="1">
      <alignment horizontal="center"/>
    </xf>
    <xf numFmtId="176" fontId="43" fillId="0" borderId="19" xfId="0" applyNumberFormat="1" applyFont="1" applyBorder="1"/>
    <xf numFmtId="175" fontId="43" fillId="0" borderId="19" xfId="0" applyNumberFormat="1" applyFont="1" applyBorder="1"/>
    <xf numFmtId="0" fontId="43" fillId="0" borderId="19" xfId="0" applyFont="1" applyBorder="1" applyAlignment="1">
      <alignment horizontal="center"/>
    </xf>
    <xf numFmtId="9" fontId="43" fillId="0" borderId="19" xfId="0" applyNumberFormat="1" applyFont="1" applyBorder="1"/>
    <xf numFmtId="42" fontId="43" fillId="0" borderId="19" xfId="0" applyNumberFormat="1" applyFont="1" applyBorder="1"/>
    <xf numFmtId="175" fontId="44" fillId="6" borderId="19" xfId="0" applyNumberFormat="1" applyFont="1" applyFill="1" applyBorder="1" applyAlignment="1">
      <alignment horizontal="center"/>
    </xf>
    <xf numFmtId="41" fontId="43" fillId="0" borderId="19" xfId="0" applyNumberFormat="1" applyFont="1" applyBorder="1"/>
    <xf numFmtId="176" fontId="43" fillId="0" borderId="19" xfId="0" applyNumberFormat="1" applyFont="1" applyBorder="1" applyAlignment="1">
      <alignment horizontal="center"/>
    </xf>
    <xf numFmtId="175" fontId="43" fillId="0" borderId="19" xfId="0" applyNumberFormat="1" applyFont="1" applyBorder="1" applyAlignment="1">
      <alignment horizontal="center"/>
    </xf>
    <xf numFmtId="1" fontId="0" fillId="0" borderId="0" xfId="0" applyNumberFormat="1"/>
    <xf numFmtId="175" fontId="0" fillId="0" borderId="0" xfId="0" applyNumberFormat="1"/>
    <xf numFmtId="175" fontId="2" fillId="0" borderId="0" xfId="0" applyNumberFormat="1" applyFont="1" applyAlignment="1">
      <alignment horizontal="right"/>
    </xf>
    <xf numFmtId="175" fontId="2" fillId="0" borderId="0" xfId="0" applyNumberFormat="1" applyFont="1"/>
    <xf numFmtId="170" fontId="3" fillId="0" borderId="0" xfId="0" applyNumberFormat="1" applyFont="1" applyAlignment="1" applyProtection="1">
      <alignment horizontal="center" vertical="center"/>
      <protection locked="0"/>
    </xf>
    <xf numFmtId="3" fontId="3" fillId="0" borderId="0" xfId="1" applyNumberFormat="1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9" fontId="3" fillId="0" borderId="0" xfId="3" applyFont="1" applyAlignment="1" applyProtection="1">
      <alignment horizontal="center" vertical="center"/>
      <protection locked="0"/>
    </xf>
    <xf numFmtId="170" fontId="3" fillId="12" borderId="0" xfId="0" applyNumberFormat="1" applyFont="1" applyFill="1" applyAlignment="1" applyProtection="1">
      <alignment horizontal="center" vertical="center"/>
      <protection locked="0"/>
    </xf>
    <xf numFmtId="0" fontId="3" fillId="12" borderId="0" xfId="0" applyFont="1" applyFill="1" applyAlignment="1" applyProtection="1">
      <alignment horizontal="center" vertical="center"/>
      <protection locked="0"/>
    </xf>
    <xf numFmtId="9" fontId="3" fillId="12" borderId="0" xfId="3" applyFont="1" applyFill="1" applyAlignment="1" applyProtection="1">
      <alignment horizontal="center" vertical="center"/>
      <protection locked="0"/>
    </xf>
    <xf numFmtId="9" fontId="3" fillId="0" borderId="0" xfId="3" applyFont="1" applyBorder="1" applyAlignment="1" applyProtection="1">
      <alignment horizontal="center" vertical="center"/>
      <protection locked="0"/>
    </xf>
    <xf numFmtId="9" fontId="3" fillId="12" borderId="0" xfId="3" applyFont="1" applyFill="1" applyBorder="1" applyAlignment="1" applyProtection="1">
      <alignment horizontal="center" vertical="center"/>
      <protection locked="0"/>
    </xf>
    <xf numFmtId="5" fontId="3" fillId="4" borderId="2" xfId="0" applyNumberFormat="1" applyFont="1" applyFill="1" applyBorder="1" applyAlignment="1" applyProtection="1">
      <alignment horizontal="center" vertical="center"/>
      <protection locked="0"/>
    </xf>
    <xf numFmtId="170" fontId="3" fillId="0" borderId="2" xfId="0" applyNumberFormat="1" applyFont="1" applyBorder="1" applyAlignment="1" applyProtection="1">
      <alignment horizontal="center"/>
      <protection locked="0"/>
    </xf>
    <xf numFmtId="44" fontId="3" fillId="0" borderId="2" xfId="2" applyFont="1" applyBorder="1" applyProtection="1">
      <protection locked="0"/>
    </xf>
    <xf numFmtId="44" fontId="3" fillId="0" borderId="0" xfId="2" applyFont="1" applyBorder="1" applyProtection="1">
      <protection locked="0"/>
    </xf>
    <xf numFmtId="9" fontId="3" fillId="0" borderId="2" xfId="3" applyFont="1" applyBorder="1" applyAlignment="1" applyProtection="1">
      <alignment horizontal="center"/>
      <protection locked="0"/>
    </xf>
    <xf numFmtId="179" fontId="3" fillId="6" borderId="0" xfId="0" applyNumberFormat="1" applyFont="1" applyFill="1" applyAlignment="1" applyProtection="1">
      <alignment horizontal="center"/>
      <protection locked="0"/>
    </xf>
    <xf numFmtId="1" fontId="3" fillId="0" borderId="2" xfId="0" applyNumberFormat="1" applyFont="1" applyBorder="1" applyAlignment="1" applyProtection="1">
      <alignment horizontal="center"/>
      <protection locked="0"/>
    </xf>
    <xf numFmtId="165" fontId="3" fillId="0" borderId="2" xfId="2" applyNumberFormat="1" applyFont="1" applyBorder="1" applyProtection="1">
      <protection locked="0"/>
    </xf>
    <xf numFmtId="180" fontId="3" fillId="6" borderId="0" xfId="0" applyNumberFormat="1" applyFont="1" applyFill="1" applyAlignment="1" applyProtection="1">
      <alignment horizontal="center"/>
      <protection locked="0"/>
    </xf>
    <xf numFmtId="165" fontId="3" fillId="0" borderId="0" xfId="2" applyNumberFormat="1" applyFont="1" applyBorder="1" applyProtection="1">
      <protection locked="0"/>
    </xf>
    <xf numFmtId="164" fontId="3" fillId="0" borderId="2" xfId="3" applyNumberFormat="1" applyFont="1" applyBorder="1" applyProtection="1">
      <protection locked="0"/>
    </xf>
    <xf numFmtId="10" fontId="3" fillId="0" borderId="2" xfId="3" applyNumberFormat="1" applyFont="1" applyBorder="1" applyProtection="1">
      <protection locked="0"/>
    </xf>
    <xf numFmtId="10" fontId="3" fillId="0" borderId="2" xfId="3" applyNumberFormat="1" applyFont="1" applyBorder="1" applyAlignment="1" applyProtection="1">
      <alignment horizontal="center"/>
      <protection locked="0"/>
    </xf>
    <xf numFmtId="1" fontId="3" fillId="0" borderId="2" xfId="2" applyNumberFormat="1" applyFont="1" applyBorder="1" applyAlignment="1" applyProtection="1">
      <alignment horizontal="right"/>
      <protection locked="0"/>
    </xf>
    <xf numFmtId="171" fontId="3" fillId="0" borderId="2" xfId="0" applyNumberFormat="1" applyFont="1" applyBorder="1" applyProtection="1">
      <protection locked="0"/>
    </xf>
    <xf numFmtId="41" fontId="3" fillId="0" borderId="2" xfId="0" applyNumberFormat="1" applyFont="1" applyBorder="1" applyProtection="1">
      <protection locked="0"/>
    </xf>
    <xf numFmtId="10" fontId="3" fillId="0" borderId="2" xfId="3" applyNumberFormat="1" applyFont="1" applyBorder="1" applyAlignment="1" applyProtection="1">
      <alignment horizontal="center" vertical="center" wrapText="1"/>
      <protection locked="0"/>
    </xf>
    <xf numFmtId="41" fontId="3" fillId="0" borderId="0" xfId="2" applyNumberFormat="1" applyFont="1" applyProtection="1">
      <protection locked="0"/>
    </xf>
    <xf numFmtId="41" fontId="3" fillId="0" borderId="0" xfId="0" applyNumberFormat="1" applyFont="1" applyProtection="1">
      <protection locked="0"/>
    </xf>
    <xf numFmtId="41" fontId="3" fillId="0" borderId="1" xfId="0" applyNumberFormat="1" applyFont="1" applyBorder="1" applyProtection="1">
      <protection locked="0"/>
    </xf>
    <xf numFmtId="9" fontId="3" fillId="0" borderId="0" xfId="3" applyFont="1" applyAlignment="1" applyProtection="1">
      <alignment horizontal="center"/>
      <protection locked="0"/>
    </xf>
    <xf numFmtId="9" fontId="12" fillId="0" borderId="0" xfId="3" applyFont="1" applyAlignment="1" applyProtection="1">
      <alignment horizontal="center"/>
      <protection locked="0"/>
    </xf>
    <xf numFmtId="42" fontId="10" fillId="0" borderId="0" xfId="0" applyNumberFormat="1" applyFont="1" applyProtection="1">
      <protection locked="0"/>
    </xf>
    <xf numFmtId="41" fontId="3" fillId="0" borderId="10" xfId="0" applyNumberFormat="1" applyFont="1" applyBorder="1" applyProtection="1">
      <protection locked="0"/>
    </xf>
    <xf numFmtId="42" fontId="26" fillId="0" borderId="0" xfId="0" applyNumberFormat="1" applyFont="1" applyProtection="1">
      <protection locked="0"/>
    </xf>
    <xf numFmtId="0" fontId="41" fillId="2" borderId="0" xfId="0" applyFont="1" applyFill="1" applyAlignment="1" applyProtection="1">
      <alignment horizontal="center"/>
      <protection locked="0"/>
    </xf>
    <xf numFmtId="171" fontId="3" fillId="0" borderId="0" xfId="5" applyNumberFormat="1" applyFont="1" applyFill="1" applyBorder="1" applyProtection="1">
      <protection locked="0"/>
    </xf>
    <xf numFmtId="164" fontId="3" fillId="0" borderId="0" xfId="0" applyNumberFormat="1" applyFont="1" applyAlignment="1" applyProtection="1">
      <alignment horizontal="center"/>
      <protection locked="0"/>
    </xf>
    <xf numFmtId="41" fontId="3" fillId="0" borderId="0" xfId="5" applyNumberFormat="1" applyFont="1" applyFill="1" applyBorder="1" applyProtection="1">
      <protection locked="0"/>
    </xf>
    <xf numFmtId="41" fontId="3" fillId="0" borderId="0" xfId="6" applyNumberFormat="1" applyFont="1" applyFill="1" applyBorder="1" applyProtection="1">
      <protection locked="0"/>
    </xf>
    <xf numFmtId="9" fontId="3" fillId="0" borderId="0" xfId="0" applyNumberFormat="1" applyFont="1" applyProtection="1">
      <protection locked="0"/>
    </xf>
    <xf numFmtId="0" fontId="3" fillId="0" borderId="0" xfId="0" applyFont="1" applyProtection="1">
      <protection locked="0"/>
    </xf>
    <xf numFmtId="164" fontId="3" fillId="0" borderId="0" xfId="3" applyNumberFormat="1" applyFont="1" applyBorder="1" applyAlignment="1" applyProtection="1">
      <alignment horizontal="center"/>
      <protection locked="0"/>
    </xf>
    <xf numFmtId="173" fontId="3" fillId="0" borderId="0" xfId="2" applyNumberFormat="1" applyFont="1" applyProtection="1">
      <protection locked="0"/>
    </xf>
    <xf numFmtId="9" fontId="3" fillId="0" borderId="0" xfId="3" applyFont="1" applyProtection="1">
      <protection locked="0"/>
    </xf>
    <xf numFmtId="9" fontId="3" fillId="0" borderId="1" xfId="3" applyFont="1" applyBorder="1" applyProtection="1">
      <protection locked="0"/>
    </xf>
    <xf numFmtId="164" fontId="3" fillId="0" borderId="1" xfId="3" applyNumberFormat="1" applyFont="1" applyBorder="1" applyProtection="1">
      <protection locked="0"/>
    </xf>
    <xf numFmtId="10" fontId="3" fillId="0" borderId="0" xfId="4" applyNumberFormat="1" applyFont="1" applyProtection="1">
      <protection locked="0"/>
    </xf>
    <xf numFmtId="42" fontId="3" fillId="0" borderId="0" xfId="4" applyNumberFormat="1" applyFont="1" applyProtection="1">
      <protection locked="0"/>
    </xf>
    <xf numFmtId="164" fontId="3" fillId="0" borderId="0" xfId="4" applyNumberFormat="1" applyFont="1" applyProtection="1">
      <protection locked="0"/>
    </xf>
    <xf numFmtId="43" fontId="21" fillId="0" borderId="0" xfId="4" applyNumberFormat="1" applyFont="1" applyProtection="1">
      <protection locked="0"/>
    </xf>
    <xf numFmtId="170" fontId="3" fillId="0" borderId="0" xfId="4" applyNumberFormat="1" applyFont="1" applyProtection="1">
      <protection locked="0"/>
    </xf>
    <xf numFmtId="10" fontId="21" fillId="0" borderId="0" xfId="3" applyNumberFormat="1" applyFont="1" applyProtection="1">
      <protection locked="0"/>
    </xf>
    <xf numFmtId="42" fontId="21" fillId="0" borderId="0" xfId="4" applyNumberFormat="1" applyFont="1" applyProtection="1">
      <protection locked="0"/>
    </xf>
    <xf numFmtId="41" fontId="3" fillId="0" borderId="2" xfId="4" applyNumberFormat="1" applyFont="1" applyBorder="1" applyProtection="1">
      <protection locked="0"/>
    </xf>
    <xf numFmtId="0" fontId="34" fillId="6" borderId="0" xfId="0" applyFont="1" applyFill="1" applyProtection="1">
      <protection locked="0"/>
    </xf>
    <xf numFmtId="0" fontId="47" fillId="6" borderId="19" xfId="0" applyFont="1" applyFill="1" applyBorder="1" applyAlignment="1" applyProtection="1">
      <alignment horizontal="center"/>
      <protection locked="0"/>
    </xf>
    <xf numFmtId="1" fontId="3" fillId="0" borderId="0" xfId="0" applyNumberFormat="1" applyFont="1" applyAlignment="1" applyProtection="1">
      <alignment horizontal="center"/>
      <protection locked="0"/>
    </xf>
    <xf numFmtId="0" fontId="35" fillId="8" borderId="16" xfId="0" applyFont="1" applyFill="1" applyBorder="1" applyAlignment="1">
      <alignment vertical="center"/>
    </xf>
    <xf numFmtId="0" fontId="35" fillId="8" borderId="16" xfId="0" applyFont="1" applyFill="1" applyBorder="1" applyAlignment="1">
      <alignment horizontal="right" vertical="center"/>
    </xf>
    <xf numFmtId="0" fontId="35" fillId="8" borderId="16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0" fillId="0" borderId="2" xfId="0" applyBorder="1" applyAlignment="1">
      <alignment horizontal="left" indent="2"/>
    </xf>
    <xf numFmtId="0" fontId="2" fillId="0" borderId="2" xfId="0" applyFont="1" applyBorder="1" applyAlignment="1">
      <alignment horizontal="left"/>
    </xf>
    <xf numFmtId="0" fontId="0" fillId="0" borderId="3" xfId="0" applyBorder="1" applyAlignment="1">
      <alignment horizontal="left" indent="2"/>
    </xf>
    <xf numFmtId="0" fontId="0" fillId="0" borderId="4" xfId="0" applyBorder="1" applyAlignment="1">
      <alignment horizontal="left" indent="2"/>
    </xf>
    <xf numFmtId="0" fontId="0" fillId="0" borderId="9" xfId="0" applyBorder="1" applyAlignment="1">
      <alignment horizontal="left" indent="2"/>
    </xf>
    <xf numFmtId="0" fontId="2" fillId="5" borderId="2" xfId="0" applyFont="1" applyFill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2" fillId="5" borderId="12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168" fontId="2" fillId="5" borderId="2" xfId="0" applyNumberFormat="1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39" fillId="7" borderId="0" xfId="0" applyFont="1" applyFill="1"/>
  </cellXfs>
  <cellStyles count="16">
    <cellStyle name="Comma" xfId="1" builtinId="3"/>
    <cellStyle name="Comma 2" xfId="6" xr:uid="{90AF27A7-A9FE-4159-8390-C380301CE747}"/>
    <cellStyle name="Comma 2 2" xfId="12" xr:uid="{49841887-B6D9-4D78-842B-DE353872E493}"/>
    <cellStyle name="Comma 21" xfId="10" xr:uid="{53A4D738-759B-470C-AB75-C43E0BC0D0E4}"/>
    <cellStyle name="Currency" xfId="2" builtinId="4"/>
    <cellStyle name="Currency 10" xfId="9" xr:uid="{D6918E89-EBFB-47F0-AF04-ABD8B6CFD23F}"/>
    <cellStyle name="Currency 19" xfId="14" xr:uid="{C7D8D918-A6B8-4505-9E8A-057CDB149B9C}"/>
    <cellStyle name="Currency 2" xfId="5" xr:uid="{699DA6ED-6F23-4E4C-804F-0609CBD23CE2}"/>
    <cellStyle name="Currency 21" xfId="13" xr:uid="{E66F5946-F91F-4DB6-822A-8C7D9BEE0D6A}"/>
    <cellStyle name="Currency 3 2" xfId="11" xr:uid="{B9FE458F-54A3-4052-86FD-391E420A1801}"/>
    <cellStyle name="Normal" xfId="0" builtinId="0"/>
    <cellStyle name="Normal 2" xfId="4" xr:uid="{66E58D0A-9F7A-489F-AAF1-A27DD98F5B1D}"/>
    <cellStyle name="Normal 3" xfId="8" xr:uid="{59DD3A27-57E1-49F6-8619-F49A721ACDA2}"/>
    <cellStyle name="Normal 3 2" xfId="15" xr:uid="{6D8DBC01-417A-48B5-A029-8DBFEB94AB11}"/>
    <cellStyle name="Percent" xfId="3" builtinId="5"/>
    <cellStyle name="Percent 2" xfId="7" xr:uid="{2A98A4A9-C538-4072-A4A5-43AF9CE7A50D}"/>
  </cellStyles>
  <dxfs count="16">
    <dxf>
      <font>
        <b val="0"/>
        <i val="0"/>
        <color rgb="FF375623"/>
      </font>
      <fill>
        <patternFill patternType="solid">
          <fgColor indexed="64"/>
          <bgColor rgb="FFE2EFDA"/>
        </patternFill>
      </fill>
    </dxf>
    <dxf>
      <font>
        <b val="0"/>
        <i val="0"/>
        <color rgb="FFC00000"/>
      </font>
      <fill>
        <patternFill patternType="solid">
          <fgColor indexed="64"/>
          <bgColor rgb="FFFCE4E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808080"/>
      </font>
    </dxf>
    <dxf>
      <font>
        <color rgb="FFBF8F00"/>
      </font>
    </dxf>
    <dxf>
      <font>
        <color rgb="FFC00000"/>
      </font>
    </dxf>
    <dxf>
      <font>
        <color rgb="FF808080"/>
      </font>
      <fill>
        <patternFill patternType="solid">
          <fgColor indexed="64"/>
          <bgColor rgb="FFF2F2F2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C00000"/>
      </font>
      <fill>
        <patternFill patternType="solid">
          <fgColor indexed="64"/>
          <bgColor rgb="FFFCE4E4"/>
        </patternFill>
      </fill>
    </dxf>
    <dxf>
      <font>
        <color rgb="FF375623"/>
      </font>
      <fill>
        <patternFill patternType="solid">
          <fgColor indexed="64"/>
          <bgColor rgb="FFE2EFDA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Vishal Vasanji" id="{3A91711F-9326-4DAA-8A0D-A358D15A9F20}" userId="S::VVasanji@sonomaadvisors.com::d80b6839-226e-4db4-9b56-2b62878691e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34" dT="2026-03-06T17:59:05.71" personId="{3A91711F-9326-4DAA-8A0D-A358D15A9F20}" id="{720D97B7-AAA2-49DB-8BA5-ADA28DD2502D}">
    <text>60% at M1; balance over 5 months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18" row="2">
    <wetp:webextensionref xmlns:r="http://schemas.openxmlformats.org/officeDocument/2006/relationships" r:id="rId1"/>
  </wetp:taskpane>
  <wetp:taskpane dockstate="right" visibility="0" width="350" row="4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13E432CB-CD61-4098-95C6-0C64BDFABDBA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b9def243-eade-41f1-bb9f-c177b87af4b0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B4D8B0C8-D7FD-4986-8396-8BD27C592224}">
  <we:reference id="11d7cf85-ae5a-43b8-bc58-1e1a151cce24" version="1.0.0.1" store="EXCatalog" storeType="EXCatalog"/>
  <we:alternateReferences>
    <we:reference id="WA200010725" version="1.0.0.1" store="en-US" storeType="OMEX"/>
  </we:alternateReferences>
  <we:properties>
    <we:property name="claude.fileId" value="&quot;665b72e3-f18a-4e88-a77f-0cd78f9c52eb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6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1B6F1-BB1C-45B3-B85B-19127B251F44}">
  <sheetPr>
    <tabColor rgb="FF1F4E5F"/>
  </sheetPr>
  <dimension ref="A1:F41"/>
  <sheetViews>
    <sheetView showGridLines="0" zoomScale="80" zoomScaleNormal="80" workbookViewId="0">
      <pane ySplit="2" topLeftCell="A3" activePane="bottomLeft" state="frozen"/>
      <selection pane="bottomLeft" activeCell="H18" sqref="H18"/>
    </sheetView>
  </sheetViews>
  <sheetFormatPr defaultRowHeight="15" x14ac:dyDescent="0.25"/>
  <cols>
    <col min="1" max="1" width="40" customWidth="1"/>
    <col min="2" max="2" width="19" customWidth="1"/>
    <col min="3" max="3" width="11" customWidth="1"/>
    <col min="4" max="4" width="19" customWidth="1"/>
    <col min="5" max="5" width="16.7109375" customWidth="1"/>
    <col min="6" max="6" width="14.140625" customWidth="1"/>
    <col min="7" max="7" width="30.140625" customWidth="1"/>
    <col min="8" max="8" width="21.85546875" customWidth="1"/>
    <col min="9" max="9" width="7.5703125" customWidth="1"/>
  </cols>
  <sheetData>
    <row r="1" spans="1:6" ht="36" customHeight="1" x14ac:dyDescent="0.25">
      <c r="A1" s="369" t="str">
        <f>'Dashboard Calc'!B3&amp;" Scorecard"</f>
        <v>Westbend Scorecard</v>
      </c>
      <c r="B1" s="369"/>
      <c r="C1" s="369"/>
      <c r="D1" s="369"/>
      <c r="E1" s="369"/>
      <c r="F1" s="369"/>
    </row>
    <row r="2" spans="1:6" s="3" customFormat="1" ht="18" customHeight="1" x14ac:dyDescent="0.25">
      <c r="A2" s="1" t="s">
        <v>724</v>
      </c>
      <c r="B2" s="2" t="s">
        <v>636</v>
      </c>
      <c r="C2" s="2" t="s">
        <v>725</v>
      </c>
      <c r="D2" s="2" t="s">
        <v>726</v>
      </c>
      <c r="E2" s="2" t="s">
        <v>727</v>
      </c>
      <c r="F2" s="2" t="s">
        <v>728</v>
      </c>
    </row>
    <row r="3" spans="1:6" s="3" customFormat="1" ht="18" customHeight="1" x14ac:dyDescent="0.25">
      <c r="A3" s="366" t="s">
        <v>464</v>
      </c>
      <c r="B3" s="367"/>
      <c r="C3" s="368"/>
      <c r="D3" s="367"/>
      <c r="E3" s="368"/>
      <c r="F3" s="368"/>
    </row>
    <row r="4" spans="1:6" s="3" customFormat="1" ht="18" customHeight="1" x14ac:dyDescent="0.25">
      <c r="A4" s="4" t="str">
        <f>'Dashboard Calc'!M9</f>
        <v>Annual DSCR band (Yr2-17)</v>
      </c>
      <c r="B4" s="5">
        <f ca="1">'Dashboard Calc'!N9</f>
        <v>1.2459968576397762</v>
      </c>
      <c r="C4" s="6" t="s">
        <v>734</v>
      </c>
      <c r="D4" s="7" t="str">
        <f>'Dashboard Calc'!O9</f>
        <v>1.15-1.40</v>
      </c>
      <c r="E4" s="6" t="str">
        <f ca="1">'Dashboard Calc'!P9</f>
        <v>FAIL</v>
      </c>
      <c r="F4" s="6" t="str">
        <f ca="1">IF('Dashboard Calc'!P9&lt;&gt;"FAIL","",IF('Dashboard Calc'!Q9="error","Hard fail",IF('Dashboard Calc'!Q9="warning","Warning","Info")))</f>
        <v>Hard fail</v>
      </c>
    </row>
    <row r="5" spans="1:6" s="3" customFormat="1" ht="18" customHeight="1" x14ac:dyDescent="0.25">
      <c r="A5" s="4" t="str">
        <f>'Dashboard Calc'!M10</f>
        <v>15-yr projected DSCR (y5/10/15)</v>
      </c>
      <c r="B5" s="5">
        <f ca="1">'Dashboard Calc'!N10</f>
        <v>1.2640714684670236</v>
      </c>
      <c r="C5" s="6" t="s">
        <v>734</v>
      </c>
      <c r="D5" s="7" t="str">
        <f>'Dashboard Calc'!O10</f>
        <v>1.00-1.40</v>
      </c>
      <c r="E5" s="6" t="str">
        <f ca="1">'Dashboard Calc'!P10</f>
        <v>FAIL</v>
      </c>
      <c r="F5" s="6" t="str">
        <f ca="1">IF('Dashboard Calc'!P10&lt;&gt;"FAIL","",IF('Dashboard Calc'!Q10="error","Hard fail",IF('Dashboard Calc'!Q10="warning","Warning","Info")))</f>
        <v>Hard fail</v>
      </c>
    </row>
    <row r="6" spans="1:6" s="3" customFormat="1" ht="18" customHeight="1" x14ac:dyDescent="0.25">
      <c r="A6" s="366" t="s">
        <v>739</v>
      </c>
      <c r="B6" s="367"/>
      <c r="C6" s="368"/>
      <c r="D6" s="367"/>
      <c r="E6" s="368"/>
      <c r="F6" s="368"/>
    </row>
    <row r="7" spans="1:6" s="3" customFormat="1" ht="18" customHeight="1" x14ac:dyDescent="0.25">
      <c r="A7" s="4" t="str">
        <f>'Dashboard Calc'!M29</f>
        <v>Year-1 cash-flow ceiling</v>
      </c>
      <c r="B7" s="8">
        <f ca="1">'Dashboard Calc'!N29</f>
        <v>274844.28227248805</v>
      </c>
      <c r="C7" s="6" t="s">
        <v>732</v>
      </c>
      <c r="D7" s="8">
        <f>'Dashboard Calc'!O29</f>
        <v>133198.80655199999</v>
      </c>
      <c r="E7" s="6" t="str">
        <f ca="1">'Dashboard Calc'!P29</f>
        <v>FAIL</v>
      </c>
      <c r="F7" s="6" t="str">
        <f ca="1">IF('Dashboard Calc'!P29&lt;&gt;"FAIL","",IF('Dashboard Calc'!Q29="error","Hard fail",IF('Dashboard Calc'!Q29="warning","Warning","Info")))</f>
        <v>Warning</v>
      </c>
    </row>
    <row r="8" spans="1:6" s="3" customFormat="1" ht="18" customHeight="1" x14ac:dyDescent="0.25">
      <c r="A8" s="4" t="str">
        <f>'Dashboard Calc'!M30</f>
        <v>Deferred dev-fee payoff by Yr15</v>
      </c>
      <c r="B8" s="8">
        <f ca="1">'Dashboard Calc'!N30</f>
        <v>3865332.0652428083</v>
      </c>
      <c r="C8" s="6" t="s">
        <v>737</v>
      </c>
      <c r="D8" s="8">
        <f ca="1">'Dashboard Calc'!O30</f>
        <v>2131813.0761792511</v>
      </c>
      <c r="E8" s="6" t="str">
        <f ca="1">'Dashboard Calc'!P30</f>
        <v>PASS</v>
      </c>
      <c r="F8" s="6" t="str">
        <f ca="1">IF('Dashboard Calc'!P30&lt;&gt;"FAIL","",IF('Dashboard Calc'!Q30="error","Hard fail",IF('Dashboard Calc'!Q30="warning","Warning","Info")))</f>
        <v/>
      </c>
    </row>
    <row r="9" spans="1:6" s="3" customFormat="1" ht="18" customHeight="1" x14ac:dyDescent="0.25">
      <c r="A9" s="366" t="s">
        <v>746</v>
      </c>
      <c r="B9" s="367"/>
      <c r="C9" s="368"/>
      <c r="D9" s="367"/>
      <c r="E9" s="368"/>
      <c r="F9" s="368"/>
    </row>
    <row r="10" spans="1:6" s="3" customFormat="1" ht="18" customHeight="1" x14ac:dyDescent="0.25">
      <c r="A10" s="4" t="str">
        <f>'Dashboard Calc'!M35</f>
        <v>Per-unit TDC vs QAP max</v>
      </c>
      <c r="B10" s="8">
        <f ca="1">'Dashboard Calc'!N35</f>
        <v>181600.1010813961</v>
      </c>
      <c r="C10" s="6" t="s">
        <v>732</v>
      </c>
      <c r="D10" s="8">
        <f>'Dashboard Calc'!O35</f>
        <v>247226.10714285713</v>
      </c>
      <c r="E10" s="6" t="str">
        <f ca="1">'Dashboard Calc'!P35</f>
        <v>PASS</v>
      </c>
      <c r="F10" s="6" t="str">
        <f ca="1">IF('Dashboard Calc'!P35&lt;&gt;"FAIL","",IF('Dashboard Calc'!Q35="error","Hard fail",IF('Dashboard Calc'!Q35="warning","Warning","Info")))</f>
        <v/>
      </c>
    </row>
    <row r="11" spans="1:6" s="3" customFormat="1" ht="18" customHeight="1" x14ac:dyDescent="0.25">
      <c r="A11" s="4" t="str">
        <f>'Dashboard Calc'!M36</f>
        <v>Total TDC vs QAP max</v>
      </c>
      <c r="B11" s="8">
        <f ca="1">'Dashboard Calc'!N36</f>
        <v>50848028.30279091</v>
      </c>
      <c r="C11" s="6" t="s">
        <v>732</v>
      </c>
      <c r="D11" s="8">
        <f>'Dashboard Calc'!O36</f>
        <v>69223310</v>
      </c>
      <c r="E11" s="6" t="str">
        <f ca="1">'Dashboard Calc'!P36</f>
        <v>PASS</v>
      </c>
      <c r="F11" s="6" t="str">
        <f ca="1">IF('Dashboard Calc'!P36&lt;&gt;"FAIL","",IF('Dashboard Calc'!Q36="error","Hard fail",IF('Dashboard Calc'!Q36="warning","Warning","Info")))</f>
        <v/>
      </c>
    </row>
    <row r="12" spans="1:6" s="3" customFormat="1" ht="18" customHeight="1" x14ac:dyDescent="0.25">
      <c r="A12" s="4" t="str">
        <f>'Dashboard Calc'!M26</f>
        <v>HUD Total Dev Cost limit</v>
      </c>
      <c r="B12" s="9">
        <f ca="1">'Dashboard Calc'!N26</f>
        <v>50848028.30279091</v>
      </c>
      <c r="C12" s="6" t="s">
        <v>732</v>
      </c>
      <c r="D12" s="9">
        <f>'Dashboard Calc'!O26</f>
        <v>69223310</v>
      </c>
      <c r="E12" s="6" t="str">
        <f ca="1">'Dashboard Calc'!P26</f>
        <v>PASS</v>
      </c>
      <c r="F12" s="6" t="str">
        <f ca="1">IF('Dashboard Calc'!P26&lt;&gt;"FAIL","",IF('Dashboard Calc'!Q26="error","Hard fail",IF('Dashboard Calc'!Q26="warning","Warning","Info")))</f>
        <v/>
      </c>
    </row>
    <row r="13" spans="1:6" s="3" customFormat="1" ht="18" customHeight="1" x14ac:dyDescent="0.25">
      <c r="A13" s="366" t="s">
        <v>735</v>
      </c>
      <c r="B13" s="367"/>
      <c r="C13" s="368"/>
      <c r="D13" s="367"/>
      <c r="E13" s="368"/>
      <c r="F13" s="368"/>
    </row>
    <row r="14" spans="1:6" s="3" customFormat="1" ht="18" customHeight="1" x14ac:dyDescent="0.25">
      <c r="A14" s="4" t="str">
        <f>'Dashboard Calc'!M11</f>
        <v>Developer fee</v>
      </c>
      <c r="B14" s="8">
        <f ca="1">'Dashboard Calc'!N11</f>
        <v>5921702.9893874349</v>
      </c>
      <c r="C14" s="6" t="s">
        <v>732</v>
      </c>
      <c r="D14" s="8" t="str">
        <f>'Dashboard Calc'!O11</f>
        <v>No cap (4% bond)</v>
      </c>
      <c r="E14" s="6" t="str">
        <f>'Dashboard Calc'!P11</f>
        <v>PASS</v>
      </c>
      <c r="F14" s="6" t="str">
        <f>IF('Dashboard Calc'!P11&lt;&gt;"FAIL","",IF('Dashboard Calc'!Q11="error","Hard fail",IF('Dashboard Calc'!Q11="warning","Warning","Info")))</f>
        <v/>
      </c>
    </row>
    <row r="15" spans="1:6" s="3" customFormat="1" ht="18" customHeight="1" x14ac:dyDescent="0.25">
      <c r="A15" s="4" t="str">
        <f>'Dashboard Calc'!M12</f>
        <v>Architect / design fee</v>
      </c>
      <c r="B15" s="8">
        <f>'Dashboard Calc'!N12</f>
        <v>750000</v>
      </c>
      <c r="C15" s="6" t="s">
        <v>732</v>
      </c>
      <c r="D15" s="8">
        <f ca="1">'Dashboard Calc'!O12</f>
        <v>2440288.8217522665</v>
      </c>
      <c r="E15" s="6" t="str">
        <f ca="1">'Dashboard Calc'!P12</f>
        <v>PASS</v>
      </c>
      <c r="F15" s="6" t="str">
        <f ca="1">IF('Dashboard Calc'!P12&lt;&gt;"FAIL","",IF('Dashboard Calc'!Q12="error","Hard fail",IF('Dashboard Calc'!Q12="warning","Warning","Info")))</f>
        <v/>
      </c>
    </row>
    <row r="16" spans="1:6" s="3" customFormat="1" ht="18" customHeight="1" x14ac:dyDescent="0.25">
      <c r="A16" s="4" t="str">
        <f>'Dashboard Calc'!M13</f>
        <v>Builder profit</v>
      </c>
      <c r="B16" s="8">
        <f ca="1">'Dashboard Calc'!N13</f>
        <v>1834803.6253776436</v>
      </c>
      <c r="C16" s="6" t="s">
        <v>732</v>
      </c>
      <c r="D16" s="8">
        <f ca="1">'Dashboard Calc'!O13</f>
        <v>1834803.6253776436</v>
      </c>
      <c r="E16" s="6" t="str">
        <f ca="1">'Dashboard Calc'!P13</f>
        <v>PASS</v>
      </c>
      <c r="F16" s="6" t="str">
        <f ca="1">IF('Dashboard Calc'!P13&lt;&gt;"FAIL","",IF('Dashboard Calc'!Q13="error","Hard fail",IF('Dashboard Calc'!Q13="warning","Warning","Info")))</f>
        <v/>
      </c>
    </row>
    <row r="17" spans="1:6" s="3" customFormat="1" ht="18" customHeight="1" x14ac:dyDescent="0.25">
      <c r="A17" s="4" t="str">
        <f>'Dashboard Calc'!M14</f>
        <v>Builder overhead</v>
      </c>
      <c r="B17" s="8">
        <f ca="1">'Dashboard Calc'!N14</f>
        <v>611601.20845921454</v>
      </c>
      <c r="C17" s="6" t="s">
        <v>732</v>
      </c>
      <c r="D17" s="8">
        <f ca="1">'Dashboard Calc'!O14</f>
        <v>611601.20845921454</v>
      </c>
      <c r="E17" s="6" t="str">
        <f ca="1">'Dashboard Calc'!P14</f>
        <v>PASS</v>
      </c>
      <c r="F17" s="6" t="str">
        <f ca="1">IF('Dashboard Calc'!P14&lt;&gt;"FAIL","",IF('Dashboard Calc'!Q14="error","Hard fail",IF('Dashboard Calc'!Q14="warning","Warning","Info")))</f>
        <v/>
      </c>
    </row>
    <row r="18" spans="1:6" s="3" customFormat="1" ht="18" customHeight="1" x14ac:dyDescent="0.25">
      <c r="A18" s="4" t="str">
        <f>'Dashboard Calc'!M15</f>
        <v>General requirements</v>
      </c>
      <c r="B18" s="8">
        <f ca="1">'Dashboard Calc'!N15</f>
        <v>1834803.6253776436</v>
      </c>
      <c r="C18" s="6" t="s">
        <v>732</v>
      </c>
      <c r="D18" s="8">
        <f ca="1">'Dashboard Calc'!O15</f>
        <v>1834803.6253776436</v>
      </c>
      <c r="E18" s="6" t="str">
        <f ca="1">'Dashboard Calc'!P15</f>
        <v>PASS</v>
      </c>
      <c r="F18" s="6" t="str">
        <f ca="1">IF('Dashboard Calc'!P15&lt;&gt;"FAIL","",IF('Dashboard Calc'!Q15="error","Hard fail",IF('Dashboard Calc'!Q15="warning","Warning","Info")))</f>
        <v/>
      </c>
    </row>
    <row r="19" spans="1:6" s="3" customFormat="1" ht="18" customHeight="1" x14ac:dyDescent="0.25">
      <c r="A19" s="4" t="str">
        <f>'Dashboard Calc'!M16</f>
        <v>Construction contingency</v>
      </c>
      <c r="B19" s="8">
        <f ca="1">'Dashboard Calc'!N16</f>
        <v>1660060.4229607251</v>
      </c>
      <c r="C19" s="6" t="s">
        <v>732</v>
      </c>
      <c r="D19" s="8">
        <f ca="1">'Dashboard Calc'!O16</f>
        <v>3486126.8882175232</v>
      </c>
      <c r="E19" s="6" t="str">
        <f ca="1">'Dashboard Calc'!P16</f>
        <v>PASS</v>
      </c>
      <c r="F19" s="6" t="str">
        <f ca="1">IF('Dashboard Calc'!P16&lt;&gt;"FAIL","",IF('Dashboard Calc'!Q16="error","Hard fail",IF('Dashboard Calc'!Q16="warning","Warning","Info")))</f>
        <v/>
      </c>
    </row>
    <row r="20" spans="1:6" s="3" customFormat="1" ht="18" customHeight="1" x14ac:dyDescent="0.25">
      <c r="A20" s="366" t="s">
        <v>736</v>
      </c>
      <c r="B20" s="367"/>
      <c r="C20" s="368"/>
      <c r="D20" s="367"/>
      <c r="E20" s="368"/>
      <c r="F20" s="368"/>
    </row>
    <row r="21" spans="1:6" s="3" customFormat="1" ht="18" customHeight="1" x14ac:dyDescent="0.25">
      <c r="A21" s="4" t="str">
        <f>'Dashboard Calc'!M17</f>
        <v>Minimum operating expenses</v>
      </c>
      <c r="B21" s="8">
        <f>'Dashboard Calc'!N17</f>
        <v>1331988.0655199999</v>
      </c>
      <c r="C21" s="6" t="s">
        <v>737</v>
      </c>
      <c r="D21" s="8">
        <f>'Dashboard Calc'!O17</f>
        <v>1260000</v>
      </c>
      <c r="E21" s="6" t="str">
        <f>'Dashboard Calc'!P17</f>
        <v>PASS</v>
      </c>
      <c r="F21" s="6" t="str">
        <f>IF('Dashboard Calc'!P17&lt;&gt;"FAIL","",IF('Dashboard Calc'!Q17="error","Hard fail",IF('Dashboard Calc'!Q17="warning","Warning","Info")))</f>
        <v/>
      </c>
    </row>
    <row r="22" spans="1:6" s="3" customFormat="1" ht="18" customHeight="1" x14ac:dyDescent="0.25">
      <c r="A22" s="4" t="str">
        <f>'Dashboard Calc'!M18</f>
        <v>Operating reserve (6 mo)</v>
      </c>
      <c r="B22" s="8">
        <f ca="1">'Dashboard Calc'!N18</f>
        <v>665994.03275999997</v>
      </c>
      <c r="C22" s="6" t="s">
        <v>737</v>
      </c>
      <c r="D22" s="8">
        <f>'Dashboard Calc'!O18</f>
        <v>665994.03275999997</v>
      </c>
      <c r="E22" s="6" t="str">
        <f ca="1">'Dashboard Calc'!P18</f>
        <v>PASS</v>
      </c>
      <c r="F22" s="6" t="str">
        <f ca="1">IF('Dashboard Calc'!P18&lt;&gt;"FAIL","",IF('Dashboard Calc'!Q18="error","Hard fail",IF('Dashboard Calc'!Q18="warning","Warning","Info")))</f>
        <v/>
      </c>
    </row>
    <row r="23" spans="1:6" s="3" customFormat="1" ht="18" customHeight="1" x14ac:dyDescent="0.25">
      <c r="A23" s="4" t="str">
        <f>'Dashboard Calc'!M20</f>
        <v>Repl-reserve adequacy (all yrs)</v>
      </c>
      <c r="B23" s="9">
        <f>'Dashboard Calc'!N20</f>
        <v>500.00000000000011</v>
      </c>
      <c r="C23" s="6" t="s">
        <v>737</v>
      </c>
      <c r="D23" s="9">
        <f>'Dashboard Calc'!O20</f>
        <v>350</v>
      </c>
      <c r="E23" s="6" t="str">
        <f>'Dashboard Calc'!P20</f>
        <v>PASS</v>
      </c>
      <c r="F23" s="6" t="str">
        <f>IF('Dashboard Calc'!P20&lt;&gt;"FAIL","",IF('Dashboard Calc'!Q20="error","Hard fail",IF('Dashboard Calc'!Q20="warning","Warning","Info")))</f>
        <v/>
      </c>
    </row>
    <row r="24" spans="1:6" s="3" customFormat="1" ht="18" customHeight="1" x14ac:dyDescent="0.25">
      <c r="A24" s="366" t="s">
        <v>738</v>
      </c>
      <c r="B24" s="367"/>
      <c r="C24" s="368"/>
      <c r="D24" s="367"/>
      <c r="E24" s="368"/>
      <c r="F24" s="368"/>
    </row>
    <row r="25" spans="1:6" s="3" customFormat="1" ht="18" customHeight="1" x14ac:dyDescent="0.25">
      <c r="A25" s="4" t="str">
        <f>'Dashboard Calc'!M21</f>
        <v>Vacancy, years 1-3</v>
      </c>
      <c r="B25" s="10">
        <f>'Dashboard Calc'!N21</f>
        <v>7.0000000000000007E-2</v>
      </c>
      <c r="C25" s="6" t="s">
        <v>737</v>
      </c>
      <c r="D25" s="10">
        <f>'Dashboard Calc'!O21</f>
        <v>7.0000000000000007E-2</v>
      </c>
      <c r="E25" s="6" t="str">
        <f>'Dashboard Calc'!P21</f>
        <v>PASS</v>
      </c>
      <c r="F25" s="6" t="str">
        <f>IF('Dashboard Calc'!P21&lt;&gt;"FAIL","",IF('Dashboard Calc'!Q21="error","Hard fail",IF('Dashboard Calc'!Q21="warning","Warning","Info")))</f>
        <v/>
      </c>
    </row>
    <row r="26" spans="1:6" s="3" customFormat="1" ht="18" customHeight="1" x14ac:dyDescent="0.25">
      <c r="A26" s="4" t="str">
        <f>'Dashboard Calc'!M22</f>
        <v>Vacancy, years 4+</v>
      </c>
      <c r="B26" s="10">
        <f>'Dashboard Calc'!N22</f>
        <v>7.0000000000000007E-2</v>
      </c>
      <c r="C26" s="6" t="s">
        <v>737</v>
      </c>
      <c r="D26" s="10">
        <f>'Dashboard Calc'!O22</f>
        <v>7.0000000000000007E-2</v>
      </c>
      <c r="E26" s="6" t="str">
        <f>'Dashboard Calc'!P22</f>
        <v>PASS</v>
      </c>
      <c r="F26" s="6" t="str">
        <f>IF('Dashboard Calc'!P22&lt;&gt;"FAIL","",IF('Dashboard Calc'!Q22="error","Hard fail",IF('Dashboard Calc'!Q22="warning","Warning","Info")))</f>
        <v/>
      </c>
    </row>
    <row r="27" spans="1:6" s="3" customFormat="1" ht="18" customHeight="1" x14ac:dyDescent="0.25">
      <c r="A27" s="4" t="str">
        <f>'Dashboard Calc'!M23</f>
        <v>Rent inflation, years 1-3</v>
      </c>
      <c r="B27" s="10">
        <f>'Dashboard Calc'!N23</f>
        <v>2.0000000000000018E-2</v>
      </c>
      <c r="C27" s="6" t="s">
        <v>732</v>
      </c>
      <c r="D27" s="10">
        <f>'Dashboard Calc'!O23</f>
        <v>0.02</v>
      </c>
      <c r="E27" s="6" t="str">
        <f>'Dashboard Calc'!P23</f>
        <v>PASS</v>
      </c>
      <c r="F27" s="6" t="str">
        <f>IF('Dashboard Calc'!P23&lt;&gt;"FAIL","",IF('Dashboard Calc'!Q23="error","Hard fail",IF('Dashboard Calc'!Q23="warning","Warning","Info")))</f>
        <v/>
      </c>
    </row>
    <row r="28" spans="1:6" s="3" customFormat="1" ht="18" customHeight="1" x14ac:dyDescent="0.25">
      <c r="A28" s="4" t="str">
        <f>'Dashboard Calc'!M24</f>
        <v>Rent inflation, years 4-15</v>
      </c>
      <c r="B28" s="10">
        <f>'Dashboard Calc'!N24</f>
        <v>2.0000000000000018E-2</v>
      </c>
      <c r="C28" s="6" t="s">
        <v>732</v>
      </c>
      <c r="D28" s="10">
        <f>'Dashboard Calc'!O24</f>
        <v>0.02</v>
      </c>
      <c r="E28" s="6" t="str">
        <f>'Dashboard Calc'!P24</f>
        <v>PASS</v>
      </c>
      <c r="F28" s="6" t="str">
        <f>IF('Dashboard Calc'!P24&lt;&gt;"FAIL","",IF('Dashboard Calc'!Q24="error","Hard fail",IF('Dashboard Calc'!Q24="warning","Warning","Info")))</f>
        <v/>
      </c>
    </row>
    <row r="29" spans="1:6" s="3" customFormat="1" ht="18" customHeight="1" x14ac:dyDescent="0.25">
      <c r="A29" s="4" t="str">
        <f>'Dashboard Calc'!M25</f>
        <v>Expense inflation (payroll YoY)</v>
      </c>
      <c r="B29" s="10">
        <f>'Dashboard Calc'!N25</f>
        <v>3.0000000000000027E-2</v>
      </c>
      <c r="C29" s="6" t="s">
        <v>737</v>
      </c>
      <c r="D29" s="10">
        <f>'Dashboard Calc'!O25</f>
        <v>2.8000000000000001E-2</v>
      </c>
      <c r="E29" s="6" t="str">
        <f>'Dashboard Calc'!P25</f>
        <v>PASS</v>
      </c>
      <c r="F29" s="6" t="str">
        <f>IF('Dashboard Calc'!P25&lt;&gt;"FAIL","",IF('Dashboard Calc'!Q25="error","Hard fail",IF('Dashboard Calc'!Q25="warning","Warning","Info")))</f>
        <v/>
      </c>
    </row>
    <row r="30" spans="1:6" s="3" customFormat="1" ht="18" customHeight="1" x14ac:dyDescent="0.25">
      <c r="A30" s="366" t="s">
        <v>729</v>
      </c>
      <c r="B30" s="367"/>
      <c r="C30" s="368"/>
      <c r="D30" s="367"/>
      <c r="E30" s="368"/>
      <c r="F30" s="368"/>
    </row>
    <row r="31" spans="1:6" s="3" customFormat="1" ht="18" customHeight="1" x14ac:dyDescent="0.25">
      <c r="A31" s="4" t="str">
        <f>'Dashboard Calc'!M3</f>
        <v>4% credit requires bonds</v>
      </c>
      <c r="B31" s="8">
        <f ca="1">'Dashboard Calc'!N3</f>
        <v>26629503.686842505</v>
      </c>
      <c r="C31" s="6" t="s">
        <v>730</v>
      </c>
      <c r="D31" s="8" t="str">
        <f>'Dashboard Calc'!O3</f>
        <v>Bonds &gt; $0</v>
      </c>
      <c r="E31" s="6" t="str">
        <f ca="1">'Dashboard Calc'!P3</f>
        <v>PASS</v>
      </c>
      <c r="F31" s="6" t="str">
        <f ca="1">IF('Dashboard Calc'!P3&lt;&gt;"FAIL","",IF('Dashboard Calc'!Q3="error","Hard fail",IF('Dashboard Calc'!Q3="warning","Warning","Info")))</f>
        <v/>
      </c>
    </row>
    <row r="32" spans="1:6" s="3" customFormat="1" ht="18" customHeight="1" x14ac:dyDescent="0.25">
      <c r="A32" s="4" t="str">
        <f>'Dashboard Calc'!M4</f>
        <v>9% + bonds mutually exclusive</v>
      </c>
      <c r="B32" s="8" t="str">
        <f>'Dashboard Calc'!N4</f>
        <v>n/a</v>
      </c>
      <c r="C32" s="6" t="s">
        <v>731</v>
      </c>
      <c r="D32" s="8" t="str">
        <f>'Dashboard Calc'!O4</f>
        <v>Bonds = $0</v>
      </c>
      <c r="E32" s="6" t="str">
        <f>'Dashboard Calc'!P4</f>
        <v>N/A</v>
      </c>
      <c r="F32" s="6" t="str">
        <f>IF('Dashboard Calc'!P4&lt;&gt;"FAIL","",IF('Dashboard Calc'!Q4="error","Hard fail",IF('Dashboard Calc'!Q4="warning","Warning","Info")))</f>
        <v/>
      </c>
    </row>
    <row r="33" spans="1:6" s="3" customFormat="1" ht="18" customHeight="1" x14ac:dyDescent="0.25">
      <c r="A33" s="4" t="str">
        <f>'Dashboard Calc'!M5</f>
        <v>Construction basis boost cap</v>
      </c>
      <c r="B33" s="10">
        <f>'Dashboard Calc'!N5</f>
        <v>0</v>
      </c>
      <c r="C33" s="6" t="s">
        <v>732</v>
      </c>
      <c r="D33" s="10">
        <f>'Dashboard Calc'!O5</f>
        <v>0.3</v>
      </c>
      <c r="E33" s="6" t="str">
        <f>'Dashboard Calc'!P5</f>
        <v>PASS</v>
      </c>
      <c r="F33" s="6" t="str">
        <f>IF('Dashboard Calc'!P5&lt;&gt;"FAIL","",IF('Dashboard Calc'!Q5="error","Hard fail",IF('Dashboard Calc'!Q5="warning","Warning","Info")))</f>
        <v/>
      </c>
    </row>
    <row r="34" spans="1:6" s="3" customFormat="1" ht="18" customHeight="1" x14ac:dyDescent="0.25">
      <c r="A34" s="4" t="str">
        <f>'Dashboard Calc'!M6</f>
        <v>Basis-boost geo eligibility</v>
      </c>
      <c r="B34" s="7" t="str">
        <f>'Dashboard Calc'!N6</f>
        <v>No</v>
      </c>
      <c r="C34" s="6" t="s">
        <v>733</v>
      </c>
      <c r="D34" s="7" t="str">
        <f>'Dashboard Calc'!O6</f>
        <v>Qualifying geo</v>
      </c>
      <c r="E34" s="6" t="str">
        <f>'Dashboard Calc'!P6</f>
        <v>PASS</v>
      </c>
      <c r="F34" s="6" t="str">
        <f>IF('Dashboard Calc'!P6&lt;&gt;"FAIL","",IF('Dashboard Calc'!Q6="error","Hard fail",IF('Dashboard Calc'!Q6="warning","Warning","Info")))</f>
        <v/>
      </c>
    </row>
    <row r="35" spans="1:6" s="3" customFormat="1" ht="18" customHeight="1" x14ac:dyDescent="0.25">
      <c r="A35" s="4" t="str">
        <f>'Dashboard Calc'!M7</f>
        <v>Per-project pool cap</v>
      </c>
      <c r="B35" s="8" t="str">
        <f>'Dashboard Calc'!N7</f>
        <v>n/a</v>
      </c>
      <c r="C35" s="6" t="s">
        <v>732</v>
      </c>
      <c r="D35" s="8" t="str">
        <f>'Dashboard Calc'!O7</f>
        <v>N/A (PAB cap)</v>
      </c>
      <c r="E35" s="6" t="str">
        <f>'Dashboard Calc'!P7</f>
        <v>N/A</v>
      </c>
      <c r="F35" s="6" t="str">
        <f>IF('Dashboard Calc'!P7&lt;&gt;"FAIL","",IF('Dashboard Calc'!Q7="error","Hard fail",IF('Dashboard Calc'!Q7="warning","Warning","Info")))</f>
        <v/>
      </c>
    </row>
    <row r="36" spans="1:6" s="3" customFormat="1" ht="18" customHeight="1" x14ac:dyDescent="0.25">
      <c r="A36" s="4" t="str">
        <f>'Dashboard Calc'!M8</f>
        <v>Maximum allowable credit</v>
      </c>
      <c r="B36" s="8">
        <f ca="1">'Dashboard Calc'!N8</f>
        <v>1841756.5075450579</v>
      </c>
      <c r="C36" s="6" t="s">
        <v>732</v>
      </c>
      <c r="D36" s="8">
        <f ca="1">'Dashboard Calc'!O8</f>
        <v>1841756.5075450579</v>
      </c>
      <c r="E36" s="6" t="str">
        <f ca="1">'Dashboard Calc'!P8</f>
        <v>PASS</v>
      </c>
      <c r="F36" s="6" t="str">
        <f ca="1">IF('Dashboard Calc'!P8&lt;&gt;"FAIL","",IF('Dashboard Calc'!Q8="error","Hard fail",IF('Dashboard Calc'!Q8="warning","Warning","Info")))</f>
        <v/>
      </c>
    </row>
    <row r="38" spans="1:6" x14ac:dyDescent="0.25">
      <c r="A38" s="11" t="s">
        <v>794</v>
      </c>
    </row>
    <row r="39" spans="1:6" x14ac:dyDescent="0.25">
      <c r="A39" s="12" t="s">
        <v>797</v>
      </c>
    </row>
    <row r="40" spans="1:6" x14ac:dyDescent="0.25">
      <c r="A40" s="12" t="s">
        <v>795</v>
      </c>
    </row>
    <row r="41" spans="1:6" x14ac:dyDescent="0.25">
      <c r="A41" s="12" t="s">
        <v>796</v>
      </c>
    </row>
  </sheetData>
  <mergeCells count="8">
    <mergeCell ref="A30:F30"/>
    <mergeCell ref="A1:F1"/>
    <mergeCell ref="A3:F3"/>
    <mergeCell ref="A13:F13"/>
    <mergeCell ref="A20:F20"/>
    <mergeCell ref="A6:F6"/>
    <mergeCell ref="A9:F9"/>
    <mergeCell ref="A24:F24"/>
  </mergeCells>
  <conditionalFormatting sqref="E3:E36">
    <cfRule type="expression" dxfId="15" priority="4">
      <formula>$E3="PASS"</formula>
    </cfRule>
    <cfRule type="expression" dxfId="14" priority="5">
      <formula>$E3="FAIL"</formula>
    </cfRule>
    <cfRule type="expression" dxfId="13" priority="6">
      <formula>$E3="PENDING"</formula>
    </cfRule>
    <cfRule type="expression" dxfId="12" priority="7">
      <formula>$E3="N/A"</formula>
    </cfRule>
  </conditionalFormatting>
  <conditionalFormatting sqref="F3:F36">
    <cfRule type="expression" dxfId="11" priority="8">
      <formula>$F3="Hard fail"</formula>
    </cfRule>
    <cfRule type="expression" dxfId="10" priority="9">
      <formula>$F3="Warning"</formula>
    </cfRule>
    <cfRule type="expression" dxfId="9" priority="10">
      <formula>$F3="Info"</formula>
    </cfRule>
  </conditionalFormatting>
  <pageMargins left="0.7" right="0.7" top="0.75" bottom="0.75" header="0.3" footer="0.3"/>
  <pageSetup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4A680-71D1-4992-9B71-B60FBD90635C}">
  <dimension ref="A1:O54"/>
  <sheetViews>
    <sheetView zoomScale="80" zoomScaleNormal="80" workbookViewId="0">
      <selection activeCell="G11" sqref="G11"/>
    </sheetView>
  </sheetViews>
  <sheetFormatPr defaultRowHeight="15" x14ac:dyDescent="0.25"/>
  <cols>
    <col min="1" max="8" width="12" customWidth="1"/>
    <col min="9" max="9" width="12" style="14" customWidth="1"/>
    <col min="10" max="12" width="12" customWidth="1"/>
    <col min="15" max="15" width="0" hidden="1" customWidth="1"/>
  </cols>
  <sheetData>
    <row r="1" spans="1:15" ht="18" customHeight="1" x14ac:dyDescent="0.3">
      <c r="A1" s="13" t="s">
        <v>178</v>
      </c>
    </row>
    <row r="2" spans="1:15" ht="18" customHeight="1" x14ac:dyDescent="0.25"/>
    <row r="3" spans="1:15" ht="18" customHeight="1" x14ac:dyDescent="0.25">
      <c r="A3" s="15" t="s">
        <v>180</v>
      </c>
      <c r="B3" s="15" t="s">
        <v>181</v>
      </c>
      <c r="C3" s="16" t="s">
        <v>182</v>
      </c>
      <c r="D3" s="15" t="s">
        <v>183</v>
      </c>
      <c r="E3" s="16" t="s">
        <v>2</v>
      </c>
      <c r="F3" s="15" t="s">
        <v>184</v>
      </c>
      <c r="G3" s="15" t="s">
        <v>209</v>
      </c>
      <c r="H3" s="15" t="s">
        <v>185</v>
      </c>
      <c r="I3" s="17" t="s">
        <v>57</v>
      </c>
      <c r="J3" s="16" t="s">
        <v>59</v>
      </c>
      <c r="K3" s="16" t="s">
        <v>186</v>
      </c>
      <c r="L3" s="16" t="s">
        <v>58</v>
      </c>
      <c r="O3" s="18" t="s">
        <v>194</v>
      </c>
    </row>
    <row r="4" spans="1:15" ht="18" customHeight="1" x14ac:dyDescent="0.25">
      <c r="A4" s="309">
        <v>1</v>
      </c>
      <c r="B4" s="309">
        <v>1</v>
      </c>
      <c r="C4" s="310">
        <v>900</v>
      </c>
      <c r="D4" s="311">
        <v>0</v>
      </c>
      <c r="E4" s="311" t="s">
        <v>187</v>
      </c>
      <c r="F4" s="311" t="s">
        <v>188</v>
      </c>
      <c r="G4" s="311" t="s">
        <v>188</v>
      </c>
      <c r="H4" s="311" t="s">
        <v>188</v>
      </c>
      <c r="I4" s="312">
        <v>0.2</v>
      </c>
      <c r="J4" s="19">
        <f t="shared" ref="J4:J13" si="0">+K4-L4</f>
        <v>270</v>
      </c>
      <c r="K4" s="19">
        <f t="shared" ref="K4:K7" si="1">+VLOOKUP(I4,$A$20:$F$27,A4+2,FALSE)</f>
        <v>337</v>
      </c>
      <c r="L4" s="19">
        <f t="shared" ref="L4:L7" si="2">HLOOKUP(A4,$B$32:$F$37,6,TRUE)</f>
        <v>67</v>
      </c>
      <c r="O4" s="20">
        <f t="shared" ref="O4:O7" si="3">+D4/$D$14</f>
        <v>0</v>
      </c>
    </row>
    <row r="5" spans="1:15" ht="18" customHeight="1" x14ac:dyDescent="0.25">
      <c r="A5" s="309">
        <v>1</v>
      </c>
      <c r="B5" s="309">
        <v>1</v>
      </c>
      <c r="C5" s="21">
        <v>900</v>
      </c>
      <c r="D5" s="311">
        <v>0</v>
      </c>
      <c r="E5" s="311" t="s">
        <v>187</v>
      </c>
      <c r="F5" s="311" t="s">
        <v>188</v>
      </c>
      <c r="G5" s="311" t="s">
        <v>188</v>
      </c>
      <c r="H5" s="311" t="s">
        <v>188</v>
      </c>
      <c r="I5" s="312">
        <v>0.3</v>
      </c>
      <c r="J5" s="19">
        <f t="shared" si="0"/>
        <v>431</v>
      </c>
      <c r="K5" s="19">
        <f t="shared" si="1"/>
        <v>498</v>
      </c>
      <c r="L5" s="19">
        <f t="shared" si="2"/>
        <v>67</v>
      </c>
      <c r="O5" s="20">
        <f t="shared" si="3"/>
        <v>0</v>
      </c>
    </row>
    <row r="6" spans="1:15" ht="18" customHeight="1" x14ac:dyDescent="0.25">
      <c r="A6" s="309">
        <v>1</v>
      </c>
      <c r="B6" s="309">
        <v>1</v>
      </c>
      <c r="C6" s="310">
        <v>900</v>
      </c>
      <c r="D6" s="311">
        <v>0</v>
      </c>
      <c r="E6" s="311" t="s">
        <v>187</v>
      </c>
      <c r="F6" s="311" t="s">
        <v>188</v>
      </c>
      <c r="G6" s="311" t="s">
        <v>188</v>
      </c>
      <c r="H6" s="311" t="s">
        <v>188</v>
      </c>
      <c r="I6" s="312">
        <v>0.4</v>
      </c>
      <c r="J6" s="19">
        <f t="shared" si="0"/>
        <v>607</v>
      </c>
      <c r="K6" s="19">
        <f t="shared" si="1"/>
        <v>674</v>
      </c>
      <c r="L6" s="19">
        <f t="shared" si="2"/>
        <v>67</v>
      </c>
      <c r="O6" s="20">
        <f t="shared" si="3"/>
        <v>0</v>
      </c>
    </row>
    <row r="7" spans="1:15" ht="18" customHeight="1" x14ac:dyDescent="0.25">
      <c r="A7" s="309">
        <v>1</v>
      </c>
      <c r="B7" s="309">
        <v>1</v>
      </c>
      <c r="C7" s="21">
        <v>900</v>
      </c>
      <c r="D7" s="311">
        <v>0</v>
      </c>
      <c r="E7" s="311" t="s">
        <v>187</v>
      </c>
      <c r="F7" s="311" t="s">
        <v>188</v>
      </c>
      <c r="G7" s="311" t="s">
        <v>188</v>
      </c>
      <c r="H7" s="311" t="s">
        <v>188</v>
      </c>
      <c r="I7" s="312">
        <v>0.5</v>
      </c>
      <c r="J7" s="19">
        <f t="shared" si="0"/>
        <v>764</v>
      </c>
      <c r="K7" s="19">
        <f t="shared" si="1"/>
        <v>831</v>
      </c>
      <c r="L7" s="19">
        <f t="shared" si="2"/>
        <v>67</v>
      </c>
      <c r="O7" s="20">
        <f t="shared" si="3"/>
        <v>0</v>
      </c>
    </row>
    <row r="8" spans="1:15" ht="18" customHeight="1" x14ac:dyDescent="0.25">
      <c r="A8" s="313">
        <v>1</v>
      </c>
      <c r="B8" s="313">
        <v>1</v>
      </c>
      <c r="C8" s="22">
        <v>900</v>
      </c>
      <c r="D8" s="314">
        <v>110</v>
      </c>
      <c r="E8" s="314" t="s">
        <v>187</v>
      </c>
      <c r="F8" s="314" t="s">
        <v>188</v>
      </c>
      <c r="G8" s="314" t="s">
        <v>188</v>
      </c>
      <c r="H8" s="314" t="s">
        <v>188</v>
      </c>
      <c r="I8" s="315">
        <v>0.6</v>
      </c>
      <c r="J8" s="23">
        <f t="shared" si="0"/>
        <v>930</v>
      </c>
      <c r="K8" s="23">
        <f t="shared" ref="K8:K13" si="4">+VLOOKUP(I8,$A$20:$F$27,A8+2,FALSE)</f>
        <v>997</v>
      </c>
      <c r="L8" s="23">
        <f t="shared" ref="L8:L13" si="5">HLOOKUP(A8,$B$32:$F$37,6,TRUE)</f>
        <v>67</v>
      </c>
      <c r="O8" s="20">
        <f t="shared" ref="O8:O13" si="6">+D8/$D$14</f>
        <v>0.39285714285714285</v>
      </c>
    </row>
    <row r="9" spans="1:15" ht="18" customHeight="1" x14ac:dyDescent="0.25">
      <c r="A9" s="309">
        <v>2</v>
      </c>
      <c r="B9" s="309">
        <v>2</v>
      </c>
      <c r="C9" s="310">
        <v>1100</v>
      </c>
      <c r="D9" s="311">
        <v>0</v>
      </c>
      <c r="E9" s="311" t="s">
        <v>187</v>
      </c>
      <c r="F9" s="311" t="s">
        <v>188</v>
      </c>
      <c r="G9" s="311" t="s">
        <v>188</v>
      </c>
      <c r="H9" s="311" t="s">
        <v>188</v>
      </c>
      <c r="I9" s="312">
        <v>0.2</v>
      </c>
      <c r="J9" s="19">
        <f t="shared" si="0"/>
        <v>315</v>
      </c>
      <c r="K9" s="19">
        <f t="shared" si="4"/>
        <v>404</v>
      </c>
      <c r="L9" s="19">
        <f t="shared" si="5"/>
        <v>89</v>
      </c>
      <c r="O9" s="20">
        <f t="shared" si="6"/>
        <v>0</v>
      </c>
    </row>
    <row r="10" spans="1:15" ht="18" customHeight="1" x14ac:dyDescent="0.25">
      <c r="A10" s="309">
        <v>2</v>
      </c>
      <c r="B10" s="309">
        <v>2</v>
      </c>
      <c r="C10" s="21">
        <v>1100</v>
      </c>
      <c r="D10" s="311">
        <v>0</v>
      </c>
      <c r="E10" s="311" t="s">
        <v>187</v>
      </c>
      <c r="F10" s="311" t="s">
        <v>188</v>
      </c>
      <c r="G10" s="311" t="s">
        <v>188</v>
      </c>
      <c r="H10" s="311" t="s">
        <v>188</v>
      </c>
      <c r="I10" s="312">
        <v>0.3</v>
      </c>
      <c r="J10" s="19">
        <f t="shared" si="0"/>
        <v>509</v>
      </c>
      <c r="K10" s="19">
        <f t="shared" si="4"/>
        <v>598</v>
      </c>
      <c r="L10" s="19">
        <f t="shared" si="5"/>
        <v>89</v>
      </c>
      <c r="O10" s="20">
        <f t="shared" si="6"/>
        <v>0</v>
      </c>
    </row>
    <row r="11" spans="1:15" ht="18" customHeight="1" x14ac:dyDescent="0.25">
      <c r="A11" s="309">
        <v>2</v>
      </c>
      <c r="B11" s="309">
        <v>2</v>
      </c>
      <c r="C11" s="24">
        <v>1100</v>
      </c>
      <c r="D11" s="311">
        <v>0</v>
      </c>
      <c r="E11" s="311" t="s">
        <v>187</v>
      </c>
      <c r="F11" s="311" t="s">
        <v>188</v>
      </c>
      <c r="G11" s="311" t="s">
        <v>188</v>
      </c>
      <c r="H11" s="311" t="s">
        <v>188</v>
      </c>
      <c r="I11" s="316">
        <v>0.4</v>
      </c>
      <c r="J11" s="19">
        <f t="shared" si="0"/>
        <v>720</v>
      </c>
      <c r="K11" s="19">
        <f t="shared" si="4"/>
        <v>809</v>
      </c>
      <c r="L11" s="19">
        <f t="shared" si="5"/>
        <v>89</v>
      </c>
      <c r="O11" s="20">
        <f t="shared" si="6"/>
        <v>0</v>
      </c>
    </row>
    <row r="12" spans="1:15" ht="18" customHeight="1" x14ac:dyDescent="0.25">
      <c r="A12" s="309">
        <v>2</v>
      </c>
      <c r="B12" s="309">
        <v>2</v>
      </c>
      <c r="C12" s="24">
        <v>1100</v>
      </c>
      <c r="D12" s="311">
        <v>0</v>
      </c>
      <c r="E12" s="311" t="s">
        <v>187</v>
      </c>
      <c r="F12" s="311" t="s">
        <v>188</v>
      </c>
      <c r="G12" s="311" t="s">
        <v>188</v>
      </c>
      <c r="H12" s="311" t="s">
        <v>188</v>
      </c>
      <c r="I12" s="316">
        <v>0.5</v>
      </c>
      <c r="J12" s="19">
        <f t="shared" si="0"/>
        <v>908</v>
      </c>
      <c r="K12" s="19">
        <f t="shared" si="4"/>
        <v>997</v>
      </c>
      <c r="L12" s="19">
        <f t="shared" si="5"/>
        <v>89</v>
      </c>
      <c r="O12" s="20">
        <f t="shared" si="6"/>
        <v>0</v>
      </c>
    </row>
    <row r="13" spans="1:15" ht="18" customHeight="1" x14ac:dyDescent="0.25">
      <c r="A13" s="313">
        <v>2</v>
      </c>
      <c r="B13" s="313">
        <v>2</v>
      </c>
      <c r="C13" s="25">
        <v>1100</v>
      </c>
      <c r="D13" s="314">
        <v>170</v>
      </c>
      <c r="E13" s="314" t="s">
        <v>187</v>
      </c>
      <c r="F13" s="314" t="s">
        <v>188</v>
      </c>
      <c r="G13" s="314" t="s">
        <v>188</v>
      </c>
      <c r="H13" s="314" t="s">
        <v>188</v>
      </c>
      <c r="I13" s="317">
        <v>0.6</v>
      </c>
      <c r="J13" s="23">
        <f t="shared" si="0"/>
        <v>1108</v>
      </c>
      <c r="K13" s="23">
        <f t="shared" si="4"/>
        <v>1197</v>
      </c>
      <c r="L13" s="23">
        <f t="shared" si="5"/>
        <v>89</v>
      </c>
      <c r="O13" s="20">
        <f t="shared" si="6"/>
        <v>0.6071428571428571</v>
      </c>
    </row>
    <row r="14" spans="1:15" s="3" customFormat="1" ht="18" customHeight="1" x14ac:dyDescent="0.25">
      <c r="A14" s="26" t="s">
        <v>85</v>
      </c>
      <c r="B14" s="26"/>
      <c r="C14" s="27">
        <f>+SUMPRODUCT(C4:C13,D4:D13)</f>
        <v>286000</v>
      </c>
      <c r="D14" s="28">
        <f>+SUM(D4:D13)</f>
        <v>280</v>
      </c>
      <c r="E14" s="28"/>
      <c r="F14" s="28"/>
      <c r="G14" s="28"/>
      <c r="H14" s="28"/>
      <c r="I14" s="29">
        <f>+SUMPRODUCT(I4:I13,O4:O13)</f>
        <v>0.6</v>
      </c>
      <c r="J14" s="30">
        <f>+SUMPRODUCT(D4:D13,J4:J13)</f>
        <v>290660</v>
      </c>
      <c r="K14" s="30">
        <f>+SUMPRODUCT(D4:D13,K4:K13)</f>
        <v>313160</v>
      </c>
      <c r="L14" s="30">
        <f>+SUMPRODUCT(D4:D13,L4:L13)</f>
        <v>22500</v>
      </c>
    </row>
    <row r="15" spans="1:15" ht="18" customHeight="1" x14ac:dyDescent="0.25"/>
    <row r="16" spans="1:15" ht="18" customHeight="1" x14ac:dyDescent="0.3">
      <c r="A16" s="13" t="s">
        <v>383</v>
      </c>
    </row>
    <row r="17" spans="1:6" ht="18" customHeight="1" x14ac:dyDescent="0.25">
      <c r="A17" s="31" t="s">
        <v>384</v>
      </c>
    </row>
    <row r="18" spans="1:6" ht="18" customHeight="1" x14ac:dyDescent="0.3">
      <c r="A18" s="13"/>
    </row>
    <row r="19" spans="1:6" ht="18" customHeight="1" x14ac:dyDescent="0.25">
      <c r="A19" s="3"/>
      <c r="B19" s="32">
        <v>0</v>
      </c>
      <c r="C19" s="32">
        <v>1</v>
      </c>
      <c r="D19" s="32">
        <v>2</v>
      </c>
      <c r="E19" s="32">
        <v>3</v>
      </c>
      <c r="F19" s="32">
        <v>4</v>
      </c>
    </row>
    <row r="20" spans="1:6" ht="18" customHeight="1" x14ac:dyDescent="0.25">
      <c r="A20" s="33">
        <v>1.2</v>
      </c>
      <c r="B20" s="318">
        <v>1887</v>
      </c>
      <c r="C20" s="318">
        <v>2022</v>
      </c>
      <c r="D20" s="318">
        <v>2427</v>
      </c>
      <c r="E20" s="318">
        <v>2802</v>
      </c>
      <c r="F20" s="318">
        <v>3126</v>
      </c>
    </row>
    <row r="21" spans="1:6" ht="18" customHeight="1" x14ac:dyDescent="0.25">
      <c r="A21" s="33">
        <v>0.2</v>
      </c>
      <c r="B21" s="318">
        <v>314</v>
      </c>
      <c r="C21" s="318">
        <v>337</v>
      </c>
      <c r="D21" s="318">
        <v>404</v>
      </c>
      <c r="E21" s="318">
        <v>467</v>
      </c>
      <c r="F21" s="318">
        <v>521</v>
      </c>
    </row>
    <row r="22" spans="1:6" ht="18" customHeight="1" x14ac:dyDescent="0.25">
      <c r="A22" s="33">
        <v>0.3</v>
      </c>
      <c r="B22" s="318">
        <v>471</v>
      </c>
      <c r="C22" s="318">
        <v>498</v>
      </c>
      <c r="D22" s="318">
        <v>598</v>
      </c>
      <c r="E22" s="318">
        <v>691</v>
      </c>
      <c r="F22" s="318">
        <v>781</v>
      </c>
    </row>
    <row r="23" spans="1:6" ht="18" customHeight="1" x14ac:dyDescent="0.25">
      <c r="A23" s="33">
        <v>0.4</v>
      </c>
      <c r="B23" s="318">
        <v>629</v>
      </c>
      <c r="C23" s="318">
        <v>674</v>
      </c>
      <c r="D23" s="318">
        <v>809</v>
      </c>
      <c r="E23" s="318">
        <v>934</v>
      </c>
      <c r="F23" s="318">
        <v>1042</v>
      </c>
    </row>
    <row r="24" spans="1:6" ht="18" customHeight="1" x14ac:dyDescent="0.25">
      <c r="A24" s="33">
        <v>0.5</v>
      </c>
      <c r="B24" s="318">
        <v>786</v>
      </c>
      <c r="C24" s="318">
        <v>831</v>
      </c>
      <c r="D24" s="318">
        <v>997</v>
      </c>
      <c r="E24" s="318">
        <v>1151</v>
      </c>
      <c r="F24" s="318">
        <v>1302</v>
      </c>
    </row>
    <row r="25" spans="1:6" ht="18" customHeight="1" x14ac:dyDescent="0.25">
      <c r="A25" s="33">
        <v>0.6</v>
      </c>
      <c r="B25" s="318">
        <v>943</v>
      </c>
      <c r="C25" s="318">
        <v>997</v>
      </c>
      <c r="D25" s="318">
        <v>1197</v>
      </c>
      <c r="E25" s="318">
        <v>1382</v>
      </c>
      <c r="F25" s="318">
        <v>1563</v>
      </c>
    </row>
    <row r="26" spans="1:6" ht="18" customHeight="1" x14ac:dyDescent="0.25">
      <c r="A26" s="33">
        <v>0.7</v>
      </c>
      <c r="B26" s="318">
        <v>1100</v>
      </c>
      <c r="C26" s="318">
        <v>1163</v>
      </c>
      <c r="D26" s="318">
        <v>1396</v>
      </c>
      <c r="E26" s="318">
        <v>1612</v>
      </c>
      <c r="F26" s="318">
        <v>1823</v>
      </c>
    </row>
    <row r="27" spans="1:6" ht="18" customHeight="1" x14ac:dyDescent="0.25">
      <c r="A27" s="33">
        <v>0.8</v>
      </c>
      <c r="B27" s="318">
        <v>1258</v>
      </c>
      <c r="C27" s="318">
        <v>1348</v>
      </c>
      <c r="D27" s="318">
        <v>1618</v>
      </c>
      <c r="E27" s="318">
        <v>1868</v>
      </c>
      <c r="F27" s="318">
        <v>2084</v>
      </c>
    </row>
    <row r="28" spans="1:6" ht="18" customHeight="1" x14ac:dyDescent="0.25"/>
    <row r="29" spans="1:6" ht="18" customHeight="1" x14ac:dyDescent="0.3">
      <c r="A29" s="13" t="s">
        <v>385</v>
      </c>
    </row>
    <row r="30" spans="1:6" ht="18" customHeight="1" x14ac:dyDescent="0.25">
      <c r="A30" s="31" t="s">
        <v>386</v>
      </c>
    </row>
    <row r="31" spans="1:6" ht="18" customHeight="1" x14ac:dyDescent="0.3">
      <c r="A31" s="13"/>
    </row>
    <row r="32" spans="1:6" ht="18" customHeight="1" x14ac:dyDescent="0.25">
      <c r="A32" s="3"/>
      <c r="B32" s="34">
        <v>0</v>
      </c>
      <c r="C32" s="34">
        <v>1</v>
      </c>
      <c r="D32" s="34">
        <v>2</v>
      </c>
      <c r="E32" s="34">
        <v>3</v>
      </c>
      <c r="F32" s="34">
        <v>4</v>
      </c>
    </row>
    <row r="33" spans="1:6" ht="18" customHeight="1" x14ac:dyDescent="0.25">
      <c r="A33" s="35" t="s">
        <v>190</v>
      </c>
      <c r="B33" s="318">
        <f>8+5+18+15+11</f>
        <v>57</v>
      </c>
      <c r="C33" s="318">
        <f>9+6+21+18+13</f>
        <v>67</v>
      </c>
      <c r="D33" s="318">
        <f>11+8+30+24+16</f>
        <v>89</v>
      </c>
      <c r="E33" s="318">
        <f>12+11+38+31+19</f>
        <v>111</v>
      </c>
      <c r="F33" s="318">
        <f>14+13+46+38+23</f>
        <v>134</v>
      </c>
    </row>
    <row r="34" spans="1:6" ht="18" customHeight="1" x14ac:dyDescent="0.25">
      <c r="A34" s="35" t="s">
        <v>191</v>
      </c>
      <c r="B34" s="318">
        <v>0</v>
      </c>
      <c r="C34" s="318">
        <v>0</v>
      </c>
      <c r="D34" s="318">
        <v>0</v>
      </c>
      <c r="E34" s="318">
        <v>0</v>
      </c>
      <c r="F34" s="318">
        <v>0</v>
      </c>
    </row>
    <row r="35" spans="1:6" ht="18" customHeight="1" x14ac:dyDescent="0.25">
      <c r="A35" s="35" t="s">
        <v>192</v>
      </c>
      <c r="B35" s="318">
        <v>0</v>
      </c>
      <c r="C35" s="318">
        <v>0</v>
      </c>
      <c r="D35" s="318">
        <v>0</v>
      </c>
      <c r="E35" s="318">
        <v>0</v>
      </c>
      <c r="F35" s="318">
        <v>0</v>
      </c>
    </row>
    <row r="36" spans="1:6" ht="18" customHeight="1" x14ac:dyDescent="0.25">
      <c r="A36" s="35" t="s">
        <v>193</v>
      </c>
      <c r="B36" s="318">
        <v>0</v>
      </c>
      <c r="C36" s="318">
        <v>0</v>
      </c>
      <c r="D36" s="318">
        <v>0</v>
      </c>
      <c r="E36" s="318">
        <v>0</v>
      </c>
      <c r="F36" s="318">
        <v>0</v>
      </c>
    </row>
    <row r="37" spans="1:6" ht="18" customHeight="1" x14ac:dyDescent="0.25">
      <c r="A37" s="33" t="s">
        <v>29</v>
      </c>
      <c r="B37" s="36">
        <f>+SUM(B33:B36)</f>
        <v>57</v>
      </c>
      <c r="C37" s="36">
        <f t="shared" ref="C37:F37" si="7">+SUM(C33:C36)</f>
        <v>67</v>
      </c>
      <c r="D37" s="36">
        <f t="shared" si="7"/>
        <v>89</v>
      </c>
      <c r="E37" s="36">
        <f t="shared" si="7"/>
        <v>111</v>
      </c>
      <c r="F37" s="36">
        <f t="shared" si="7"/>
        <v>134</v>
      </c>
    </row>
    <row r="40" spans="1:6" x14ac:dyDescent="0.25">
      <c r="A40" s="37" t="s">
        <v>195</v>
      </c>
    </row>
    <row r="42" spans="1:6" x14ac:dyDescent="0.25">
      <c r="A42" t="s">
        <v>196</v>
      </c>
    </row>
    <row r="43" spans="1:6" x14ac:dyDescent="0.25">
      <c r="A43" t="s">
        <v>197</v>
      </c>
    </row>
    <row r="44" spans="1:6" x14ac:dyDescent="0.25">
      <c r="A44" t="s">
        <v>198</v>
      </c>
    </row>
    <row r="45" spans="1:6" x14ac:dyDescent="0.25">
      <c r="A45" t="s">
        <v>199</v>
      </c>
    </row>
    <row r="46" spans="1:6" x14ac:dyDescent="0.25">
      <c r="A46" t="s">
        <v>200</v>
      </c>
    </row>
    <row r="47" spans="1:6" x14ac:dyDescent="0.25">
      <c r="A47" t="s">
        <v>201</v>
      </c>
    </row>
    <row r="48" spans="1:6" x14ac:dyDescent="0.25">
      <c r="A48" t="s">
        <v>202</v>
      </c>
    </row>
    <row r="49" spans="1:1" x14ac:dyDescent="0.25">
      <c r="A49" t="s">
        <v>203</v>
      </c>
    </row>
    <row r="50" spans="1:1" x14ac:dyDescent="0.25">
      <c r="A50" t="s">
        <v>204</v>
      </c>
    </row>
    <row r="51" spans="1:1" x14ac:dyDescent="0.25">
      <c r="A51" t="s">
        <v>205</v>
      </c>
    </row>
    <row r="52" spans="1:1" x14ac:dyDescent="0.25">
      <c r="A52" t="s">
        <v>206</v>
      </c>
    </row>
    <row r="53" spans="1:1" x14ac:dyDescent="0.25">
      <c r="A53" t="s">
        <v>207</v>
      </c>
    </row>
    <row r="54" spans="1:1" x14ac:dyDescent="0.25">
      <c r="A54" t="s">
        <v>208</v>
      </c>
    </row>
  </sheetData>
  <pageMargins left="0.7" right="0.7" top="0.75" bottom="0.75" header="0.3" footer="0.3"/>
  <pageSetup scale="76" fitToWidth="0" fitToHeight="0" orientation="landscape" r:id="rId1"/>
  <ignoredErrors>
    <ignoredError sqref="B37:F37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87B14-8B71-47CE-8638-AE480913669E}">
  <dimension ref="A1:I65"/>
  <sheetViews>
    <sheetView topLeftCell="A26" zoomScale="80" zoomScaleNormal="80" workbookViewId="0">
      <selection activeCell="E6" sqref="E6"/>
    </sheetView>
  </sheetViews>
  <sheetFormatPr defaultRowHeight="15" x14ac:dyDescent="0.25"/>
  <cols>
    <col min="1" max="1" width="1.42578125" customWidth="1"/>
    <col min="2" max="2" width="14.42578125" customWidth="1"/>
    <col min="3" max="7" width="13.5703125" customWidth="1"/>
    <col min="8" max="8" width="11.5703125" customWidth="1"/>
    <col min="15" max="15" width="9.140625" customWidth="1"/>
    <col min="17" max="17" width="9.140625" customWidth="1"/>
  </cols>
  <sheetData>
    <row r="1" spans="1:9" ht="22.5" customHeight="1" x14ac:dyDescent="0.25">
      <c r="A1" s="38" t="s">
        <v>240</v>
      </c>
    </row>
    <row r="2" spans="1:9" ht="12" customHeight="1" x14ac:dyDescent="0.25">
      <c r="A2" s="31"/>
      <c r="B2" s="31"/>
      <c r="C2" s="31"/>
    </row>
    <row r="4" spans="1:9" x14ac:dyDescent="0.25">
      <c r="A4" s="39" t="s">
        <v>217</v>
      </c>
      <c r="C4" s="40"/>
    </row>
    <row r="5" spans="1:9" x14ac:dyDescent="0.25">
      <c r="A5" s="41"/>
      <c r="C5" s="40"/>
      <c r="D5" s="42" t="s">
        <v>221</v>
      </c>
      <c r="E5" s="43" t="s">
        <v>222</v>
      </c>
      <c r="F5" s="43" t="s">
        <v>223</v>
      </c>
      <c r="G5" s="43" t="s">
        <v>212</v>
      </c>
    </row>
    <row r="6" spans="1:9" x14ac:dyDescent="0.25">
      <c r="A6" s="41"/>
      <c r="B6" t="s">
        <v>218</v>
      </c>
      <c r="C6" s="40"/>
      <c r="D6" s="319">
        <v>1</v>
      </c>
      <c r="E6" s="320">
        <v>24</v>
      </c>
      <c r="F6" s="44">
        <f>+D6*E6*2080</f>
        <v>49920</v>
      </c>
      <c r="G6" s="44">
        <f>+F6/'Unit Mix+Rents'!$D$14</f>
        <v>178.28571428571428</v>
      </c>
      <c r="I6" s="45"/>
    </row>
    <row r="7" spans="1:9" x14ac:dyDescent="0.25">
      <c r="A7" s="41"/>
      <c r="B7" t="s">
        <v>219</v>
      </c>
      <c r="C7" s="40"/>
      <c r="D7" s="319">
        <v>1</v>
      </c>
      <c r="E7" s="320">
        <v>18</v>
      </c>
      <c r="F7" s="44">
        <f>+D7*E7*2080</f>
        <v>37440</v>
      </c>
      <c r="G7" s="44">
        <f>+F7/'Unit Mix+Rents'!$D$14</f>
        <v>133.71428571428572</v>
      </c>
    </row>
    <row r="8" spans="1:9" x14ac:dyDescent="0.25">
      <c r="A8" s="41"/>
      <c r="B8" t="s">
        <v>220</v>
      </c>
      <c r="C8" s="40"/>
      <c r="D8" s="319">
        <v>2</v>
      </c>
      <c r="E8" s="320">
        <v>20</v>
      </c>
      <c r="F8" s="44">
        <f>+D8*E8*2080</f>
        <v>83200</v>
      </c>
      <c r="G8" s="44">
        <f>+F8/'Unit Mix+Rents'!$D$14</f>
        <v>297.14285714285717</v>
      </c>
    </row>
    <row r="9" spans="1:9" ht="4.5" customHeight="1" x14ac:dyDescent="0.25">
      <c r="A9" s="41"/>
      <c r="C9" s="40"/>
      <c r="D9" s="365"/>
      <c r="E9" s="321"/>
      <c r="F9" s="46"/>
      <c r="G9" s="46"/>
    </row>
    <row r="10" spans="1:9" x14ac:dyDescent="0.25">
      <c r="A10" s="41"/>
      <c r="B10" t="s">
        <v>247</v>
      </c>
      <c r="C10" s="40"/>
      <c r="D10" s="365"/>
      <c r="E10" s="322">
        <v>0.1</v>
      </c>
      <c r="F10" s="44">
        <f>+E10*SUM(F6:F8)</f>
        <v>17056</v>
      </c>
      <c r="G10" s="44">
        <f>+F10/'Unit Mix+Rents'!$D$14</f>
        <v>60.914285714285711</v>
      </c>
    </row>
    <row r="11" spans="1:9" x14ac:dyDescent="0.25">
      <c r="A11" s="41"/>
      <c r="B11" t="s">
        <v>246</v>
      </c>
      <c r="C11" s="40"/>
      <c r="D11" s="365"/>
      <c r="E11" s="322">
        <v>0</v>
      </c>
      <c r="F11" s="44">
        <f>+E11*SUM(F6:F8)</f>
        <v>0</v>
      </c>
      <c r="G11" s="44">
        <f>+F11/'Unit Mix+Rents'!$D$14</f>
        <v>0</v>
      </c>
    </row>
    <row r="12" spans="1:9" ht="4.5" customHeight="1" x14ac:dyDescent="0.25">
      <c r="A12" s="41"/>
      <c r="C12" s="40"/>
      <c r="D12" s="365"/>
      <c r="E12" s="321"/>
      <c r="F12" s="46"/>
      <c r="G12" s="46"/>
    </row>
    <row r="13" spans="1:9" x14ac:dyDescent="0.25">
      <c r="A13" s="47" t="s">
        <v>228</v>
      </c>
      <c r="C13" s="48"/>
      <c r="D13" s="49"/>
      <c r="E13" s="50"/>
      <c r="F13" s="51">
        <f>+SUM(F6:F12)</f>
        <v>187616</v>
      </c>
      <c r="G13" s="51">
        <f>+SUM(G6:G12)</f>
        <v>670.05714285714282</v>
      </c>
    </row>
    <row r="14" spans="1:9" x14ac:dyDescent="0.25">
      <c r="A14" s="41"/>
      <c r="C14" s="40"/>
      <c r="D14" s="52"/>
      <c r="E14" s="40"/>
      <c r="F14" s="40"/>
      <c r="G14" s="40"/>
    </row>
    <row r="15" spans="1:9" x14ac:dyDescent="0.25">
      <c r="A15" s="39" t="s">
        <v>213</v>
      </c>
      <c r="C15" s="40"/>
      <c r="D15" s="40"/>
      <c r="E15" s="40"/>
      <c r="F15" s="40"/>
      <c r="G15" s="40"/>
    </row>
    <row r="16" spans="1:9" x14ac:dyDescent="0.25">
      <c r="A16" s="41"/>
      <c r="C16" s="40"/>
      <c r="D16" s="42" t="s">
        <v>227</v>
      </c>
      <c r="E16" s="43" t="s">
        <v>224</v>
      </c>
      <c r="F16" s="43" t="s">
        <v>223</v>
      </c>
      <c r="G16" s="43" t="s">
        <v>212</v>
      </c>
    </row>
    <row r="17" spans="1:7" x14ac:dyDescent="0.25">
      <c r="A17" s="41"/>
      <c r="B17" t="s">
        <v>239</v>
      </c>
      <c r="C17" s="323">
        <v>0.4</v>
      </c>
      <c r="D17" s="324">
        <f>+('Unit Mix+Rents'!D14*C17/12)</f>
        <v>9.3333333333333339</v>
      </c>
      <c r="E17" s="325">
        <v>400</v>
      </c>
      <c r="F17" s="44">
        <f>+D17*E17*12</f>
        <v>44800</v>
      </c>
      <c r="G17" s="44">
        <f>+F17/'Unit Mix+Rents'!$D$14</f>
        <v>160</v>
      </c>
    </row>
    <row r="18" spans="1:7" x14ac:dyDescent="0.25">
      <c r="A18" s="41"/>
      <c r="C18" s="40"/>
      <c r="D18" s="53"/>
      <c r="E18" s="43" t="s">
        <v>226</v>
      </c>
      <c r="F18" s="43" t="s">
        <v>223</v>
      </c>
      <c r="G18" s="43" t="s">
        <v>212</v>
      </c>
    </row>
    <row r="19" spans="1:7" x14ac:dyDescent="0.25">
      <c r="A19" s="41"/>
      <c r="B19" t="s">
        <v>225</v>
      </c>
      <c r="C19" s="40"/>
      <c r="D19" s="365"/>
      <c r="E19" s="325">
        <v>50</v>
      </c>
      <c r="F19" s="44">
        <f>+E19*'Unit Mix+Rents'!D14*12</f>
        <v>168000</v>
      </c>
      <c r="G19" s="44">
        <f>+F19/'Unit Mix+Rents'!$D$14</f>
        <v>600</v>
      </c>
    </row>
    <row r="20" spans="1:7" x14ac:dyDescent="0.25">
      <c r="A20" s="47" t="s">
        <v>229</v>
      </c>
      <c r="C20" s="48"/>
      <c r="D20" s="49"/>
      <c r="E20" s="50"/>
      <c r="F20" s="51">
        <f>+F17+F19</f>
        <v>212800</v>
      </c>
      <c r="G20" s="54">
        <f>+G17+G19</f>
        <v>760</v>
      </c>
    </row>
    <row r="21" spans="1:7" x14ac:dyDescent="0.25">
      <c r="A21" s="41"/>
      <c r="B21" s="47"/>
      <c r="C21" s="48"/>
      <c r="D21" s="49"/>
      <c r="E21" s="50"/>
      <c r="F21" s="55"/>
      <c r="G21" s="55"/>
    </row>
    <row r="22" spans="1:7" x14ac:dyDescent="0.25">
      <c r="A22" s="39" t="s">
        <v>51</v>
      </c>
      <c r="C22" s="40"/>
      <c r="D22" s="40"/>
      <c r="E22" s="40"/>
      <c r="F22" s="40"/>
      <c r="G22" s="40"/>
    </row>
    <row r="23" spans="1:7" x14ac:dyDescent="0.25">
      <c r="A23" s="41"/>
      <c r="C23" s="40"/>
      <c r="D23" s="53"/>
      <c r="E23" s="43" t="s">
        <v>226</v>
      </c>
      <c r="F23" s="43" t="s">
        <v>223</v>
      </c>
      <c r="G23" s="43" t="s">
        <v>212</v>
      </c>
    </row>
    <row r="24" spans="1:7" x14ac:dyDescent="0.25">
      <c r="A24" s="41"/>
      <c r="B24" s="56" t="s">
        <v>231</v>
      </c>
      <c r="C24" s="40"/>
      <c r="D24" s="365"/>
      <c r="E24" s="321"/>
      <c r="F24" s="46"/>
      <c r="G24" s="46"/>
    </row>
    <row r="25" spans="1:7" x14ac:dyDescent="0.25">
      <c r="A25" s="41"/>
      <c r="B25" s="57" t="s">
        <v>191</v>
      </c>
      <c r="C25" s="40"/>
      <c r="D25" s="365"/>
      <c r="E25" s="325">
        <v>20</v>
      </c>
      <c r="F25" s="44">
        <f>+E25*'Unit Mix+Rents'!$D$14*12</f>
        <v>67200</v>
      </c>
      <c r="G25" s="44">
        <f>+F25/'Unit Mix+Rents'!$D$14</f>
        <v>240</v>
      </c>
    </row>
    <row r="26" spans="1:7" x14ac:dyDescent="0.25">
      <c r="A26" s="41"/>
      <c r="B26" s="57" t="s">
        <v>192</v>
      </c>
      <c r="C26" s="326">
        <v>2</v>
      </c>
      <c r="D26" s="365"/>
      <c r="E26" s="44">
        <f>+E25*C26</f>
        <v>40</v>
      </c>
      <c r="F26" s="44">
        <f>+E26*'Unit Mix+Rents'!$D$14*12</f>
        <v>134400</v>
      </c>
      <c r="G26" s="44">
        <f>+F26/'Unit Mix+Rents'!$D$14</f>
        <v>480</v>
      </c>
    </row>
    <row r="27" spans="1:7" x14ac:dyDescent="0.25">
      <c r="A27" s="41"/>
      <c r="B27" s="57" t="s">
        <v>245</v>
      </c>
      <c r="C27" s="40"/>
      <c r="D27" s="365"/>
      <c r="E27" s="325">
        <v>0</v>
      </c>
      <c r="F27" s="44">
        <f>+E27*'Unit Mix+Rents'!$D$14*12</f>
        <v>0</v>
      </c>
      <c r="G27" s="44">
        <f>+F27/'Unit Mix+Rents'!$D$14</f>
        <v>0</v>
      </c>
    </row>
    <row r="28" spans="1:7" x14ac:dyDescent="0.25">
      <c r="A28" s="41"/>
      <c r="B28" s="57" t="s">
        <v>189</v>
      </c>
      <c r="C28" s="40"/>
      <c r="D28" s="365"/>
      <c r="E28" s="325">
        <v>0</v>
      </c>
      <c r="F28" s="44">
        <f>+E28*'Unit Mix+Rents'!$D$14*12</f>
        <v>0</v>
      </c>
      <c r="G28" s="44">
        <f>+F28/'Unit Mix+Rents'!$D$14</f>
        <v>0</v>
      </c>
    </row>
    <row r="29" spans="1:7" x14ac:dyDescent="0.25">
      <c r="A29" s="41"/>
      <c r="B29" s="56" t="s">
        <v>232</v>
      </c>
      <c r="C29" s="40"/>
      <c r="D29" s="365"/>
      <c r="E29" s="327"/>
      <c r="F29" s="46"/>
      <c r="G29" s="46"/>
    </row>
    <row r="30" spans="1:7" x14ac:dyDescent="0.25">
      <c r="A30" s="41"/>
      <c r="B30" s="57" t="s">
        <v>191</v>
      </c>
      <c r="C30" s="40"/>
      <c r="D30" s="365"/>
      <c r="E30" s="325">
        <v>20</v>
      </c>
      <c r="F30" s="44">
        <f>+E30*12</f>
        <v>240</v>
      </c>
      <c r="G30" s="44">
        <f>+F30/'Unit Mix+Rents'!$D$14</f>
        <v>0.8571428571428571</v>
      </c>
    </row>
    <row r="31" spans="1:7" x14ac:dyDescent="0.25">
      <c r="A31" s="41"/>
      <c r="B31" s="57" t="s">
        <v>192</v>
      </c>
      <c r="C31" s="40"/>
      <c r="D31" s="365"/>
      <c r="E31" s="44">
        <f>+E30*C26</f>
        <v>40</v>
      </c>
      <c r="F31" s="44">
        <f>+E31*12</f>
        <v>480</v>
      </c>
      <c r="G31" s="44">
        <f>+F31/'Unit Mix+Rents'!$D$14</f>
        <v>1.7142857142857142</v>
      </c>
    </row>
    <row r="32" spans="1:7" x14ac:dyDescent="0.25">
      <c r="A32" s="41"/>
      <c r="B32" s="57" t="s">
        <v>245</v>
      </c>
      <c r="C32" s="40"/>
      <c r="D32" s="365"/>
      <c r="E32" s="325">
        <v>0</v>
      </c>
      <c r="F32" s="44">
        <f>+E32*12</f>
        <v>0</v>
      </c>
      <c r="G32" s="44">
        <f>+F32/'Unit Mix+Rents'!$D$14</f>
        <v>0</v>
      </c>
    </row>
    <row r="33" spans="1:7" x14ac:dyDescent="0.25">
      <c r="A33" s="41"/>
      <c r="B33" s="57" t="s">
        <v>189</v>
      </c>
      <c r="C33" s="40"/>
      <c r="D33" s="365"/>
      <c r="E33" s="325">
        <v>300</v>
      </c>
      <c r="F33" s="44">
        <f>+E33*12</f>
        <v>3600</v>
      </c>
      <c r="G33" s="44">
        <f>+F33/'Unit Mix+Rents'!$D$14</f>
        <v>12.857142857142858</v>
      </c>
    </row>
    <row r="34" spans="1:7" x14ac:dyDescent="0.25">
      <c r="A34" s="41"/>
      <c r="B34" s="56" t="s">
        <v>233</v>
      </c>
      <c r="C34" s="40"/>
      <c r="D34" s="365"/>
      <c r="E34" s="327"/>
      <c r="F34" s="46"/>
      <c r="G34" s="46"/>
    </row>
    <row r="35" spans="1:7" x14ac:dyDescent="0.25">
      <c r="A35" s="41"/>
      <c r="B35" s="57" t="s">
        <v>191</v>
      </c>
      <c r="C35" s="40"/>
      <c r="D35" s="365"/>
      <c r="E35" s="325">
        <v>50</v>
      </c>
      <c r="F35" s="44">
        <f t="shared" ref="F35:F38" si="0">+E35*12</f>
        <v>600</v>
      </c>
      <c r="G35" s="44">
        <f>+F35/'Unit Mix+Rents'!$D$14</f>
        <v>2.1428571428571428</v>
      </c>
    </row>
    <row r="36" spans="1:7" x14ac:dyDescent="0.25">
      <c r="A36" s="41"/>
      <c r="B36" s="57" t="s">
        <v>192</v>
      </c>
      <c r="C36" s="40"/>
      <c r="D36" s="365"/>
      <c r="E36" s="44">
        <f>+E35*C26</f>
        <v>100</v>
      </c>
      <c r="F36" s="44">
        <f>+E36*12</f>
        <v>1200</v>
      </c>
      <c r="G36" s="44">
        <f>+F36/'Unit Mix+Rents'!$D$14</f>
        <v>4.2857142857142856</v>
      </c>
    </row>
    <row r="37" spans="1:7" x14ac:dyDescent="0.25">
      <c r="A37" s="41"/>
      <c r="B37" s="57" t="s">
        <v>245</v>
      </c>
      <c r="C37" s="40"/>
      <c r="D37" s="365"/>
      <c r="E37" s="325">
        <v>0</v>
      </c>
      <c r="F37" s="44">
        <f>+E37*12</f>
        <v>0</v>
      </c>
      <c r="G37" s="44">
        <f>+F37/'Unit Mix+Rents'!$D$14</f>
        <v>0</v>
      </c>
    </row>
    <row r="38" spans="1:7" x14ac:dyDescent="0.25">
      <c r="A38" s="41"/>
      <c r="B38" s="57" t="s">
        <v>189</v>
      </c>
      <c r="C38" s="40"/>
      <c r="D38" s="365"/>
      <c r="E38" s="325">
        <v>200</v>
      </c>
      <c r="F38" s="44">
        <f t="shared" si="0"/>
        <v>2400</v>
      </c>
      <c r="G38" s="44">
        <f>+F38/'Unit Mix+Rents'!$D$14</f>
        <v>8.5714285714285712</v>
      </c>
    </row>
    <row r="39" spans="1:7" x14ac:dyDescent="0.25">
      <c r="A39" s="47" t="s">
        <v>230</v>
      </c>
      <c r="C39" s="48"/>
      <c r="D39" s="58"/>
      <c r="E39" s="51">
        <f>+F39/12/'Unit Mix+Rents'!D14</f>
        <v>62.535714285714285</v>
      </c>
      <c r="F39" s="51">
        <f>+SUM(F25:F38)</f>
        <v>210120</v>
      </c>
      <c r="G39" s="51">
        <f>+SUM(G25:G38)</f>
        <v>750.42857142857144</v>
      </c>
    </row>
    <row r="40" spans="1:7" x14ac:dyDescent="0.25">
      <c r="A40" s="41"/>
      <c r="C40" s="40"/>
      <c r="D40" s="40"/>
      <c r="E40" s="40"/>
      <c r="F40" s="40"/>
      <c r="G40" s="40"/>
    </row>
    <row r="41" spans="1:7" x14ac:dyDescent="0.25">
      <c r="A41" s="39" t="s">
        <v>50</v>
      </c>
      <c r="C41" s="40"/>
      <c r="D41" s="40"/>
      <c r="E41" s="40"/>
      <c r="F41" s="40"/>
      <c r="G41" s="40"/>
    </row>
    <row r="42" spans="1:7" x14ac:dyDescent="0.25">
      <c r="A42" s="41"/>
      <c r="C42" s="40"/>
      <c r="D42" s="40"/>
      <c r="E42" s="43" t="s">
        <v>234</v>
      </c>
      <c r="F42" s="43" t="s">
        <v>223</v>
      </c>
      <c r="G42" s="43" t="s">
        <v>212</v>
      </c>
    </row>
    <row r="43" spans="1:7" x14ac:dyDescent="0.25">
      <c r="A43" s="41"/>
      <c r="B43" t="s">
        <v>235</v>
      </c>
      <c r="C43" s="40"/>
      <c r="D43" s="40"/>
      <c r="E43" s="325">
        <v>1500</v>
      </c>
      <c r="F43" s="44">
        <f t="shared" ref="F43:F49" si="1">+E43*12</f>
        <v>18000</v>
      </c>
      <c r="G43" s="44">
        <f>+F43/'Unit Mix+Rents'!$D$14</f>
        <v>64.285714285714292</v>
      </c>
    </row>
    <row r="44" spans="1:7" x14ac:dyDescent="0.25">
      <c r="A44" s="41"/>
      <c r="B44" t="s">
        <v>241</v>
      </c>
      <c r="C44" s="40"/>
      <c r="D44" s="40"/>
      <c r="E44" s="325">
        <v>0</v>
      </c>
      <c r="F44" s="44">
        <f t="shared" si="1"/>
        <v>0</v>
      </c>
      <c r="G44" s="44">
        <f>+F44/'Unit Mix+Rents'!$D$14</f>
        <v>0</v>
      </c>
    </row>
    <row r="45" spans="1:7" x14ac:dyDescent="0.25">
      <c r="A45" s="41"/>
      <c r="B45" t="s">
        <v>236</v>
      </c>
      <c r="C45" s="40"/>
      <c r="D45" s="40"/>
      <c r="E45" s="325">
        <v>500</v>
      </c>
      <c r="F45" s="44">
        <f t="shared" si="1"/>
        <v>6000</v>
      </c>
      <c r="G45" s="44">
        <f>+F45/'Unit Mix+Rents'!$D$14</f>
        <v>21.428571428571427</v>
      </c>
    </row>
    <row r="46" spans="1:7" x14ac:dyDescent="0.25">
      <c r="A46" s="41"/>
      <c r="B46" t="s">
        <v>242</v>
      </c>
      <c r="C46" s="40"/>
      <c r="D46" s="40"/>
      <c r="E46" s="325">
        <v>500</v>
      </c>
      <c r="F46" s="44">
        <f t="shared" si="1"/>
        <v>6000</v>
      </c>
      <c r="G46" s="44">
        <f>+F46/'Unit Mix+Rents'!$D$14</f>
        <v>21.428571428571427</v>
      </c>
    </row>
    <row r="47" spans="1:7" x14ac:dyDescent="0.25">
      <c r="A47" s="41"/>
      <c r="B47" t="s">
        <v>243</v>
      </c>
      <c r="C47" s="40"/>
      <c r="D47" s="40"/>
      <c r="E47" s="325">
        <v>500</v>
      </c>
      <c r="F47" s="44">
        <f t="shared" si="1"/>
        <v>6000</v>
      </c>
      <c r="G47" s="44">
        <f>+F47/'Unit Mix+Rents'!$D$14</f>
        <v>21.428571428571427</v>
      </c>
    </row>
    <row r="48" spans="1:7" x14ac:dyDescent="0.25">
      <c r="A48" s="41"/>
      <c r="B48" t="s">
        <v>244</v>
      </c>
      <c r="C48" s="40"/>
      <c r="D48" s="40"/>
      <c r="E48" s="325">
        <v>1500</v>
      </c>
      <c r="F48" s="44">
        <f t="shared" si="1"/>
        <v>18000</v>
      </c>
      <c r="G48" s="44">
        <f>+F48/'Unit Mix+Rents'!$D$14</f>
        <v>64.285714285714292</v>
      </c>
    </row>
    <row r="49" spans="1:8" x14ac:dyDescent="0.25">
      <c r="A49" s="41"/>
      <c r="B49" t="s">
        <v>237</v>
      </c>
      <c r="C49" s="40"/>
      <c r="D49" s="40"/>
      <c r="E49" s="325">
        <v>500</v>
      </c>
      <c r="F49" s="44">
        <f t="shared" si="1"/>
        <v>6000</v>
      </c>
      <c r="G49" s="44">
        <f>+F49/'Unit Mix+Rents'!$D$14</f>
        <v>21.428571428571427</v>
      </c>
    </row>
    <row r="50" spans="1:8" x14ac:dyDescent="0.25">
      <c r="A50" s="39" t="s">
        <v>238</v>
      </c>
      <c r="C50" s="40"/>
      <c r="D50" s="40"/>
      <c r="E50" s="51">
        <f>F50/12</f>
        <v>5000</v>
      </c>
      <c r="F50" s="51">
        <f>+SUM(F43:F49)</f>
        <v>60000</v>
      </c>
      <c r="G50" s="51">
        <f>+SUM(G43:G49)</f>
        <v>214.28571428571431</v>
      </c>
    </row>
    <row r="51" spans="1:8" x14ac:dyDescent="0.25">
      <c r="A51" s="41"/>
      <c r="C51" s="40"/>
      <c r="D51" s="40"/>
      <c r="E51" s="40"/>
      <c r="F51" s="40"/>
      <c r="G51" s="40"/>
    </row>
    <row r="52" spans="1:8" x14ac:dyDescent="0.25">
      <c r="A52" s="39" t="s">
        <v>179</v>
      </c>
      <c r="C52" s="40"/>
      <c r="D52" s="40"/>
      <c r="E52" s="40"/>
      <c r="F52" s="40"/>
      <c r="G52" s="43" t="s">
        <v>212</v>
      </c>
    </row>
    <row r="53" spans="1:8" x14ac:dyDescent="0.25">
      <c r="A53" s="41"/>
      <c r="B53" t="s">
        <v>44</v>
      </c>
      <c r="C53" s="40"/>
      <c r="D53" s="40"/>
      <c r="E53" s="40"/>
      <c r="F53" s="44">
        <f>+'NOI Calc'!J29</f>
        <v>1979252.1240000001</v>
      </c>
      <c r="G53" s="44">
        <f>+F53/'Unit Mix+Rents'!$D$14</f>
        <v>7068.7575857142856</v>
      </c>
    </row>
    <row r="54" spans="1:8" x14ac:dyDescent="0.25">
      <c r="A54" s="41"/>
      <c r="B54" t="s">
        <v>249</v>
      </c>
      <c r="C54" s="40"/>
      <c r="D54" s="40"/>
      <c r="E54" s="40"/>
      <c r="F54" s="328">
        <v>0.08</v>
      </c>
      <c r="G54" s="44"/>
    </row>
    <row r="55" spans="1:8" x14ac:dyDescent="0.25">
      <c r="A55" s="41"/>
      <c r="B55" t="s">
        <v>250</v>
      </c>
      <c r="C55" s="40"/>
      <c r="D55" s="40"/>
      <c r="E55" s="40"/>
      <c r="F55" s="44">
        <f>+F53/F54</f>
        <v>24740651.550000001</v>
      </c>
      <c r="G55" s="44">
        <f>+F55/'Unit Mix+Rents'!$D$14</f>
        <v>88359.469821428575</v>
      </c>
    </row>
    <row r="56" spans="1:8" x14ac:dyDescent="0.25">
      <c r="A56" s="41"/>
      <c r="B56" t="s">
        <v>253</v>
      </c>
      <c r="C56" s="40"/>
      <c r="D56" s="40"/>
      <c r="E56" s="40"/>
      <c r="F56" s="329">
        <v>1.7000000000000001E-2</v>
      </c>
      <c r="G56" s="44"/>
    </row>
    <row r="57" spans="1:8" x14ac:dyDescent="0.25">
      <c r="A57" s="41"/>
      <c r="B57" t="s">
        <v>779</v>
      </c>
      <c r="C57" s="40"/>
      <c r="D57" s="40"/>
      <c r="E57" s="40"/>
      <c r="F57" s="44">
        <f>+F55*F56</f>
        <v>420591.07635000005</v>
      </c>
      <c r="G57" s="44"/>
    </row>
    <row r="58" spans="1:8" x14ac:dyDescent="0.25">
      <c r="A58" s="41"/>
      <c r="B58" t="s">
        <v>780</v>
      </c>
      <c r="C58" s="40"/>
      <c r="D58" s="40"/>
      <c r="E58" s="40"/>
      <c r="F58" s="330" t="s">
        <v>187</v>
      </c>
      <c r="G58" s="44"/>
    </row>
    <row r="59" spans="1:8" x14ac:dyDescent="0.25">
      <c r="A59" s="41"/>
      <c r="B59" t="s">
        <v>781</v>
      </c>
      <c r="C59" s="40"/>
      <c r="D59" s="40"/>
      <c r="E59" s="40"/>
      <c r="F59" s="331">
        <v>10</v>
      </c>
      <c r="G59" s="44"/>
    </row>
    <row r="60" spans="1:8" x14ac:dyDescent="0.25">
      <c r="A60" s="41"/>
      <c r="B60" t="s">
        <v>782</v>
      </c>
      <c r="C60" s="40"/>
      <c r="D60" s="40"/>
      <c r="E60" s="40"/>
      <c r="F60" s="325">
        <v>50000</v>
      </c>
      <c r="G60" s="44">
        <f>+F60/'Unit Mix+Rents'!$D$14</f>
        <v>178.57142857142858</v>
      </c>
    </row>
    <row r="61" spans="1:8" x14ac:dyDescent="0.25">
      <c r="A61" s="47" t="s">
        <v>251</v>
      </c>
      <c r="C61" s="48"/>
      <c r="D61" s="48"/>
      <c r="E61" s="48"/>
      <c r="F61" s="51">
        <f>IF(F58="Yes",F60,F57)</f>
        <v>50000</v>
      </c>
      <c r="G61" s="44">
        <f>+F61/'Unit Mix+Rents'!$D$14</f>
        <v>178.57142857142858</v>
      </c>
      <c r="H61" s="59"/>
    </row>
    <row r="62" spans="1:8" x14ac:dyDescent="0.25">
      <c r="A62" s="41"/>
      <c r="C62" s="40"/>
      <c r="D62" s="40"/>
      <c r="E62" s="40"/>
      <c r="F62" s="40"/>
      <c r="G62" s="55"/>
    </row>
    <row r="63" spans="1:8" x14ac:dyDescent="0.25">
      <c r="A63" s="39" t="s">
        <v>215</v>
      </c>
      <c r="C63" s="40"/>
      <c r="D63" s="40"/>
      <c r="E63" s="40"/>
      <c r="F63" s="40"/>
      <c r="G63" s="40"/>
    </row>
    <row r="64" spans="1:8" x14ac:dyDescent="0.25">
      <c r="A64" s="41"/>
      <c r="C64" s="40"/>
      <c r="D64" s="40"/>
      <c r="E64" s="40"/>
      <c r="F64" s="43" t="s">
        <v>223</v>
      </c>
      <c r="G64" s="43" t="s">
        <v>212</v>
      </c>
    </row>
    <row r="65" spans="1:7" x14ac:dyDescent="0.25">
      <c r="A65" s="47" t="s">
        <v>254</v>
      </c>
      <c r="C65" s="40"/>
      <c r="D65" s="40"/>
      <c r="E65" s="40"/>
      <c r="F65" s="44">
        <f>+G65*'Unit Mix+Rents'!D14</f>
        <v>420000</v>
      </c>
      <c r="G65" s="325">
        <v>1500</v>
      </c>
    </row>
  </sheetData>
  <pageMargins left="0.5" right="0.5" top="0.5" bottom="0.5" header="0.3" footer="0.3"/>
  <pageSetup scale="7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BE1FD-858A-44ED-BE8E-3CEE58DCB886}">
  <dimension ref="A1:G47"/>
  <sheetViews>
    <sheetView zoomScale="80" zoomScaleNormal="80" workbookViewId="0">
      <selection activeCell="E7" sqref="E7"/>
    </sheetView>
  </sheetViews>
  <sheetFormatPr defaultRowHeight="15" x14ac:dyDescent="0.25"/>
  <cols>
    <col min="1" max="3" width="12.140625" customWidth="1"/>
    <col min="4" max="7" width="16.7109375" customWidth="1"/>
    <col min="8" max="13" width="10.7109375" customWidth="1"/>
  </cols>
  <sheetData>
    <row r="1" spans="1:7" ht="18.75" customHeight="1" x14ac:dyDescent="0.3">
      <c r="A1" s="13" t="s">
        <v>288</v>
      </c>
    </row>
    <row r="2" spans="1:7" ht="18.75" customHeight="1" x14ac:dyDescent="0.25"/>
    <row r="3" spans="1:7" ht="18.75" customHeight="1" x14ac:dyDescent="0.25">
      <c r="A3" s="375" t="s">
        <v>290</v>
      </c>
      <c r="B3" s="375"/>
      <c r="C3" s="375"/>
      <c r="D3" s="60" t="s">
        <v>43</v>
      </c>
      <c r="E3" s="60" t="s">
        <v>292</v>
      </c>
      <c r="F3" s="60" t="s">
        <v>231</v>
      </c>
      <c r="G3" s="60" t="s">
        <v>291</v>
      </c>
    </row>
    <row r="4" spans="1:7" ht="18.75" customHeight="1" x14ac:dyDescent="0.25">
      <c r="A4" s="370" t="s">
        <v>289</v>
      </c>
      <c r="B4" s="370"/>
      <c r="C4" s="370"/>
      <c r="D4" s="61" t="s">
        <v>298</v>
      </c>
      <c r="E4" s="325">
        <v>500000</v>
      </c>
      <c r="F4" s="332">
        <v>1</v>
      </c>
      <c r="G4" s="62">
        <f>E4*F4</f>
        <v>500000</v>
      </c>
    </row>
    <row r="5" spans="1:7" ht="18.75" customHeight="1" x14ac:dyDescent="0.25">
      <c r="A5" s="370" t="s">
        <v>783</v>
      </c>
      <c r="B5" s="370"/>
      <c r="C5" s="370"/>
      <c r="D5" s="61" t="s">
        <v>298</v>
      </c>
      <c r="E5" s="325">
        <v>0</v>
      </c>
      <c r="F5" s="332">
        <v>1</v>
      </c>
      <c r="G5" s="63">
        <f>E5*F5</f>
        <v>0</v>
      </c>
    </row>
    <row r="6" spans="1:7" ht="18.75" customHeight="1" x14ac:dyDescent="0.25">
      <c r="A6" s="370" t="s">
        <v>784</v>
      </c>
      <c r="B6" s="370"/>
      <c r="C6" s="370"/>
      <c r="D6" s="61" t="s">
        <v>334</v>
      </c>
      <c r="E6" s="325">
        <v>1500</v>
      </c>
      <c r="F6" s="64">
        <f>+'Unit Mix+Rents'!D14</f>
        <v>280</v>
      </c>
      <c r="G6" s="63">
        <f>E6*F6</f>
        <v>420000</v>
      </c>
    </row>
    <row r="7" spans="1:7" ht="18.75" customHeight="1" x14ac:dyDescent="0.25">
      <c r="A7" s="370" t="s">
        <v>293</v>
      </c>
      <c r="B7" s="370"/>
      <c r="C7" s="370"/>
      <c r="D7" s="61" t="s">
        <v>334</v>
      </c>
      <c r="E7" s="325">
        <v>100000</v>
      </c>
      <c r="F7" s="65">
        <f>+'Unit Mix+Rents'!D14</f>
        <v>280</v>
      </c>
      <c r="G7" s="63">
        <f>(E7*F7)-G8-G10-G11-G12</f>
        <v>27575000</v>
      </c>
    </row>
    <row r="8" spans="1:7" ht="18.75" customHeight="1" x14ac:dyDescent="0.25">
      <c r="A8" s="370" t="s">
        <v>294</v>
      </c>
      <c r="B8" s="370"/>
      <c r="C8" s="370"/>
      <c r="D8" s="61" t="s">
        <v>298</v>
      </c>
      <c r="E8" s="325">
        <v>200000</v>
      </c>
      <c r="F8" s="333">
        <v>1</v>
      </c>
      <c r="G8" s="63">
        <f t="shared" ref="G8:G12" si="0">E8*F8</f>
        <v>200000</v>
      </c>
    </row>
    <row r="9" spans="1:7" ht="18.75" customHeight="1" x14ac:dyDescent="0.25">
      <c r="A9" s="370" t="s">
        <v>295</v>
      </c>
      <c r="B9" s="370"/>
      <c r="C9" s="370"/>
      <c r="D9" s="66" t="s">
        <v>800</v>
      </c>
      <c r="E9" s="325">
        <v>0</v>
      </c>
      <c r="F9" s="333">
        <v>0</v>
      </c>
      <c r="G9" s="63">
        <f t="shared" si="0"/>
        <v>0</v>
      </c>
    </row>
    <row r="10" spans="1:7" ht="18.75" customHeight="1" x14ac:dyDescent="0.25">
      <c r="A10" s="370" t="s">
        <v>297</v>
      </c>
      <c r="B10" s="370"/>
      <c r="C10" s="370"/>
      <c r="D10" s="61" t="s">
        <v>298</v>
      </c>
      <c r="E10" s="325">
        <v>100000</v>
      </c>
      <c r="F10" s="333">
        <v>1</v>
      </c>
      <c r="G10" s="63">
        <f t="shared" si="0"/>
        <v>100000</v>
      </c>
    </row>
    <row r="11" spans="1:7" ht="18.75" customHeight="1" x14ac:dyDescent="0.25">
      <c r="A11" s="370" t="s">
        <v>387</v>
      </c>
      <c r="B11" s="370"/>
      <c r="C11" s="370"/>
      <c r="D11" s="61" t="s">
        <v>298</v>
      </c>
      <c r="E11" s="325">
        <v>25000</v>
      </c>
      <c r="F11" s="333">
        <v>1</v>
      </c>
      <c r="G11" s="63">
        <f t="shared" ref="G11" si="1">E11*F11</f>
        <v>25000</v>
      </c>
    </row>
    <row r="12" spans="1:7" ht="18.75" customHeight="1" x14ac:dyDescent="0.25">
      <c r="A12" s="370" t="s">
        <v>299</v>
      </c>
      <c r="B12" s="370"/>
      <c r="C12" s="370"/>
      <c r="D12" s="61" t="s">
        <v>298</v>
      </c>
      <c r="E12" s="325">
        <v>100000</v>
      </c>
      <c r="F12" s="333">
        <v>1</v>
      </c>
      <c r="G12" s="63">
        <f t="shared" si="0"/>
        <v>100000</v>
      </c>
    </row>
    <row r="13" spans="1:7" ht="18.75" customHeight="1" x14ac:dyDescent="0.25">
      <c r="A13" s="371" t="s">
        <v>301</v>
      </c>
      <c r="B13" s="371"/>
      <c r="C13" s="371"/>
      <c r="D13" s="67"/>
      <c r="E13" s="68"/>
      <c r="F13" s="69"/>
      <c r="G13" s="68">
        <f>SUM(G4:G12)</f>
        <v>28920000</v>
      </c>
    </row>
    <row r="14" spans="1:7" ht="18.75" customHeight="1" x14ac:dyDescent="0.25">
      <c r="A14" s="372" t="s">
        <v>14</v>
      </c>
      <c r="B14" s="373"/>
      <c r="C14" s="374"/>
      <c r="D14" s="61" t="s">
        <v>296</v>
      </c>
      <c r="E14" s="70"/>
      <c r="F14" s="64"/>
      <c r="G14" s="63">
        <f ca="1">'Sources &amp; Uses'!I38</f>
        <v>1834803.6253776436</v>
      </c>
    </row>
    <row r="15" spans="1:7" ht="18.75" customHeight="1" x14ac:dyDescent="0.25">
      <c r="A15" s="372" t="s">
        <v>303</v>
      </c>
      <c r="B15" s="373"/>
      <c r="C15" s="374"/>
      <c r="D15" s="61" t="s">
        <v>296</v>
      </c>
      <c r="E15" s="70"/>
      <c r="F15" s="64"/>
      <c r="G15" s="63">
        <f ca="1">'Sources &amp; Uses'!I39</f>
        <v>611601.20845921454</v>
      </c>
    </row>
    <row r="16" spans="1:7" ht="18.75" customHeight="1" x14ac:dyDescent="0.25">
      <c r="A16" s="372" t="s">
        <v>304</v>
      </c>
      <c r="B16" s="373"/>
      <c r="C16" s="374"/>
      <c r="D16" s="61" t="s">
        <v>296</v>
      </c>
      <c r="E16" s="70"/>
      <c r="F16" s="64"/>
      <c r="G16" s="63">
        <f ca="1">'Sources &amp; Uses'!I40</f>
        <v>1834803.6253776436</v>
      </c>
    </row>
    <row r="17" spans="1:7" ht="18.75" customHeight="1" x14ac:dyDescent="0.25">
      <c r="A17" s="372" t="s">
        <v>300</v>
      </c>
      <c r="B17" s="373"/>
      <c r="C17" s="374"/>
      <c r="D17" s="61" t="s">
        <v>296</v>
      </c>
      <c r="E17" s="70"/>
      <c r="F17" s="64"/>
      <c r="G17" s="63">
        <f ca="1">'Sources &amp; Uses'!I41</f>
        <v>1660060.4229607251</v>
      </c>
    </row>
    <row r="18" spans="1:7" ht="18.75" customHeight="1" x14ac:dyDescent="0.25">
      <c r="A18" s="371" t="s">
        <v>302</v>
      </c>
      <c r="B18" s="371"/>
      <c r="C18" s="371"/>
      <c r="D18" s="67"/>
      <c r="E18" s="68"/>
      <c r="F18" s="69"/>
      <c r="G18" s="68">
        <f ca="1">SUM(G13:G17)</f>
        <v>34861268.882175229</v>
      </c>
    </row>
    <row r="19" spans="1:7" ht="18.75" customHeight="1" x14ac:dyDescent="0.25">
      <c r="A19" s="56" t="s">
        <v>335</v>
      </c>
      <c r="D19" s="71"/>
      <c r="E19" s="72"/>
      <c r="F19" s="72"/>
      <c r="G19" s="72"/>
    </row>
    <row r="20" spans="1:7" ht="6.75" customHeight="1" x14ac:dyDescent="0.25">
      <c r="D20" s="71"/>
      <c r="E20" s="72"/>
      <c r="F20" s="72"/>
      <c r="G20" s="72"/>
    </row>
    <row r="21" spans="1:7" ht="18.75" customHeight="1" x14ac:dyDescent="0.25">
      <c r="A21" s="73" t="s">
        <v>305</v>
      </c>
      <c r="B21" s="73"/>
      <c r="C21" s="73"/>
      <c r="D21" s="74"/>
      <c r="E21" s="75"/>
      <c r="F21" s="75"/>
      <c r="G21" s="76">
        <f>G13/'Unit Mix+Rents'!D14</f>
        <v>103285.71428571429</v>
      </c>
    </row>
    <row r="22" spans="1:7" ht="18.75" customHeight="1" x14ac:dyDescent="0.25">
      <c r="A22" s="73" t="s">
        <v>307</v>
      </c>
      <c r="G22" s="76">
        <f ca="1">+G18/'Unit Mix+Rents'!D14</f>
        <v>124504.53172205439</v>
      </c>
    </row>
    <row r="23" spans="1:7" ht="18.75" customHeight="1" x14ac:dyDescent="0.25">
      <c r="A23" s="73" t="s">
        <v>306</v>
      </c>
      <c r="B23" s="73"/>
      <c r="C23" s="73"/>
      <c r="D23" s="74"/>
      <c r="E23" s="75"/>
      <c r="F23" s="75"/>
      <c r="G23" s="77" t="s">
        <v>322</v>
      </c>
    </row>
    <row r="24" spans="1:7" ht="18.75" customHeight="1" x14ac:dyDescent="0.25">
      <c r="A24" s="73" t="s">
        <v>308</v>
      </c>
      <c r="B24" s="73"/>
      <c r="C24" s="73"/>
      <c r="D24" s="74"/>
      <c r="E24" s="75"/>
      <c r="F24" s="75"/>
      <c r="G24" s="77" t="s">
        <v>322</v>
      </c>
    </row>
    <row r="25" spans="1:7" ht="18.75" customHeight="1" x14ac:dyDescent="0.25">
      <c r="E25" s="72"/>
      <c r="F25" s="72"/>
      <c r="G25" s="72"/>
    </row>
    <row r="26" spans="1:7" ht="18.75" x14ac:dyDescent="0.3">
      <c r="A26" s="13" t="s">
        <v>120</v>
      </c>
    </row>
    <row r="28" spans="1:7" ht="18.95" customHeight="1" x14ac:dyDescent="0.25">
      <c r="A28" s="15"/>
      <c r="B28" s="15" t="s">
        <v>138</v>
      </c>
      <c r="C28" s="15" t="s">
        <v>41</v>
      </c>
      <c r="D28" s="78"/>
    </row>
    <row r="29" spans="1:7" ht="18.95" customHeight="1" x14ac:dyDescent="0.25">
      <c r="A29" s="79" t="s">
        <v>121</v>
      </c>
      <c r="B29" s="80">
        <v>0</v>
      </c>
      <c r="C29" s="334">
        <f>+B29</f>
        <v>0</v>
      </c>
      <c r="D29" s="81"/>
    </row>
    <row r="30" spans="1:7" ht="18.95" customHeight="1" x14ac:dyDescent="0.25">
      <c r="A30" s="79" t="s">
        <v>118</v>
      </c>
      <c r="B30" s="80">
        <f>+B29+C30</f>
        <v>0.02</v>
      </c>
      <c r="C30" s="334">
        <v>0.02</v>
      </c>
      <c r="D30" s="81"/>
    </row>
    <row r="31" spans="1:7" ht="18.95" customHeight="1" x14ac:dyDescent="0.25">
      <c r="A31" s="79" t="s">
        <v>119</v>
      </c>
      <c r="B31" s="80">
        <f t="shared" ref="B31:B47" si="2">+B30+C31</f>
        <v>5.5000000000000007E-2</v>
      </c>
      <c r="C31" s="334">
        <v>3.5000000000000003E-2</v>
      </c>
      <c r="D31" s="81"/>
    </row>
    <row r="32" spans="1:7" ht="18.95" customHeight="1" x14ac:dyDescent="0.25">
      <c r="A32" s="61" t="s">
        <v>122</v>
      </c>
      <c r="B32" s="80">
        <f t="shared" si="2"/>
        <v>0.10500000000000001</v>
      </c>
      <c r="C32" s="334">
        <v>0.05</v>
      </c>
      <c r="D32" s="82"/>
    </row>
    <row r="33" spans="1:4" ht="18.95" customHeight="1" x14ac:dyDescent="0.25">
      <c r="A33" s="79" t="s">
        <v>123</v>
      </c>
      <c r="B33" s="80">
        <f t="shared" si="2"/>
        <v>0.17</v>
      </c>
      <c r="C33" s="334">
        <v>6.5000000000000002E-2</v>
      </c>
      <c r="D33" s="81"/>
    </row>
    <row r="34" spans="1:4" ht="18.95" customHeight="1" x14ac:dyDescent="0.25">
      <c r="A34" s="79" t="s">
        <v>124</v>
      </c>
      <c r="B34" s="80">
        <f t="shared" si="2"/>
        <v>0.24000000000000002</v>
      </c>
      <c r="C34" s="334">
        <v>7.0000000000000007E-2</v>
      </c>
      <c r="D34" s="81"/>
    </row>
    <row r="35" spans="1:4" ht="18.95" customHeight="1" x14ac:dyDescent="0.25">
      <c r="A35" s="61" t="s">
        <v>125</v>
      </c>
      <c r="B35" s="80">
        <f t="shared" si="2"/>
        <v>0.315</v>
      </c>
      <c r="C35" s="334">
        <v>7.4999999999999997E-2</v>
      </c>
      <c r="D35" s="82"/>
    </row>
    <row r="36" spans="1:4" ht="18.95" customHeight="1" x14ac:dyDescent="0.25">
      <c r="A36" s="83" t="s">
        <v>126</v>
      </c>
      <c r="B36" s="80">
        <f t="shared" si="2"/>
        <v>0.39</v>
      </c>
      <c r="C36" s="334">
        <v>7.4999999999999997E-2</v>
      </c>
      <c r="D36" s="81"/>
    </row>
    <row r="37" spans="1:4" ht="18.95" customHeight="1" x14ac:dyDescent="0.25">
      <c r="A37" s="61" t="s">
        <v>127</v>
      </c>
      <c r="B37" s="80">
        <f t="shared" si="2"/>
        <v>0.46500000000000002</v>
      </c>
      <c r="C37" s="334">
        <v>7.4999999999999997E-2</v>
      </c>
    </row>
    <row r="38" spans="1:4" ht="18.95" customHeight="1" x14ac:dyDescent="0.25">
      <c r="A38" s="61" t="s">
        <v>128</v>
      </c>
      <c r="B38" s="80">
        <f t="shared" si="2"/>
        <v>0.54</v>
      </c>
      <c r="C38" s="334">
        <v>7.4999999999999997E-2</v>
      </c>
    </row>
    <row r="39" spans="1:4" ht="18.95" customHeight="1" x14ac:dyDescent="0.25">
      <c r="A39" s="61" t="s">
        <v>129</v>
      </c>
      <c r="B39" s="80">
        <f t="shared" si="2"/>
        <v>0.61499999999999999</v>
      </c>
      <c r="C39" s="334">
        <v>7.4999999999999997E-2</v>
      </c>
    </row>
    <row r="40" spans="1:4" ht="18.95" customHeight="1" x14ac:dyDescent="0.25">
      <c r="A40" s="61" t="s">
        <v>130</v>
      </c>
      <c r="B40" s="80">
        <f t="shared" si="2"/>
        <v>0.68500000000000005</v>
      </c>
      <c r="C40" s="334">
        <v>7.0000000000000007E-2</v>
      </c>
    </row>
    <row r="41" spans="1:4" ht="18.95" customHeight="1" x14ac:dyDescent="0.25">
      <c r="A41" s="61" t="s">
        <v>131</v>
      </c>
      <c r="B41" s="80">
        <f t="shared" si="2"/>
        <v>0.75500000000000012</v>
      </c>
      <c r="C41" s="334">
        <v>7.0000000000000007E-2</v>
      </c>
    </row>
    <row r="42" spans="1:4" ht="18.95" customHeight="1" x14ac:dyDescent="0.25">
      <c r="A42" s="61" t="s">
        <v>132</v>
      </c>
      <c r="B42" s="80">
        <f t="shared" si="2"/>
        <v>0.82000000000000006</v>
      </c>
      <c r="C42" s="334">
        <v>6.5000000000000002E-2</v>
      </c>
    </row>
    <row r="43" spans="1:4" ht="18.95" customHeight="1" x14ac:dyDescent="0.25">
      <c r="A43" s="61" t="s">
        <v>133</v>
      </c>
      <c r="B43" s="80">
        <f t="shared" si="2"/>
        <v>0.87500000000000011</v>
      </c>
      <c r="C43" s="334">
        <v>5.5E-2</v>
      </c>
    </row>
    <row r="44" spans="1:4" ht="18.95" customHeight="1" x14ac:dyDescent="0.25">
      <c r="A44" s="61" t="s">
        <v>134</v>
      </c>
      <c r="B44" s="80">
        <f t="shared" si="2"/>
        <v>0.92000000000000015</v>
      </c>
      <c r="C44" s="330">
        <v>4.4999999999999998E-2</v>
      </c>
    </row>
    <row r="45" spans="1:4" ht="18.95" customHeight="1" x14ac:dyDescent="0.25">
      <c r="A45" s="61" t="s">
        <v>135</v>
      </c>
      <c r="B45" s="80">
        <f t="shared" si="2"/>
        <v>0.95500000000000018</v>
      </c>
      <c r="C45" s="330">
        <v>3.5000000000000003E-2</v>
      </c>
    </row>
    <row r="46" spans="1:4" ht="18.95" customHeight="1" x14ac:dyDescent="0.25">
      <c r="A46" s="61" t="s">
        <v>136</v>
      </c>
      <c r="B46" s="80">
        <f t="shared" si="2"/>
        <v>0.9800000000000002</v>
      </c>
      <c r="C46" s="330">
        <v>2.5000000000000001E-2</v>
      </c>
    </row>
    <row r="47" spans="1:4" ht="18.95" customHeight="1" x14ac:dyDescent="0.25">
      <c r="A47" s="61" t="s">
        <v>137</v>
      </c>
      <c r="B47" s="80">
        <f t="shared" si="2"/>
        <v>1.0000000000000002</v>
      </c>
      <c r="C47" s="330">
        <v>0.02</v>
      </c>
    </row>
  </sheetData>
  <mergeCells count="16">
    <mergeCell ref="A5:C5"/>
    <mergeCell ref="A6:C6"/>
    <mergeCell ref="A18:C18"/>
    <mergeCell ref="A15:C15"/>
    <mergeCell ref="A3:C3"/>
    <mergeCell ref="A4:C4"/>
    <mergeCell ref="A7:C7"/>
    <mergeCell ref="A8:C8"/>
    <mergeCell ref="A9:C9"/>
    <mergeCell ref="A10:C10"/>
    <mergeCell ref="A12:C12"/>
    <mergeCell ref="A13:C13"/>
    <mergeCell ref="A14:C14"/>
    <mergeCell ref="A16:C16"/>
    <mergeCell ref="A17:C17"/>
    <mergeCell ref="A11:C11"/>
  </mergeCells>
  <phoneticPr fontId="17" type="noConversion"/>
  <pageMargins left="0.7" right="0.7" top="0.75" bottom="0.75" header="0.3" footer="0.3"/>
  <ignoredErrors>
    <ignoredError sqref="G7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D5693-4C87-4EAE-ABB5-6FA78095D0FC}">
  <dimension ref="A1:L100"/>
  <sheetViews>
    <sheetView topLeftCell="A27" zoomScale="90" zoomScaleNormal="90" workbookViewId="0">
      <selection activeCell="I46" sqref="I46"/>
    </sheetView>
  </sheetViews>
  <sheetFormatPr defaultRowHeight="15" x14ac:dyDescent="0.25"/>
  <cols>
    <col min="1" max="1" width="1.42578125" customWidth="1"/>
    <col min="2" max="2" width="9.140625" customWidth="1"/>
    <col min="3" max="3" width="30.28515625" customWidth="1"/>
    <col min="4" max="4" width="6.42578125" customWidth="1"/>
    <col min="5" max="5" width="14.85546875" customWidth="1"/>
    <col min="6" max="6" width="1.42578125" customWidth="1"/>
    <col min="7" max="7" width="14.85546875" customWidth="1"/>
    <col min="8" max="8" width="1.42578125" customWidth="1"/>
    <col min="9" max="9" width="14.85546875" customWidth="1"/>
    <col min="10" max="10" width="10" bestFit="1" customWidth="1"/>
    <col min="11" max="11" width="12.5703125" bestFit="1" customWidth="1"/>
    <col min="12" max="12" width="11.5703125" bestFit="1" customWidth="1"/>
  </cols>
  <sheetData>
    <row r="1" spans="1:9" ht="22.5" customHeight="1" x14ac:dyDescent="0.25">
      <c r="A1" s="38" t="s">
        <v>40</v>
      </c>
    </row>
    <row r="2" spans="1:9" ht="12" customHeight="1" x14ac:dyDescent="0.25">
      <c r="A2" s="31"/>
      <c r="B2" s="31"/>
      <c r="C2" s="31"/>
      <c r="D2" s="31"/>
      <c r="E2" s="31"/>
      <c r="F2" s="31"/>
      <c r="G2" s="31"/>
      <c r="H2" s="31"/>
      <c r="I2" s="31"/>
    </row>
    <row r="3" spans="1:9" ht="12" customHeight="1" x14ac:dyDescent="0.25">
      <c r="A3" s="31"/>
      <c r="B3" s="31"/>
      <c r="C3" s="31"/>
      <c r="D3" s="31"/>
      <c r="E3" s="31"/>
      <c r="F3" s="31"/>
      <c r="G3" s="31"/>
      <c r="H3" s="31"/>
      <c r="I3" s="31"/>
    </row>
    <row r="4" spans="1:9" ht="15" customHeight="1" x14ac:dyDescent="0.25">
      <c r="A4" s="376" t="s">
        <v>71</v>
      </c>
      <c r="B4" s="377"/>
      <c r="C4" s="377"/>
      <c r="D4" s="377"/>
      <c r="E4" s="377"/>
      <c r="F4" s="378"/>
      <c r="G4" s="84" t="s">
        <v>72</v>
      </c>
      <c r="H4" s="85"/>
      <c r="I4" s="86" t="s">
        <v>73</v>
      </c>
    </row>
    <row r="5" spans="1:9" ht="4.5" customHeight="1" x14ac:dyDescent="0.25">
      <c r="A5" s="379"/>
      <c r="B5" s="380"/>
      <c r="C5" s="380"/>
      <c r="D5" s="380"/>
      <c r="E5" s="380"/>
      <c r="F5" s="381"/>
      <c r="G5" s="87"/>
      <c r="H5" s="88"/>
      <c r="I5" s="89"/>
    </row>
    <row r="6" spans="1:9" ht="15" customHeight="1" x14ac:dyDescent="0.25">
      <c r="A6" s="382"/>
      <c r="B6" s="383"/>
      <c r="C6" s="383"/>
      <c r="D6" s="383"/>
      <c r="E6" s="383"/>
      <c r="F6" s="384"/>
      <c r="G6" s="90">
        <f ca="1">+I12/I26</f>
        <v>0.52370769478561829</v>
      </c>
      <c r="H6" s="91"/>
      <c r="I6" s="92">
        <f ca="1">+SUM(I14,I19,I24)/I26</f>
        <v>0.47629230521438165</v>
      </c>
    </row>
    <row r="7" spans="1:9" ht="15" customHeight="1" x14ac:dyDescent="0.25"/>
    <row r="8" spans="1:9" x14ac:dyDescent="0.25">
      <c r="A8" s="47" t="s">
        <v>7</v>
      </c>
      <c r="E8" s="93" t="s">
        <v>38</v>
      </c>
    </row>
    <row r="9" spans="1:9" ht="7.5" customHeight="1" x14ac:dyDescent="0.25">
      <c r="A9" s="47"/>
      <c r="E9" s="94"/>
    </row>
    <row r="10" spans="1:9" x14ac:dyDescent="0.25">
      <c r="B10" s="95" t="s">
        <v>8</v>
      </c>
      <c r="E10" s="94">
        <f ca="1">+I10/$I$26</f>
        <v>0.52370769478561829</v>
      </c>
      <c r="G10" s="96">
        <f ca="1">+I10/'Unit Mix+Rents'!$D$14</f>
        <v>95105.370310151804</v>
      </c>
      <c r="H10" s="335"/>
      <c r="I10" s="97">
        <f ca="1">+'S&amp;U Timing'!D10</f>
        <v>26629503.686847329</v>
      </c>
    </row>
    <row r="11" spans="1:9" ht="4.5" customHeight="1" x14ac:dyDescent="0.25">
      <c r="B11" s="95"/>
      <c r="E11" s="94"/>
      <c r="G11" s="98"/>
      <c r="H11" s="98"/>
      <c r="I11" s="88"/>
    </row>
    <row r="12" spans="1:9" x14ac:dyDescent="0.25">
      <c r="B12" s="95" t="s">
        <v>9</v>
      </c>
      <c r="E12" s="94">
        <f ca="1">+I12/$I$26</f>
        <v>0.52370769478561829</v>
      </c>
      <c r="G12" s="99">
        <f ca="1">+I12/'Unit Mix+Rents'!$D$14</f>
        <v>95105.370310151804</v>
      </c>
      <c r="I12" s="100">
        <f ca="1">+SUM(I10:I10)</f>
        <v>26629503.686847329</v>
      </c>
    </row>
    <row r="13" spans="1:9" ht="7.5" customHeight="1" x14ac:dyDescent="0.25">
      <c r="B13" s="95"/>
      <c r="E13" s="94"/>
      <c r="G13" s="72"/>
      <c r="I13" s="100"/>
    </row>
    <row r="14" spans="1:9" x14ac:dyDescent="0.25">
      <c r="B14" s="95" t="s">
        <v>279</v>
      </c>
      <c r="E14" s="94">
        <f ca="1">+I14/$I$26</f>
        <v>0.28686877400436706</v>
      </c>
      <c r="G14" s="99">
        <f ca="1">+I14/'Unit Mix+Rents'!$D$14</f>
        <v>52095.398356277503</v>
      </c>
      <c r="I14" s="98">
        <f ca="1">+'Tax Credit Calc'!F41</f>
        <v>14586711.539756861</v>
      </c>
    </row>
    <row r="15" spans="1:9" ht="7.5" customHeight="1" x14ac:dyDescent="0.25">
      <c r="B15" s="95"/>
      <c r="E15" s="94"/>
      <c r="G15" s="72"/>
      <c r="I15" s="336"/>
    </row>
    <row r="16" spans="1:9" x14ac:dyDescent="0.25">
      <c r="B16" s="101" t="s">
        <v>337</v>
      </c>
      <c r="E16" s="94">
        <f ca="1">+I16/$I$26</f>
        <v>0.14749834458359981</v>
      </c>
      <c r="G16" s="99">
        <f>+I16/'Unit Mix+Rents'!$D$14</f>
        <v>26785.714285714286</v>
      </c>
      <c r="I16" s="336">
        <v>7500000</v>
      </c>
    </row>
    <row r="17" spans="1:9" x14ac:dyDescent="0.25">
      <c r="B17" s="101" t="s">
        <v>3</v>
      </c>
      <c r="E17" s="94">
        <f ca="1">+I17/$I$26</f>
        <v>0</v>
      </c>
      <c r="G17" s="102">
        <f>+I17/'Unit Mix+Rents'!$D$14</f>
        <v>0</v>
      </c>
      <c r="I17" s="337">
        <v>0</v>
      </c>
    </row>
    <row r="18" spans="1:9" ht="4.5" customHeight="1" x14ac:dyDescent="0.25">
      <c r="B18" s="101"/>
      <c r="E18" s="94"/>
      <c r="G18" s="72"/>
      <c r="I18" s="336"/>
    </row>
    <row r="19" spans="1:9" x14ac:dyDescent="0.25">
      <c r="B19" s="95" t="s">
        <v>36</v>
      </c>
      <c r="E19" s="94">
        <f ca="1">+I19/$I$26</f>
        <v>0.14749834458359981</v>
      </c>
      <c r="G19" s="99">
        <f>+I19/'Unit Mix+Rents'!$D$14</f>
        <v>26785.714285714286</v>
      </c>
      <c r="I19" s="103">
        <f>+SUM(I16:I17)</f>
        <v>7500000</v>
      </c>
    </row>
    <row r="20" spans="1:9" ht="7.5" customHeight="1" x14ac:dyDescent="0.25">
      <c r="B20" s="104"/>
      <c r="C20" s="47"/>
      <c r="D20" s="47"/>
      <c r="E20" s="105"/>
      <c r="F20" s="47"/>
      <c r="G20" s="106"/>
      <c r="H20" s="47"/>
      <c r="I20" s="107"/>
    </row>
    <row r="21" spans="1:9" x14ac:dyDescent="0.25">
      <c r="B21" s="101" t="s">
        <v>4</v>
      </c>
      <c r="E21" s="94">
        <f ca="1">+I21/$I$26</f>
        <v>0</v>
      </c>
      <c r="G21" s="99">
        <f>+I21/'Unit Mix+Rents'!$D$14</f>
        <v>0</v>
      </c>
      <c r="I21" s="336">
        <v>0</v>
      </c>
    </row>
    <row r="22" spans="1:9" x14ac:dyDescent="0.25">
      <c r="B22" s="101" t="s">
        <v>10</v>
      </c>
      <c r="D22" s="338">
        <v>0.36</v>
      </c>
      <c r="E22" s="94">
        <f ca="1">+I22/$I$26</f>
        <v>4.1925186626414812E-2</v>
      </c>
      <c r="F22" s="338"/>
      <c r="G22" s="102">
        <f ca="1">+I22/'Unit Mix+Rents'!$D$14</f>
        <v>7613.6181292116107</v>
      </c>
      <c r="I22" s="108">
        <f ca="1">+D22*I65</f>
        <v>2131813.0761794765</v>
      </c>
    </row>
    <row r="23" spans="1:9" ht="4.5" customHeight="1" x14ac:dyDescent="0.25">
      <c r="B23" s="95"/>
      <c r="D23" s="338"/>
      <c r="E23" s="339"/>
      <c r="F23" s="338"/>
      <c r="G23" s="72"/>
      <c r="I23" s="336"/>
    </row>
    <row r="24" spans="1:9" x14ac:dyDescent="0.25">
      <c r="B24" s="95" t="s">
        <v>37</v>
      </c>
      <c r="D24" s="338"/>
      <c r="E24" s="94">
        <f ca="1">+I24/$I$26</f>
        <v>4.1925186626414812E-2</v>
      </c>
      <c r="F24" s="338"/>
      <c r="G24" s="102">
        <f ca="1">+I24/'Unit Mix+Rents'!$D$14</f>
        <v>7613.6181292116107</v>
      </c>
      <c r="I24" s="109">
        <f ca="1">+SUM(I21:I22)</f>
        <v>2131813.0761794765</v>
      </c>
    </row>
    <row r="25" spans="1:9" ht="7.5" customHeight="1" x14ac:dyDescent="0.25">
      <c r="B25" s="95"/>
      <c r="E25" s="94"/>
      <c r="I25" s="336"/>
    </row>
    <row r="26" spans="1:9" x14ac:dyDescent="0.25">
      <c r="A26" s="104" t="s">
        <v>5</v>
      </c>
      <c r="E26" s="94">
        <f ca="1">+I26/$I$26</f>
        <v>1</v>
      </c>
      <c r="G26" s="110">
        <f ca="1">+I26/'Unit Mix+Rents'!$D$14</f>
        <v>181600.10108135521</v>
      </c>
      <c r="I26" s="111">
        <f ca="1">+SUM(I12,I14,I19,I24)</f>
        <v>50848028.302783668</v>
      </c>
    </row>
    <row r="27" spans="1:9" ht="15" customHeight="1" x14ac:dyDescent="0.25">
      <c r="A27" s="101"/>
      <c r="G27" s="72"/>
      <c r="H27" s="72"/>
    </row>
    <row r="28" spans="1:9" x14ac:dyDescent="0.25">
      <c r="A28" s="104" t="s">
        <v>11</v>
      </c>
      <c r="E28" s="102" t="s">
        <v>39</v>
      </c>
      <c r="G28" s="102" t="s">
        <v>30</v>
      </c>
      <c r="H28" s="99"/>
      <c r="I28" s="112" t="s">
        <v>29</v>
      </c>
    </row>
    <row r="29" spans="1:9" ht="7.5" customHeight="1" x14ac:dyDescent="0.25">
      <c r="A29" s="101"/>
      <c r="G29" s="99"/>
      <c r="H29" s="99"/>
    </row>
    <row r="30" spans="1:9" x14ac:dyDescent="0.25">
      <c r="A30" s="101"/>
      <c r="B30" s="47" t="s">
        <v>27</v>
      </c>
      <c r="C30" s="47"/>
      <c r="D30" s="47"/>
      <c r="E30" s="113">
        <f ca="1">+I30/$I$78</f>
        <v>7.8665783777902176E-2</v>
      </c>
      <c r="F30" s="47"/>
      <c r="G30" s="114">
        <f>+I30/'Unit Mix+Rents'!$D$14</f>
        <v>14285.714285714286</v>
      </c>
      <c r="H30" s="115"/>
      <c r="I30" s="340">
        <v>4000000</v>
      </c>
    </row>
    <row r="31" spans="1:9" ht="7.5" customHeight="1" x14ac:dyDescent="0.25">
      <c r="A31" s="101"/>
      <c r="B31" s="47"/>
      <c r="C31" s="47"/>
      <c r="D31" s="47"/>
      <c r="E31" s="113"/>
      <c r="F31" s="47"/>
      <c r="G31" s="114"/>
      <c r="H31" s="115"/>
      <c r="I31" s="340"/>
    </row>
    <row r="32" spans="1:9" x14ac:dyDescent="0.25">
      <c r="A32" s="101"/>
      <c r="B32" t="s">
        <v>28</v>
      </c>
      <c r="E32" s="116">
        <f ca="1">+I32/$I$78</f>
        <v>0</v>
      </c>
      <c r="G32" s="99"/>
      <c r="H32" s="99"/>
      <c r="I32" s="72"/>
    </row>
    <row r="33" spans="1:12" ht="4.5" customHeight="1" x14ac:dyDescent="0.25">
      <c r="A33" s="101"/>
      <c r="E33" s="116"/>
      <c r="G33" s="99"/>
      <c r="H33" s="99"/>
      <c r="I33" s="72"/>
    </row>
    <row r="34" spans="1:12" x14ac:dyDescent="0.25">
      <c r="A34" s="101"/>
      <c r="B34" s="57" t="s">
        <v>12</v>
      </c>
      <c r="E34" s="116">
        <f t="shared" ref="E34:E41" ca="1" si="0">+I34/$I$78</f>
        <v>9.833222972237772E-3</v>
      </c>
      <c r="G34" s="99">
        <f>+I34/'Unit Mix+Rents'!$D$14</f>
        <v>1785.7142857142858</v>
      </c>
      <c r="H34" s="99"/>
      <c r="I34" s="98">
        <f>'Construction Estimates'!G4</f>
        <v>500000</v>
      </c>
    </row>
    <row r="35" spans="1:12" x14ac:dyDescent="0.25">
      <c r="B35" s="57" t="s">
        <v>268</v>
      </c>
      <c r="E35" s="116">
        <f t="shared" ca="1" si="0"/>
        <v>0</v>
      </c>
      <c r="G35" s="99">
        <f>+I35/'Unit Mix+Rents'!$D$14</f>
        <v>0</v>
      </c>
      <c r="H35" s="117"/>
      <c r="I35" s="98">
        <f>+'Construction Estimates'!G5</f>
        <v>0</v>
      </c>
    </row>
    <row r="36" spans="1:12" x14ac:dyDescent="0.25">
      <c r="B36" s="57" t="s">
        <v>272</v>
      </c>
      <c r="E36" s="116">
        <f t="shared" ca="1" si="0"/>
        <v>0.55056215421559285</v>
      </c>
      <c r="G36" s="99">
        <f>+I36/'Unit Mix+Rents'!$D$14</f>
        <v>99982.142857142855</v>
      </c>
      <c r="H36" s="117"/>
      <c r="I36" s="98">
        <f>+SUM('Construction Estimates'!G6,'Construction Estimates'!G7)</f>
        <v>27995000</v>
      </c>
    </row>
    <row r="37" spans="1:12" x14ac:dyDescent="0.25">
      <c r="B37" s="57" t="s">
        <v>267</v>
      </c>
      <c r="E37" s="116">
        <f t="shared" ca="1" si="0"/>
        <v>8.3582395264021059E-3</v>
      </c>
      <c r="G37" s="99">
        <f>+I37/'Unit Mix+Rents'!$D$14</f>
        <v>1517.8571428571429</v>
      </c>
      <c r="H37" s="117"/>
      <c r="I37" s="98">
        <f>+SUM('Construction Estimates'!G8,'Construction Estimates'!G10,'Construction Estimates'!G11,'Construction Estimates'!G12)</f>
        <v>425000</v>
      </c>
    </row>
    <row r="38" spans="1:12" x14ac:dyDescent="0.25">
      <c r="B38" s="57" t="s">
        <v>14</v>
      </c>
      <c r="D38" s="338">
        <v>0.06</v>
      </c>
      <c r="E38" s="116">
        <f t="shared" ca="1" si="0"/>
        <v>3.6084066317217188E-2</v>
      </c>
      <c r="G38" s="99">
        <f ca="1">+I38/'Unit Mix+Rents'!$D$14</f>
        <v>6552.8700906344411</v>
      </c>
      <c r="H38" s="117"/>
      <c r="I38" s="98">
        <f ca="1">+D38*I81</f>
        <v>1834803.6253776436</v>
      </c>
    </row>
    <row r="39" spans="1:12" x14ac:dyDescent="0.25">
      <c r="B39" s="57" t="s">
        <v>269</v>
      </c>
      <c r="D39" s="338">
        <v>0.02</v>
      </c>
      <c r="E39" s="116">
        <f t="shared" ca="1" si="0"/>
        <v>1.2028022105739063E-2</v>
      </c>
      <c r="G39" s="99">
        <f ca="1">+I39/'Unit Mix+Rents'!$D$14</f>
        <v>2184.2900302114804</v>
      </c>
      <c r="H39" s="117"/>
      <c r="I39" s="98">
        <f ca="1">+D39*I81</f>
        <v>611601.20845921454</v>
      </c>
    </row>
    <row r="40" spans="1:12" x14ac:dyDescent="0.25">
      <c r="B40" s="57" t="s">
        <v>270</v>
      </c>
      <c r="D40" s="338">
        <v>0.06</v>
      </c>
      <c r="E40" s="118">
        <f t="shared" ca="1" si="0"/>
        <v>3.6084066317217188E-2</v>
      </c>
      <c r="G40" s="99">
        <f ca="1">+I40/'Unit Mix+Rents'!$D$14</f>
        <v>6552.8700906344411</v>
      </c>
      <c r="H40" s="117"/>
      <c r="I40" s="98">
        <f ca="1">+D40*I81</f>
        <v>1834803.6253776436</v>
      </c>
    </row>
    <row r="41" spans="1:12" x14ac:dyDescent="0.25">
      <c r="B41" s="57" t="s">
        <v>13</v>
      </c>
      <c r="D41" s="338">
        <v>0.05</v>
      </c>
      <c r="E41" s="116">
        <f t="shared" ca="1" si="0"/>
        <v>3.2647488572720311E-2</v>
      </c>
      <c r="G41" s="99">
        <f ca="1">+I41/'Unit Mix+Rents'!$D$14</f>
        <v>5928.7872248597323</v>
      </c>
      <c r="H41" s="117"/>
      <c r="I41" s="98">
        <f ca="1">+D41*SUM(I34:I40)</f>
        <v>1660060.4229607251</v>
      </c>
    </row>
    <row r="42" spans="1:12" ht="4.5" customHeight="1" x14ac:dyDescent="0.25">
      <c r="E42" s="119"/>
      <c r="F42" s="88"/>
      <c r="G42" s="120"/>
      <c r="H42" s="121"/>
      <c r="I42" s="341"/>
    </row>
    <row r="43" spans="1:12" x14ac:dyDescent="0.25">
      <c r="B43" s="101" t="s">
        <v>15</v>
      </c>
      <c r="E43" s="122">
        <f ca="1">+I43/$I$78</f>
        <v>0.68559726002712651</v>
      </c>
      <c r="G43" s="103">
        <f ca="1">SUM(G34:G42)</f>
        <v>124504.53172205439</v>
      </c>
      <c r="H43" s="123"/>
      <c r="I43" s="103">
        <f ca="1">SUM(I34:I42)</f>
        <v>34861268.882175229</v>
      </c>
      <c r="K43" s="124"/>
      <c r="L43" s="125"/>
    </row>
    <row r="44" spans="1:12" ht="4.5" customHeight="1" x14ac:dyDescent="0.25">
      <c r="B44" s="101"/>
      <c r="E44" s="116"/>
      <c r="G44" s="99"/>
      <c r="H44" s="117"/>
      <c r="I44" s="336"/>
    </row>
    <row r="45" spans="1:12" x14ac:dyDescent="0.25">
      <c r="B45" s="57" t="s">
        <v>19</v>
      </c>
      <c r="E45" s="116">
        <f t="shared" ref="E45:E59" ca="1" si="1">+I45/$I$78</f>
        <v>1.1799867566685327E-4</v>
      </c>
      <c r="G45" s="99">
        <f>+I45/'Unit Mix+Rents'!$D$14</f>
        <v>21.428571428571427</v>
      </c>
      <c r="H45" s="117"/>
      <c r="I45" s="336">
        <v>6000</v>
      </c>
    </row>
    <row r="46" spans="1:12" x14ac:dyDescent="0.25">
      <c r="B46" s="57" t="s">
        <v>785</v>
      </c>
      <c r="E46" s="116">
        <f t="shared" ca="1" si="1"/>
        <v>1.4749834458356658E-2</v>
      </c>
      <c r="G46" s="99">
        <f>+I46/'Unit Mix+Rents'!$D$14</f>
        <v>2678.5714285714284</v>
      </c>
      <c r="H46" s="117"/>
      <c r="I46" s="336">
        <v>750000</v>
      </c>
    </row>
    <row r="47" spans="1:12" x14ac:dyDescent="0.25">
      <c r="B47" s="57" t="s">
        <v>16</v>
      </c>
      <c r="E47" s="116">
        <f t="shared" ca="1" si="1"/>
        <v>6.855972600271266E-4</v>
      </c>
      <c r="G47" s="99">
        <f ca="1">+I47/'Unit Mix+Rents'!$D$14</f>
        <v>124.5045317220544</v>
      </c>
      <c r="H47" s="117"/>
      <c r="I47" s="336">
        <f ca="1">MAX(60,0.001*I43)</f>
        <v>34861.268882175231</v>
      </c>
    </row>
    <row r="48" spans="1:12" x14ac:dyDescent="0.25">
      <c r="B48" s="57" t="s">
        <v>31</v>
      </c>
      <c r="E48" s="116">
        <f t="shared" ca="1" si="1"/>
        <v>3.4291662868923016E-3</v>
      </c>
      <c r="G48" s="99">
        <f ca="1">+I48/'Unit Mix+Rents'!$D$14</f>
        <v>622.73694432455773</v>
      </c>
      <c r="H48" s="117"/>
      <c r="I48" s="336">
        <f ca="1">60+0.005*I43</f>
        <v>174366.34441087616</v>
      </c>
    </row>
    <row r="49" spans="2:12" x14ac:dyDescent="0.25">
      <c r="B49" s="57" t="s">
        <v>20</v>
      </c>
      <c r="E49" s="116">
        <f t="shared" ca="1" si="1"/>
        <v>7.8665783777902179E-4</v>
      </c>
      <c r="G49" s="99">
        <f>+I49/'Unit Mix+Rents'!$D$14</f>
        <v>142.85714285714286</v>
      </c>
      <c r="H49" s="117"/>
      <c r="I49" s="336">
        <v>40000</v>
      </c>
    </row>
    <row r="50" spans="2:12" x14ac:dyDescent="0.25">
      <c r="B50" s="57" t="s">
        <v>329</v>
      </c>
      <c r="D50" s="338"/>
      <c r="E50" s="118">
        <f t="shared" ca="1" si="1"/>
        <v>2.458305743059443E-3</v>
      </c>
      <c r="G50" s="99">
        <f>+I50/'Unit Mix+Rents'!$D$14</f>
        <v>446.42857142857144</v>
      </c>
      <c r="H50" s="117"/>
      <c r="I50" s="336">
        <v>125000</v>
      </c>
    </row>
    <row r="51" spans="2:12" x14ac:dyDescent="0.25">
      <c r="B51" s="57" t="s">
        <v>17</v>
      </c>
      <c r="E51" s="116">
        <f t="shared" ca="1" si="1"/>
        <v>7.8665783777902179E-4</v>
      </c>
      <c r="G51" s="99">
        <f>+I51/'Unit Mix+Rents'!$D$14</f>
        <v>142.85714285714286</v>
      </c>
      <c r="H51" s="117"/>
      <c r="I51" s="336">
        <v>40000</v>
      </c>
    </row>
    <row r="52" spans="2:12" x14ac:dyDescent="0.25">
      <c r="B52" s="57" t="s">
        <v>323</v>
      </c>
      <c r="E52" s="116">
        <f t="shared" ca="1" si="1"/>
        <v>4.005576175769578E-3</v>
      </c>
      <c r="G52" s="99">
        <f ca="1">+I52/'Unit Mix+Rents'!$D$14</f>
        <v>727.4130384089874</v>
      </c>
      <c r="H52" s="117"/>
      <c r="I52" s="336">
        <f ca="1">4000+6000+6000+3000+500+0.1*'Tax Credit Calc'!F22</f>
        <v>203675.6507545058</v>
      </c>
    </row>
    <row r="53" spans="2:12" x14ac:dyDescent="0.25">
      <c r="B53" s="57" t="s">
        <v>18</v>
      </c>
      <c r="E53" s="116">
        <f t="shared" ca="1" si="1"/>
        <v>4.9166114861188864E-4</v>
      </c>
      <c r="G53" s="99">
        <f>+I53/'Unit Mix+Rents'!$D$14</f>
        <v>89.285714285714292</v>
      </c>
      <c r="H53" s="117"/>
      <c r="I53" s="336">
        <v>25000</v>
      </c>
    </row>
    <row r="54" spans="2:12" x14ac:dyDescent="0.25">
      <c r="B54" s="57" t="s">
        <v>21</v>
      </c>
      <c r="E54" s="116">
        <f t="shared" ca="1" si="1"/>
        <v>2.458305743059443E-3</v>
      </c>
      <c r="G54" s="99">
        <f>+I54/'Unit Mix+Rents'!$D$14</f>
        <v>446.42857142857144</v>
      </c>
      <c r="H54" s="117"/>
      <c r="I54" s="336">
        <v>125000</v>
      </c>
    </row>
    <row r="55" spans="2:12" x14ac:dyDescent="0.25">
      <c r="B55" s="57" t="s">
        <v>324</v>
      </c>
      <c r="E55" s="116">
        <f t="shared" ca="1" si="1"/>
        <v>0</v>
      </c>
      <c r="G55" s="99">
        <f>+I55/'Unit Mix+Rents'!$D$14</f>
        <v>0</v>
      </c>
      <c r="H55" s="117"/>
      <c r="I55" s="336">
        <v>0</v>
      </c>
    </row>
    <row r="56" spans="2:12" x14ac:dyDescent="0.25">
      <c r="B56" s="57" t="s">
        <v>325</v>
      </c>
      <c r="E56" s="116">
        <f t="shared" ca="1" si="1"/>
        <v>1.3766512161132881E-4</v>
      </c>
      <c r="G56" s="99">
        <f>+I56/'Unit Mix+Rents'!$D$14</f>
        <v>25</v>
      </c>
      <c r="H56" s="117"/>
      <c r="I56" s="336">
        <v>7000</v>
      </c>
    </row>
    <row r="57" spans="2:12" x14ac:dyDescent="0.25">
      <c r="B57" s="57" t="s">
        <v>326</v>
      </c>
      <c r="E57" s="116">
        <f t="shared" ca="1" si="1"/>
        <v>1.4749834458356659E-3</v>
      </c>
      <c r="G57" s="99">
        <f>+I57/'Unit Mix+Rents'!$D$14</f>
        <v>267.85714285714283</v>
      </c>
      <c r="H57" s="117"/>
      <c r="I57" s="336">
        <v>75000</v>
      </c>
    </row>
    <row r="58" spans="2:12" x14ac:dyDescent="0.25">
      <c r="B58" s="57" t="s">
        <v>327</v>
      </c>
      <c r="E58" s="116">
        <f t="shared" ca="1" si="1"/>
        <v>7.8665783777902179E-4</v>
      </c>
      <c r="G58" s="99">
        <f>+I58/'Unit Mix+Rents'!$D$14</f>
        <v>142.85714285714286</v>
      </c>
      <c r="H58" s="117"/>
      <c r="I58" s="336">
        <v>40000</v>
      </c>
    </row>
    <row r="59" spans="2:12" x14ac:dyDescent="0.25">
      <c r="B59" s="57" t="s">
        <v>328</v>
      </c>
      <c r="E59" s="116">
        <f t="shared" ca="1" si="1"/>
        <v>1.9666445944475546E-3</v>
      </c>
      <c r="G59" s="99">
        <f>+I59/'Unit Mix+Rents'!$D$14</f>
        <v>357.14285714285717</v>
      </c>
      <c r="H59" s="117"/>
      <c r="I59" s="336">
        <v>100000</v>
      </c>
    </row>
    <row r="60" spans="2:12" ht="4.5" customHeight="1" x14ac:dyDescent="0.25">
      <c r="B60" s="101"/>
      <c r="E60" s="119"/>
      <c r="F60" s="88"/>
      <c r="G60" s="120"/>
      <c r="H60" s="121"/>
      <c r="I60" s="341"/>
    </row>
    <row r="61" spans="2:12" x14ac:dyDescent="0.25">
      <c r="B61" s="101" t="s">
        <v>22</v>
      </c>
      <c r="E61" s="126">
        <f ca="1">+I61/$I$78</f>
        <v>3.4335712166674907E-2</v>
      </c>
      <c r="G61" s="127">
        <f ca="1">+SUM(G45:G59)</f>
        <v>6235.3688001698856</v>
      </c>
      <c r="H61" s="117"/>
      <c r="I61" s="127">
        <f ca="1">+SUM(I45:I59)</f>
        <v>1745903.264047557</v>
      </c>
    </row>
    <row r="62" spans="2:12" ht="4.5" customHeight="1" x14ac:dyDescent="0.25">
      <c r="E62" s="116"/>
      <c r="G62" s="99"/>
      <c r="H62" s="117"/>
      <c r="I62" s="336"/>
    </row>
    <row r="63" spans="2:12" x14ac:dyDescent="0.25">
      <c r="B63" s="47" t="s">
        <v>23</v>
      </c>
      <c r="C63" s="47"/>
      <c r="D63" s="47"/>
      <c r="E63" s="113">
        <f ca="1">+I63/$I$78</f>
        <v>0.71993297219380148</v>
      </c>
      <c r="F63" s="47"/>
      <c r="G63" s="107">
        <f ca="1">+G43+G61</f>
        <v>130739.90052222428</v>
      </c>
      <c r="H63" s="114"/>
      <c r="I63" s="107">
        <f ca="1">+I43+I61</f>
        <v>36607172.146222785</v>
      </c>
      <c r="L63" s="125"/>
    </row>
    <row r="64" spans="2:12" ht="7.5" customHeight="1" x14ac:dyDescent="0.25">
      <c r="B64" s="47"/>
      <c r="C64" s="47"/>
      <c r="D64" s="47"/>
      <c r="E64" s="113"/>
      <c r="F64" s="47"/>
      <c r="G64" s="114"/>
      <c r="H64" s="114"/>
      <c r="I64" s="107"/>
    </row>
    <row r="65" spans="1:12" x14ac:dyDescent="0.25">
      <c r="B65" s="47" t="s">
        <v>24</v>
      </c>
      <c r="C65" s="47"/>
      <c r="D65" s="48"/>
      <c r="E65" s="113">
        <f ca="1">+I65/$I$78</f>
        <v>0.11645885174002722</v>
      </c>
      <c r="F65" s="47"/>
      <c r="G65" s="114">
        <f ca="1">+I65/'Unit Mix+Rents'!$D$14</f>
        <v>21148.939247812268</v>
      </c>
      <c r="H65" s="114"/>
      <c r="I65" s="128">
        <f ca="1">0.15*I82</f>
        <v>5921702.9893882414</v>
      </c>
      <c r="J65" s="129"/>
    </row>
    <row r="66" spans="1:12" ht="7.5" customHeight="1" x14ac:dyDescent="0.25">
      <c r="D66" s="40"/>
      <c r="E66" s="116"/>
      <c r="G66" s="99"/>
      <c r="H66" s="117"/>
      <c r="I66" s="336"/>
    </row>
    <row r="67" spans="1:12" x14ac:dyDescent="0.25">
      <c r="B67" s="101" t="s">
        <v>25</v>
      </c>
      <c r="E67" s="116">
        <f ca="1">+I67/$I$78</f>
        <v>1.3097735644617815E-2</v>
      </c>
      <c r="G67" s="99">
        <f ca="1">+I67/'Unit Mix+Rents'!$D$14</f>
        <v>2378.5501169999998</v>
      </c>
      <c r="H67" s="117"/>
      <c r="I67" s="72">
        <f ca="1">'Surplus Cash-Reserve Waterfall'!B46</f>
        <v>665994.03275999997</v>
      </c>
    </row>
    <row r="68" spans="1:12" x14ac:dyDescent="0.25">
      <c r="B68" s="101" t="s">
        <v>320</v>
      </c>
      <c r="E68" s="116">
        <f ca="1">+I68/$I$78</f>
        <v>1.4401961606608421E-2</v>
      </c>
      <c r="G68" s="99">
        <f ca="1">+I68/'Unit Mix+Rents'!$D$14</f>
        <v>2615.3976835304752</v>
      </c>
      <c r="H68" s="117"/>
      <c r="I68" s="98">
        <f ca="1">'Surplus Cash-Reserve Waterfall'!B47</f>
        <v>732311.35138832463</v>
      </c>
    </row>
    <row r="69" spans="1:12" x14ac:dyDescent="0.25">
      <c r="B69" s="101" t="s">
        <v>265</v>
      </c>
      <c r="E69" s="116">
        <f ca="1">+I69/$I$78</f>
        <v>0</v>
      </c>
      <c r="G69" s="99">
        <f>+I69/'Unit Mix+Rents'!$D$14</f>
        <v>0</v>
      </c>
      <c r="H69" s="117"/>
      <c r="I69" s="336">
        <v>0</v>
      </c>
    </row>
    <row r="70" spans="1:12" x14ac:dyDescent="0.25">
      <c r="B70" s="101" t="s">
        <v>274</v>
      </c>
      <c r="E70" s="116">
        <f ca="1">+I70/$I$78</f>
        <v>0</v>
      </c>
      <c r="G70" s="99">
        <f>+I70/'Unit Mix+Rents'!$D$14</f>
        <v>0</v>
      </c>
      <c r="H70" s="117"/>
      <c r="I70" s="336">
        <v>0</v>
      </c>
    </row>
    <row r="71" spans="1:12" ht="4.5" customHeight="1" x14ac:dyDescent="0.25">
      <c r="E71" s="116"/>
      <c r="G71" s="120"/>
      <c r="H71" s="121"/>
      <c r="I71" s="341"/>
    </row>
    <row r="72" spans="1:12" x14ac:dyDescent="0.25">
      <c r="B72" t="s">
        <v>26</v>
      </c>
      <c r="E72" s="116">
        <f ca="1">+I72/$I$78</f>
        <v>2.7499697251226234E-2</v>
      </c>
      <c r="G72" s="98">
        <f ca="1">+I72/'Unit Mix+Rents'!$D$14</f>
        <v>4993.9478005304745</v>
      </c>
      <c r="H72" s="117"/>
      <c r="I72" s="98">
        <f ca="1">+SUM(I67:I71)</f>
        <v>1398305.3841483246</v>
      </c>
    </row>
    <row r="73" spans="1:12" ht="7.5" customHeight="1" x14ac:dyDescent="0.25">
      <c r="E73" s="116"/>
      <c r="G73" s="99"/>
      <c r="H73" s="117"/>
      <c r="I73" s="336"/>
    </row>
    <row r="74" spans="1:12" x14ac:dyDescent="0.25">
      <c r="B74" t="s">
        <v>32</v>
      </c>
      <c r="D74" s="130"/>
      <c r="E74" s="116">
        <f ca="1">+I74/$I$78</f>
        <v>3.8153643666871066E-2</v>
      </c>
      <c r="G74" s="99">
        <f ca="1">+I74/'Unit Mix+Rents'!$D$14</f>
        <v>6928.7055465273543</v>
      </c>
      <c r="H74" s="117"/>
      <c r="I74" s="72">
        <f ca="1">+'S&amp;U Timing'!D44</f>
        <v>1940037.553031777</v>
      </c>
    </row>
    <row r="75" spans="1:12" ht="7.5" customHeight="1" x14ac:dyDescent="0.25">
      <c r="D75" s="131"/>
      <c r="E75" s="116"/>
      <c r="G75" s="99"/>
      <c r="H75" s="117"/>
      <c r="I75" s="336"/>
    </row>
    <row r="76" spans="1:12" x14ac:dyDescent="0.25">
      <c r="B76" s="95" t="s">
        <v>173</v>
      </c>
      <c r="E76" s="116">
        <f ca="1">+I76/$I$78</f>
        <v>1.9289051370171825E-2</v>
      </c>
      <c r="G76" s="102">
        <f ca="1">+I76/'Unit Mix+Rents'!$D$14</f>
        <v>3502.8936785874457</v>
      </c>
      <c r="H76" s="117"/>
      <c r="I76" s="108">
        <f ca="1">+'Financing Assumptions'!D53</f>
        <v>980810.23000448232</v>
      </c>
    </row>
    <row r="77" spans="1:12" ht="4.5" customHeight="1" x14ac:dyDescent="0.25">
      <c r="E77" s="132"/>
      <c r="G77" s="99"/>
      <c r="H77" s="117"/>
      <c r="I77" s="336"/>
    </row>
    <row r="78" spans="1:12" x14ac:dyDescent="0.25">
      <c r="A78" s="47" t="s">
        <v>6</v>
      </c>
      <c r="C78" s="47"/>
      <c r="D78" s="47"/>
      <c r="E78" s="133">
        <f ca="1">+I78/$I$78</f>
        <v>1</v>
      </c>
      <c r="F78" s="47"/>
      <c r="G78" s="134">
        <f ca="1">+SUM(G30,G63,G65,G72,G74,G76)</f>
        <v>181600.1010813961</v>
      </c>
      <c r="H78" s="135"/>
      <c r="I78" s="134">
        <f ca="1">+SUM(I30,I63,I65,I72,I74,I76)</f>
        <v>50848028.302795611</v>
      </c>
      <c r="K78" s="136"/>
      <c r="L78" s="125"/>
    </row>
    <row r="79" spans="1:12" x14ac:dyDescent="0.25">
      <c r="A79" s="47"/>
      <c r="C79" s="47"/>
      <c r="D79" s="47"/>
      <c r="E79" s="133"/>
      <c r="F79" s="47"/>
      <c r="G79" s="107"/>
      <c r="H79" s="135"/>
      <c r="I79" s="107"/>
      <c r="L79" s="125"/>
    </row>
    <row r="80" spans="1:12" x14ac:dyDescent="0.25">
      <c r="B80" s="137" t="s">
        <v>309</v>
      </c>
      <c r="I80" s="138">
        <f ca="1">+I78-I26</f>
        <v>1.1943280696868896E-5</v>
      </c>
    </row>
    <row r="81" spans="1:11" x14ac:dyDescent="0.25">
      <c r="B81" s="137" t="s">
        <v>271</v>
      </c>
      <c r="C81" s="139"/>
      <c r="D81" s="139"/>
      <c r="E81" s="140"/>
      <c r="F81" s="139"/>
      <c r="G81" s="141"/>
      <c r="H81" s="141"/>
      <c r="I81" s="142">
        <f ca="1">+I43-I38-I39-I40</f>
        <v>30580060.422960728</v>
      </c>
    </row>
    <row r="82" spans="1:11" x14ac:dyDescent="0.25">
      <c r="B82" s="137" t="s">
        <v>273</v>
      </c>
      <c r="C82" s="47"/>
      <c r="D82" s="47"/>
      <c r="E82" s="113"/>
      <c r="F82" s="47"/>
      <c r="G82" s="114"/>
      <c r="H82" s="114"/>
      <c r="I82" s="142">
        <f ca="1">+I78-I30-I65-I72-'Financing Assumptions'!D49</f>
        <v>39478019.929259047</v>
      </c>
      <c r="K82" s="125"/>
    </row>
    <row r="83" spans="1:11" x14ac:dyDescent="0.25">
      <c r="B83" s="137" t="s">
        <v>281</v>
      </c>
      <c r="C83" s="47"/>
      <c r="D83" s="47"/>
      <c r="E83" s="113"/>
      <c r="F83" s="47"/>
      <c r="G83" s="114"/>
      <c r="H83" s="114"/>
      <c r="I83" s="342">
        <v>9999999</v>
      </c>
      <c r="J83" s="143" t="s">
        <v>330</v>
      </c>
    </row>
    <row r="84" spans="1:11" x14ac:dyDescent="0.25">
      <c r="B84" s="137" t="s">
        <v>275</v>
      </c>
      <c r="C84" s="47"/>
      <c r="D84" s="47"/>
      <c r="E84" s="113"/>
      <c r="F84" s="47"/>
      <c r="G84" s="114"/>
      <c r="H84" s="114"/>
      <c r="I84" s="144">
        <f ca="1">+I63/'Unit Mix+Rents'!C14</f>
        <v>127.99710540637338</v>
      </c>
    </row>
    <row r="85" spans="1:11" x14ac:dyDescent="0.25">
      <c r="B85" s="137" t="s">
        <v>283</v>
      </c>
      <c r="C85" s="47"/>
      <c r="D85" s="47"/>
      <c r="E85" s="113"/>
      <c r="F85" s="47"/>
      <c r="G85" s="114"/>
      <c r="H85" s="114"/>
      <c r="I85" s="145">
        <f>H99</f>
        <v>247226.10714285713</v>
      </c>
      <c r="J85" s="143" t="s">
        <v>759</v>
      </c>
    </row>
    <row r="86" spans="1:11" x14ac:dyDescent="0.25">
      <c r="B86" s="137" t="s">
        <v>282</v>
      </c>
      <c r="C86" s="47"/>
      <c r="D86" s="47"/>
      <c r="E86" s="113"/>
      <c r="F86" s="47"/>
      <c r="G86" s="114"/>
      <c r="H86" s="114"/>
      <c r="I86" s="142">
        <f>+I85*'Unit Mix+Rents'!$D$14</f>
        <v>69223310</v>
      </c>
    </row>
    <row r="88" spans="1:11" hidden="1" x14ac:dyDescent="0.25">
      <c r="A88" s="146" t="s">
        <v>747</v>
      </c>
      <c r="B88" s="147" t="s">
        <v>758</v>
      </c>
    </row>
    <row r="89" spans="1:11" hidden="1" x14ac:dyDescent="0.25">
      <c r="G89" s="148" t="s">
        <v>748</v>
      </c>
      <c r="H89" s="148" t="s">
        <v>749</v>
      </c>
      <c r="I89" s="148" t="s">
        <v>750</v>
      </c>
      <c r="J89" s="148" t="s">
        <v>751</v>
      </c>
      <c r="K89" s="148" t="s">
        <v>752</v>
      </c>
    </row>
    <row r="90" spans="1:11" hidden="1" x14ac:dyDescent="0.25">
      <c r="G90" s="149">
        <v>0</v>
      </c>
      <c r="H90" s="125">
        <v>199618</v>
      </c>
      <c r="I90" s="125">
        <v>172976</v>
      </c>
      <c r="J90" s="125">
        <v>156737</v>
      </c>
      <c r="K90" s="125">
        <v>161035</v>
      </c>
    </row>
    <row r="91" spans="1:11" hidden="1" x14ac:dyDescent="0.25">
      <c r="G91" s="149">
        <v>1</v>
      </c>
      <c r="H91" s="125">
        <v>258890</v>
      </c>
      <c r="I91" s="125">
        <v>227077</v>
      </c>
      <c r="J91" s="125">
        <v>213098</v>
      </c>
      <c r="K91" s="125">
        <v>225448</v>
      </c>
    </row>
    <row r="92" spans="1:11" hidden="1" x14ac:dyDescent="0.25">
      <c r="G92" s="149">
        <v>2</v>
      </c>
      <c r="H92" s="125">
        <v>310326</v>
      </c>
      <c r="I92" s="125">
        <v>276477</v>
      </c>
      <c r="J92" s="125">
        <v>269309</v>
      </c>
      <c r="K92" s="125">
        <v>289862</v>
      </c>
    </row>
    <row r="93" spans="1:11" hidden="1" x14ac:dyDescent="0.25">
      <c r="G93" s="149">
        <v>3</v>
      </c>
      <c r="H93" s="125">
        <v>370970</v>
      </c>
      <c r="I93" s="125">
        <v>339946</v>
      </c>
      <c r="J93" s="125">
        <v>354388</v>
      </c>
      <c r="K93" s="125">
        <v>386483</v>
      </c>
    </row>
    <row r="94" spans="1:11" hidden="1" x14ac:dyDescent="0.25">
      <c r="G94" s="149">
        <v>4</v>
      </c>
      <c r="H94" s="125">
        <v>437537</v>
      </c>
      <c r="I94" s="125">
        <v>404791</v>
      </c>
      <c r="J94" s="125">
        <v>438588</v>
      </c>
      <c r="K94" s="125">
        <v>483104</v>
      </c>
    </row>
    <row r="95" spans="1:11" hidden="1" x14ac:dyDescent="0.25"/>
    <row r="96" spans="1:11" hidden="1" x14ac:dyDescent="0.25">
      <c r="G96" s="150" t="s">
        <v>753</v>
      </c>
      <c r="H96" s="343" t="s">
        <v>751</v>
      </c>
    </row>
    <row r="97" spans="7:8" hidden="1" x14ac:dyDescent="0.25">
      <c r="G97" s="151" t="s">
        <v>754</v>
      </c>
      <c r="H97" s="125">
        <f>INDEX($H$90:$K$94,MATCH(1,$G$90:$G$94,0),MATCH($H$96,$H$89:$K$89,0))</f>
        <v>213098</v>
      </c>
    </row>
    <row r="98" spans="7:8" hidden="1" x14ac:dyDescent="0.25">
      <c r="G98" s="151" t="s">
        <v>755</v>
      </c>
      <c r="H98" s="125">
        <f>INDEX($H$90:$K$94,MATCH(2,$G$90:$G$94,0),MATCH($H$96,$H$89:$K$89,0))</f>
        <v>269309</v>
      </c>
    </row>
    <row r="99" spans="7:8" hidden="1" x14ac:dyDescent="0.25">
      <c r="G99" s="150" t="s">
        <v>756</v>
      </c>
      <c r="H99" s="128" cm="1">
        <f t="array" ref="H99">(SUMPRODUCT(('Unit Mix+Rents'!$A$4:$A$13=0)*'Unit Mix+Rents'!$D$4:$D$13)*INDEX($H$90:$K$94,MATCH(0,$G$90:$G$94,0),MATCH($H$96,$H$89:$K$89,0))+SUMPRODUCT(('Unit Mix+Rents'!$A$4:$A$13=1)*'Unit Mix+Rents'!$D$4:$D$13)*H97+SUMPRODUCT(('Unit Mix+Rents'!$A$4:$A$13=2)*'Unit Mix+Rents'!$D$4:$D$13)*H98+SUMPRODUCT(('Unit Mix+Rents'!$A$4:$A$13=3)*'Unit Mix+Rents'!$D$4:$D$13)*INDEX($H$90:$K$94,MATCH(3,$G$90:$G$94,0),MATCH($H$96,$H$89:$K$89,0))+SUMPRODUCT(('Unit Mix+Rents'!$A$4:$A$13=4)*'Unit Mix+Rents'!$D$4:$D$13)*INDEX($H$90:$K$94,MATCH(4,$G$90:$G$94,0),MATCH($H$96,$H$89:$K$89,0)))/'Unit Mix+Rents'!$D$14</f>
        <v>247226.10714285713</v>
      </c>
    </row>
    <row r="100" spans="7:8" hidden="1" x14ac:dyDescent="0.25">
      <c r="G100" s="150" t="s">
        <v>757</v>
      </c>
      <c r="H100" s="128">
        <f>H99*'Unit Mix+Rents'!$D$14</f>
        <v>69223310</v>
      </c>
    </row>
  </sheetData>
  <mergeCells count="1">
    <mergeCell ref="A4:F6"/>
  </mergeCells>
  <conditionalFormatting sqref="G78:G79">
    <cfRule type="cellIs" dxfId="8" priority="2" operator="greaterThan">
      <formula>$I$85</formula>
    </cfRule>
  </conditionalFormatting>
  <conditionalFormatting sqref="I78:I79">
    <cfRule type="cellIs" dxfId="7" priority="1" operator="greaterThan">
      <formula>$I$86</formula>
    </cfRule>
  </conditionalFormatting>
  <pageMargins left="0.5" right="0.5" top="0.5" bottom="0.5" header="0.3" footer="0.3"/>
  <pageSetup scale="90" orientation="portrait" r:id="rId1"/>
  <rowBreaks count="1" manualBreakCount="1">
    <brk id="26" max="6" man="1"/>
  </rowBreak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EA18E-5E3F-4083-BBA8-F611140A6818}">
  <dimension ref="A1:AE56"/>
  <sheetViews>
    <sheetView tabSelected="1" zoomScale="80" zoomScaleNormal="80" workbookViewId="0">
      <selection activeCell="C56" sqref="C56"/>
    </sheetView>
  </sheetViews>
  <sheetFormatPr defaultRowHeight="15" outlineLevelRow="1" outlineLevelCol="1" x14ac:dyDescent="0.25"/>
  <cols>
    <col min="1" max="1" width="1.42578125" customWidth="1"/>
    <col min="2" max="2" width="28" customWidth="1"/>
    <col min="3" max="3" width="6.28515625" customWidth="1"/>
    <col min="4" max="4" width="15.140625" customWidth="1"/>
    <col min="5" max="5" width="13.5703125" style="152" hidden="1" customWidth="1" outlineLevel="1"/>
    <col min="6" max="6" width="13.28515625" customWidth="1" collapsed="1"/>
    <col min="7" max="31" width="13.28515625" customWidth="1"/>
  </cols>
  <sheetData>
    <row r="1" spans="1:31" ht="22.5" customHeight="1" x14ac:dyDescent="0.25">
      <c r="A1" s="38" t="s">
        <v>84</v>
      </c>
    </row>
    <row r="2" spans="1:31" ht="12" customHeight="1" x14ac:dyDescent="0.25">
      <c r="A2" s="31"/>
      <c r="C2" s="31"/>
    </row>
    <row r="4" spans="1:31" x14ac:dyDescent="0.25">
      <c r="D4" s="385" t="s">
        <v>141</v>
      </c>
      <c r="E4" s="388" t="s">
        <v>139</v>
      </c>
      <c r="G4" s="153" t="s">
        <v>140</v>
      </c>
      <c r="H4" s="390" t="s">
        <v>143</v>
      </c>
      <c r="I4" s="390"/>
      <c r="J4" s="390"/>
      <c r="K4" s="390"/>
      <c r="L4" s="391"/>
      <c r="M4" s="389" t="s">
        <v>142</v>
      </c>
      <c r="N4" s="389"/>
      <c r="O4" s="389"/>
      <c r="P4" s="389"/>
      <c r="Q4" s="389"/>
      <c r="R4" s="389"/>
      <c r="S4" s="389"/>
      <c r="T4" s="389"/>
      <c r="U4" s="389"/>
      <c r="V4" s="389"/>
      <c r="W4" s="389"/>
      <c r="X4" s="389"/>
      <c r="Y4" s="389"/>
      <c r="Z4" s="389"/>
      <c r="AA4" s="389"/>
      <c r="AB4" s="389"/>
      <c r="AC4" s="389"/>
      <c r="AD4" s="389"/>
      <c r="AE4" s="154" t="s">
        <v>280</v>
      </c>
    </row>
    <row r="5" spans="1:31" x14ac:dyDescent="0.25">
      <c r="D5" s="386"/>
      <c r="E5" s="388"/>
      <c r="F5" s="155"/>
      <c r="G5" s="156">
        <v>46229</v>
      </c>
      <c r="H5" s="157">
        <f t="shared" ref="H5:AD5" si="0">G5+30</f>
        <v>46259</v>
      </c>
      <c r="I5" s="158">
        <f t="shared" si="0"/>
        <v>46289</v>
      </c>
      <c r="J5" s="158">
        <f t="shared" si="0"/>
        <v>46319</v>
      </c>
      <c r="K5" s="158">
        <f t="shared" si="0"/>
        <v>46349</v>
      </c>
      <c r="L5" s="156">
        <f t="shared" si="0"/>
        <v>46379</v>
      </c>
      <c r="M5" s="157">
        <f t="shared" si="0"/>
        <v>46409</v>
      </c>
      <c r="N5" s="158">
        <f t="shared" si="0"/>
        <v>46439</v>
      </c>
      <c r="O5" s="158">
        <f t="shared" si="0"/>
        <v>46469</v>
      </c>
      <c r="P5" s="158">
        <f t="shared" si="0"/>
        <v>46499</v>
      </c>
      <c r="Q5" s="159">
        <f t="shared" si="0"/>
        <v>46529</v>
      </c>
      <c r="R5" s="157">
        <f t="shared" si="0"/>
        <v>46559</v>
      </c>
      <c r="S5" s="158">
        <f t="shared" si="0"/>
        <v>46589</v>
      </c>
      <c r="T5" s="158">
        <f t="shared" si="0"/>
        <v>46619</v>
      </c>
      <c r="U5" s="158">
        <f t="shared" si="0"/>
        <v>46649</v>
      </c>
      <c r="V5" s="159">
        <f t="shared" si="0"/>
        <v>46679</v>
      </c>
      <c r="W5" s="157">
        <f t="shared" si="0"/>
        <v>46709</v>
      </c>
      <c r="X5" s="157">
        <f t="shared" si="0"/>
        <v>46739</v>
      </c>
      <c r="Y5" s="157">
        <f t="shared" si="0"/>
        <v>46769</v>
      </c>
      <c r="Z5" s="157">
        <f t="shared" si="0"/>
        <v>46799</v>
      </c>
      <c r="AA5" s="157">
        <f t="shared" si="0"/>
        <v>46829</v>
      </c>
      <c r="AB5" s="157">
        <f t="shared" si="0"/>
        <v>46859</v>
      </c>
      <c r="AC5" s="157">
        <f t="shared" si="0"/>
        <v>46889</v>
      </c>
      <c r="AD5" s="157">
        <f t="shared" si="0"/>
        <v>46919</v>
      </c>
      <c r="AE5" s="157">
        <f>AD5+360</f>
        <v>47279</v>
      </c>
    </row>
    <row r="6" spans="1:31" x14ac:dyDescent="0.25">
      <c r="D6" s="387"/>
      <c r="E6" s="388"/>
      <c r="F6" s="160"/>
      <c r="G6" s="161">
        <v>1</v>
      </c>
      <c r="H6" s="162">
        <f t="shared" ref="H6:AD6" si="1">G6+1</f>
        <v>2</v>
      </c>
      <c r="I6" s="163">
        <f t="shared" si="1"/>
        <v>3</v>
      </c>
      <c r="J6" s="163">
        <f t="shared" si="1"/>
        <v>4</v>
      </c>
      <c r="K6" s="163">
        <f t="shared" si="1"/>
        <v>5</v>
      </c>
      <c r="L6" s="161">
        <f t="shared" si="1"/>
        <v>6</v>
      </c>
      <c r="M6" s="162">
        <f t="shared" si="1"/>
        <v>7</v>
      </c>
      <c r="N6" s="163">
        <f t="shared" si="1"/>
        <v>8</v>
      </c>
      <c r="O6" s="163">
        <f t="shared" si="1"/>
        <v>9</v>
      </c>
      <c r="P6" s="163">
        <f t="shared" si="1"/>
        <v>10</v>
      </c>
      <c r="Q6" s="164">
        <f t="shared" si="1"/>
        <v>11</v>
      </c>
      <c r="R6" s="162">
        <f t="shared" si="1"/>
        <v>12</v>
      </c>
      <c r="S6" s="163">
        <f t="shared" si="1"/>
        <v>13</v>
      </c>
      <c r="T6" s="163">
        <f t="shared" si="1"/>
        <v>14</v>
      </c>
      <c r="U6" s="163">
        <f t="shared" si="1"/>
        <v>15</v>
      </c>
      <c r="V6" s="164">
        <f t="shared" si="1"/>
        <v>16</v>
      </c>
      <c r="W6" s="162">
        <f t="shared" si="1"/>
        <v>17</v>
      </c>
      <c r="X6" s="162">
        <f t="shared" si="1"/>
        <v>18</v>
      </c>
      <c r="Y6" s="162">
        <f t="shared" si="1"/>
        <v>19</v>
      </c>
      <c r="Z6" s="162">
        <f t="shared" si="1"/>
        <v>20</v>
      </c>
      <c r="AA6" s="162">
        <f t="shared" si="1"/>
        <v>21</v>
      </c>
      <c r="AB6" s="162">
        <f t="shared" si="1"/>
        <v>22</v>
      </c>
      <c r="AC6" s="162">
        <f t="shared" si="1"/>
        <v>23</v>
      </c>
      <c r="AD6" s="162">
        <f t="shared" si="1"/>
        <v>24</v>
      </c>
      <c r="AE6" s="162" t="s">
        <v>313</v>
      </c>
    </row>
    <row r="7" spans="1:31" ht="4.5" customHeight="1" x14ac:dyDescent="0.25">
      <c r="E7" s="165"/>
      <c r="H7" s="166"/>
      <c r="M7" s="166"/>
      <c r="AE7" s="166"/>
    </row>
    <row r="8" spans="1:31" x14ac:dyDescent="0.25">
      <c r="A8" s="47" t="s">
        <v>7</v>
      </c>
      <c r="E8" s="165"/>
      <c r="H8" s="166"/>
      <c r="M8" s="166"/>
      <c r="AE8" s="166"/>
    </row>
    <row r="9" spans="1:31" ht="7.5" customHeight="1" x14ac:dyDescent="0.25">
      <c r="A9" s="47"/>
      <c r="E9" s="165"/>
      <c r="H9" s="166"/>
      <c r="M9" s="166"/>
      <c r="AE9" s="166"/>
    </row>
    <row r="10" spans="1:31" x14ac:dyDescent="0.25">
      <c r="B10" s="95" t="s">
        <v>8</v>
      </c>
      <c r="D10" s="103">
        <f ca="1">+SUM(G10:AD10)</f>
        <v>26629503.686847329</v>
      </c>
      <c r="E10" s="167"/>
      <c r="F10" s="103"/>
      <c r="G10" s="103">
        <f t="shared" ref="G10:L10" ca="1" si="2">G50</f>
        <v>3126643.0959607535</v>
      </c>
      <c r="H10" s="168">
        <f t="shared" ca="1" si="2"/>
        <v>156085.90613428503</v>
      </c>
      <c r="I10" s="103">
        <f t="shared" ca="1" si="2"/>
        <v>156870.25742139592</v>
      </c>
      <c r="J10" s="103">
        <f t="shared" ca="1" si="2"/>
        <v>157658.55017225648</v>
      </c>
      <c r="K10" s="103">
        <f t="shared" ca="1" si="2"/>
        <v>158450.80419321245</v>
      </c>
      <c r="L10" s="103">
        <f t="shared" ca="1" si="2"/>
        <v>410503.32079717895</v>
      </c>
      <c r="M10" s="168">
        <f t="shared" ref="M10:AD10" ca="1" si="3">+M50</f>
        <v>408677.17373665766</v>
      </c>
      <c r="N10" s="103">
        <f t="shared" ca="1" si="3"/>
        <v>702709.70533246628</v>
      </c>
      <c r="O10" s="103">
        <f t="shared" ca="1" si="3"/>
        <v>999099.38803420425</v>
      </c>
      <c r="P10" s="103">
        <f t="shared" ca="1" si="3"/>
        <v>1297858.0668223079</v>
      </c>
      <c r="Q10" s="103">
        <f t="shared" ca="1" si="3"/>
        <v>1405126.9285139611</v>
      </c>
      <c r="R10" s="103">
        <f t="shared" ca="1" si="3"/>
        <v>1513228.0299435225</v>
      </c>
      <c r="S10" s="103">
        <f t="shared" ca="1" si="3"/>
        <v>1525230.1943772929</v>
      </c>
      <c r="T10" s="103">
        <f t="shared" ca="1" si="3"/>
        <v>1537292.671195013</v>
      </c>
      <c r="U10" s="103">
        <f t="shared" ca="1" si="3"/>
        <v>1549415.7634740174</v>
      </c>
      <c r="V10" s="103">
        <f t="shared" ca="1" si="3"/>
        <v>1561599.7758147372</v>
      </c>
      <c r="W10" s="103">
        <f t="shared" ca="1" si="3"/>
        <v>1476909.6555054609</v>
      </c>
      <c r="X10" s="103">
        <f t="shared" ca="1" si="3"/>
        <v>1488436.1153134701</v>
      </c>
      <c r="Y10" s="103">
        <f t="shared" ca="1" si="3"/>
        <v>1403085.1381876243</v>
      </c>
      <c r="Z10" s="103">
        <f t="shared" ca="1" si="3"/>
        <v>1220076.7026060657</v>
      </c>
      <c r="AA10" s="103">
        <f t="shared" ca="1" si="3"/>
        <v>998912.19718330412</v>
      </c>
      <c r="AB10" s="103">
        <f t="shared" ca="1" si="3"/>
        <v>812699.94086742296</v>
      </c>
      <c r="AC10" s="103">
        <f t="shared" ca="1" si="3"/>
        <v>624965.54410495074</v>
      </c>
      <c r="AD10" s="103">
        <f t="shared" ca="1" si="3"/>
        <v>1937968.7611623781</v>
      </c>
      <c r="AE10" s="168">
        <v>0</v>
      </c>
    </row>
    <row r="11" spans="1:31" x14ac:dyDescent="0.25">
      <c r="B11" s="95" t="s">
        <v>284</v>
      </c>
      <c r="D11" s="72">
        <f ca="1">+SUM(G11:AE11)</f>
        <v>11669369.231810676</v>
      </c>
      <c r="E11" s="167"/>
      <c r="F11" s="72"/>
      <c r="G11" s="72"/>
      <c r="H11" s="169"/>
      <c r="I11" s="72"/>
      <c r="J11" s="72"/>
      <c r="K11" s="72"/>
      <c r="L11" s="72"/>
      <c r="M11" s="170">
        <f ca="1">+$L$52*'Construction Estimates'!$C$30</f>
        <v>233387.38463616764</v>
      </c>
      <c r="N11" s="72">
        <f ca="1">+$L$52*'Construction Estimates'!$C$31</f>
        <v>408427.92311329336</v>
      </c>
      <c r="O11" s="72">
        <f ca="1">+$L$52*'Construction Estimates'!$C$32</f>
        <v>583468.46159041906</v>
      </c>
      <c r="P11" s="72">
        <f ca="1">+$L$52*'Construction Estimates'!$C$33</f>
        <v>758509.00006754475</v>
      </c>
      <c r="Q11" s="72">
        <f ca="1">+$L$52*'Construction Estimates'!$C$34</f>
        <v>816855.84622658673</v>
      </c>
      <c r="R11" s="72">
        <f ca="1">+$L$52*'Construction Estimates'!$C$35</f>
        <v>875202.69238562859</v>
      </c>
      <c r="S11" s="72">
        <f ca="1">+$L$52*'Construction Estimates'!$C$36</f>
        <v>875202.69238562859</v>
      </c>
      <c r="T11" s="72">
        <f ca="1">+$L$52*'Construction Estimates'!$C37</f>
        <v>875202.69238562859</v>
      </c>
      <c r="U11" s="72">
        <f ca="1">+$L$52*'Construction Estimates'!$C$38</f>
        <v>875202.69238562859</v>
      </c>
      <c r="V11" s="72">
        <f ca="1">+$L$52*'Construction Estimates'!$C$39</f>
        <v>875202.69238562859</v>
      </c>
      <c r="W11" s="72">
        <f ca="1">+$L$52*'Construction Estimates'!$C$40</f>
        <v>816855.84622658673</v>
      </c>
      <c r="X11" s="72">
        <f ca="1">+$L$52*'Construction Estimates'!$C$41</f>
        <v>816855.84622658673</v>
      </c>
      <c r="Y11" s="72">
        <f ca="1">+$L$52*'Construction Estimates'!$C$42</f>
        <v>758509.00006754475</v>
      </c>
      <c r="Z11" s="72">
        <f ca="1">+$L$52*'Construction Estimates'!$C$43</f>
        <v>641815.30774946092</v>
      </c>
      <c r="AA11" s="72">
        <f ca="1">+$L$52*'Construction Estimates'!$C$44</f>
        <v>525121.61543137708</v>
      </c>
      <c r="AB11" s="72">
        <f ca="1">+$L$52*'Construction Estimates'!$C$45</f>
        <v>408427.92311329336</v>
      </c>
      <c r="AC11" s="72">
        <f ca="1">+$L$52*'Construction Estimates'!$C$46</f>
        <v>291734.23079520953</v>
      </c>
      <c r="AD11" s="72">
        <f ca="1">+$L$52*'Construction Estimates'!$C$47</f>
        <v>233387.38463616764</v>
      </c>
      <c r="AE11" s="169"/>
    </row>
    <row r="12" spans="1:31" x14ac:dyDescent="0.25">
      <c r="B12" s="95" t="s">
        <v>1</v>
      </c>
      <c r="D12" s="127">
        <f ca="1">+SUM(G12:AE12)</f>
        <v>-11669369.231810674</v>
      </c>
      <c r="E12" s="167"/>
      <c r="F12" s="72"/>
      <c r="G12" s="127"/>
      <c r="H12" s="171"/>
      <c r="I12" s="127"/>
      <c r="J12" s="127"/>
      <c r="K12" s="127"/>
      <c r="L12" s="127"/>
      <c r="M12" s="171">
        <f t="shared" ref="M12:W12" si="4">-M16</f>
        <v>0</v>
      </c>
      <c r="N12" s="127">
        <f t="shared" si="4"/>
        <v>0</v>
      </c>
      <c r="O12" s="127">
        <f t="shared" si="4"/>
        <v>0</v>
      </c>
      <c r="P12" s="127">
        <f t="shared" si="4"/>
        <v>0</v>
      </c>
      <c r="Q12" s="127">
        <f t="shared" si="4"/>
        <v>0</v>
      </c>
      <c r="R12" s="127">
        <f t="shared" si="4"/>
        <v>0</v>
      </c>
      <c r="S12" s="127">
        <f t="shared" si="4"/>
        <v>0</v>
      </c>
      <c r="T12" s="127">
        <f t="shared" si="4"/>
        <v>0</v>
      </c>
      <c r="U12" s="127">
        <f t="shared" si="4"/>
        <v>0</v>
      </c>
      <c r="V12" s="127">
        <f t="shared" si="4"/>
        <v>0</v>
      </c>
      <c r="W12" s="127">
        <f t="shared" si="4"/>
        <v>0</v>
      </c>
      <c r="X12" s="127"/>
      <c r="Y12" s="127"/>
      <c r="Z12" s="127">
        <f ca="1">-Z16</f>
        <v>-7293355.769880238</v>
      </c>
      <c r="AA12" s="127"/>
      <c r="AB12" s="127"/>
      <c r="AC12" s="127"/>
      <c r="AD12" s="127">
        <f>-AD16</f>
        <v>0</v>
      </c>
      <c r="AE12" s="171">
        <f ca="1">-AE16</f>
        <v>-4376013.4619281422</v>
      </c>
    </row>
    <row r="13" spans="1:31" ht="4.5" customHeight="1" x14ac:dyDescent="0.25">
      <c r="B13" s="95"/>
      <c r="D13" s="72"/>
      <c r="E13" s="167"/>
      <c r="F13" s="72"/>
      <c r="G13" s="72"/>
      <c r="H13" s="169"/>
      <c r="I13" s="72"/>
      <c r="J13" s="72"/>
      <c r="K13" s="72"/>
      <c r="L13" s="72"/>
      <c r="M13" s="169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169"/>
    </row>
    <row r="14" spans="1:31" x14ac:dyDescent="0.25">
      <c r="B14" s="95" t="s">
        <v>9</v>
      </c>
      <c r="D14" s="125">
        <f ca="1">SUM(D10:D12)</f>
        <v>26629503.686847329</v>
      </c>
      <c r="E14" s="167"/>
      <c r="F14" s="125"/>
      <c r="G14" s="125">
        <f t="shared" ref="G14:AE14" ca="1" si="5">SUM(G10:G12)</f>
        <v>3126643.0959607535</v>
      </c>
      <c r="H14" s="172">
        <f t="shared" ca="1" si="5"/>
        <v>156085.90613428503</v>
      </c>
      <c r="I14" s="125">
        <f t="shared" ca="1" si="5"/>
        <v>156870.25742139592</v>
      </c>
      <c r="J14" s="125">
        <f t="shared" ca="1" si="5"/>
        <v>157658.55017225648</v>
      </c>
      <c r="K14" s="125">
        <f t="shared" ca="1" si="5"/>
        <v>158450.80419321245</v>
      </c>
      <c r="L14" s="125">
        <f t="shared" ca="1" si="5"/>
        <v>410503.32079717895</v>
      </c>
      <c r="M14" s="172">
        <f t="shared" ca="1" si="5"/>
        <v>642064.55837282527</v>
      </c>
      <c r="N14" s="125">
        <f t="shared" ca="1" si="5"/>
        <v>1111137.6284457596</v>
      </c>
      <c r="O14" s="125">
        <f t="shared" ca="1" si="5"/>
        <v>1582567.8496246233</v>
      </c>
      <c r="P14" s="125">
        <f t="shared" ca="1" si="5"/>
        <v>2056367.0668898528</v>
      </c>
      <c r="Q14" s="125">
        <f t="shared" ca="1" si="5"/>
        <v>2221982.7747405479</v>
      </c>
      <c r="R14" s="125">
        <f t="shared" ca="1" si="5"/>
        <v>2388430.7223291509</v>
      </c>
      <c r="S14" s="125">
        <f t="shared" ca="1" si="5"/>
        <v>2400432.8867629217</v>
      </c>
      <c r="T14" s="125">
        <f t="shared" ca="1" si="5"/>
        <v>2412495.3635806413</v>
      </c>
      <c r="U14" s="125">
        <f t="shared" ca="1" si="5"/>
        <v>2424618.4558596462</v>
      </c>
      <c r="V14" s="125">
        <f t="shared" ca="1" si="5"/>
        <v>2436802.468200366</v>
      </c>
      <c r="W14" s="125">
        <f t="shared" ca="1" si="5"/>
        <v>2293765.5017320476</v>
      </c>
      <c r="X14" s="125">
        <f t="shared" ca="1" si="5"/>
        <v>2305291.9615400569</v>
      </c>
      <c r="Y14" s="125">
        <f t="shared" ca="1" si="5"/>
        <v>2161594.1382551691</v>
      </c>
      <c r="Z14" s="125">
        <f t="shared" ca="1" si="5"/>
        <v>-5431463.7595247114</v>
      </c>
      <c r="AA14" s="125">
        <f t="shared" ca="1" si="5"/>
        <v>1524033.8126146812</v>
      </c>
      <c r="AB14" s="125">
        <f t="shared" ca="1" si="5"/>
        <v>1221127.8639807163</v>
      </c>
      <c r="AC14" s="125">
        <f t="shared" ca="1" si="5"/>
        <v>916699.77490016026</v>
      </c>
      <c r="AD14" s="125">
        <f t="shared" ca="1" si="5"/>
        <v>2171356.1457985458</v>
      </c>
      <c r="AE14" s="172">
        <f t="shared" ca="1" si="5"/>
        <v>-4376013.4619281422</v>
      </c>
    </row>
    <row r="15" spans="1:31" ht="7.5" customHeight="1" x14ac:dyDescent="0.25">
      <c r="B15" s="95"/>
      <c r="D15" s="72"/>
      <c r="E15" s="167"/>
      <c r="F15" s="72"/>
      <c r="G15" s="72"/>
      <c r="H15" s="169"/>
      <c r="I15" s="72"/>
      <c r="J15" s="72"/>
      <c r="K15" s="72"/>
      <c r="L15" s="72"/>
      <c r="M15" s="169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169"/>
    </row>
    <row r="16" spans="1:31" x14ac:dyDescent="0.25">
      <c r="B16" s="95" t="s">
        <v>285</v>
      </c>
      <c r="D16" s="125">
        <f ca="1">'Sources &amp; Uses'!I14</f>
        <v>14586711.539757701</v>
      </c>
      <c r="E16" s="167">
        <f ca="1">D16-SUM(G16:AE16)</f>
        <v>-2.775341272354126E-6</v>
      </c>
      <c r="F16" s="125"/>
      <c r="G16" s="125">
        <f ca="1">0.2*$D$16</f>
        <v>2917342.3079515402</v>
      </c>
      <c r="H16" s="172"/>
      <c r="I16" s="125"/>
      <c r="J16" s="125"/>
      <c r="K16" s="125"/>
      <c r="L16" s="125"/>
      <c r="M16" s="169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>
        <f ca="1">0.5*$D$16</f>
        <v>7293355.7698788503</v>
      </c>
      <c r="AA16" s="72"/>
      <c r="AB16" s="72"/>
      <c r="AC16" s="72"/>
      <c r="AD16" s="125">
        <v>0</v>
      </c>
      <c r="AE16" s="172">
        <f ca="1">+D16-SUM(G16:AD16)</f>
        <v>4376013.4619273096</v>
      </c>
    </row>
    <row r="17" spans="1:31" ht="7.5" customHeight="1" x14ac:dyDescent="0.25">
      <c r="B17" s="95"/>
      <c r="D17" s="72"/>
      <c r="E17" s="167"/>
      <c r="F17" s="72"/>
      <c r="G17" s="72"/>
      <c r="H17" s="169"/>
      <c r="I17" s="72"/>
      <c r="J17" s="72"/>
      <c r="K17" s="72"/>
      <c r="L17" s="72"/>
      <c r="M17" s="169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169"/>
    </row>
    <row r="18" spans="1:31" x14ac:dyDescent="0.25">
      <c r="B18" s="101" t="s">
        <v>337</v>
      </c>
      <c r="D18" s="72">
        <f>'Sources &amp; Uses'!I16</f>
        <v>7500000</v>
      </c>
      <c r="E18" s="167">
        <f>D18-SUM(G18:AE18)</f>
        <v>0</v>
      </c>
      <c r="F18" s="72"/>
      <c r="G18" s="72"/>
      <c r="H18" s="169"/>
      <c r="I18" s="72"/>
      <c r="J18" s="72"/>
      <c r="K18" s="72"/>
      <c r="L18" s="72"/>
      <c r="M18" s="169">
        <f>($D$18-SUM($G$18:$L$18))*'Construction Estimates'!$C30</f>
        <v>150000</v>
      </c>
      <c r="N18" s="72">
        <f>($D$18-SUM($G$18:$L$18))*'Construction Estimates'!$C31</f>
        <v>262500</v>
      </c>
      <c r="O18" s="72">
        <f>($D$18-SUM($G$18:$L$18))*'Construction Estimates'!$C32</f>
        <v>375000</v>
      </c>
      <c r="P18" s="72">
        <f>($D$18-SUM($G$18:$L$18))*'Construction Estimates'!$C33</f>
        <v>487500</v>
      </c>
      <c r="Q18" s="72">
        <f>($D$18-SUM($G$18:$L$18))*'Construction Estimates'!$C34</f>
        <v>525000</v>
      </c>
      <c r="R18" s="72">
        <f>($D$18-SUM($G$18:$L$18))*'Construction Estimates'!$C35</f>
        <v>562500</v>
      </c>
      <c r="S18" s="72">
        <f>($D$18-SUM($G$18:$L$18))*'Construction Estimates'!$C36</f>
        <v>562500</v>
      </c>
      <c r="T18" s="72">
        <f>($D$18-SUM($G$18:$L$18))*'Construction Estimates'!$C37</f>
        <v>562500</v>
      </c>
      <c r="U18" s="72">
        <f>($D$18-SUM($G$18:$L$18))*'Construction Estimates'!$C38</f>
        <v>562500</v>
      </c>
      <c r="V18" s="72">
        <f>($D$18-SUM($G$18:$L$18))*'Construction Estimates'!$C39</f>
        <v>562500</v>
      </c>
      <c r="W18" s="72">
        <f>($D$18-SUM($G$18:$L$18))*'Construction Estimates'!$C40</f>
        <v>525000</v>
      </c>
      <c r="X18" s="72">
        <f>($D$18-SUM($G$18:$L$18))*'Construction Estimates'!$C41</f>
        <v>525000</v>
      </c>
      <c r="Y18" s="72">
        <f>($D$18-SUM($G$18:$L$18))*'Construction Estimates'!$C42</f>
        <v>487500</v>
      </c>
      <c r="Z18" s="72">
        <f>($D$18-SUM($G$18:$L$18))*'Construction Estimates'!$C43</f>
        <v>412500</v>
      </c>
      <c r="AA18" s="72">
        <f>($D$18-SUM($G$18:$L$18))*'Construction Estimates'!$C44</f>
        <v>337500</v>
      </c>
      <c r="AB18" s="72">
        <f>($D$18-SUM($G$18:$L$18))*'Construction Estimates'!$C45</f>
        <v>262500</v>
      </c>
      <c r="AC18" s="72">
        <f>($D$18-SUM($G$18:$L$18))*'Construction Estimates'!$C46</f>
        <v>187500</v>
      </c>
      <c r="AD18" s="72">
        <f>($D$18-SUM($G$18:$L$18))*'Construction Estimates'!$C47</f>
        <v>150000</v>
      </c>
      <c r="AE18" s="169">
        <v>0</v>
      </c>
    </row>
    <row r="19" spans="1:31" x14ac:dyDescent="0.25">
      <c r="B19" s="101" t="s">
        <v>3</v>
      </c>
      <c r="D19" s="127">
        <f>'Sources &amp; Uses'!I17</f>
        <v>0</v>
      </c>
      <c r="E19" s="167">
        <f>D19-SUM(G19:AE19)</f>
        <v>0</v>
      </c>
      <c r="F19" s="72"/>
      <c r="G19" s="127"/>
      <c r="H19" s="171"/>
      <c r="I19" s="127"/>
      <c r="J19" s="127"/>
      <c r="K19" s="127"/>
      <c r="L19" s="127"/>
      <c r="M19" s="171">
        <f>($D$19-SUM($G$19:$L$19))*'Construction Estimates'!$C30</f>
        <v>0</v>
      </c>
      <c r="N19" s="127">
        <f>($D$19-SUM($G$19:$L$19))*'Construction Estimates'!$C31</f>
        <v>0</v>
      </c>
      <c r="O19" s="127">
        <f>($D$19-SUM($G$19:$L$19))*'Construction Estimates'!$C32</f>
        <v>0</v>
      </c>
      <c r="P19" s="127">
        <f>($D$19-SUM($G$19:$L$19))*'Construction Estimates'!$C33</f>
        <v>0</v>
      </c>
      <c r="Q19" s="127">
        <f>($D$19-SUM($G$19:$L$19))*'Construction Estimates'!$C34</f>
        <v>0</v>
      </c>
      <c r="R19" s="127">
        <f>($D$19-SUM($G$19:$L$19))*'Construction Estimates'!$C35</f>
        <v>0</v>
      </c>
      <c r="S19" s="127">
        <f>($D$19-SUM($G$19:$L$19))*'Construction Estimates'!$C36</f>
        <v>0</v>
      </c>
      <c r="T19" s="127">
        <f>($D$19-SUM($G$19:$L$19))*'Construction Estimates'!$C37</f>
        <v>0</v>
      </c>
      <c r="U19" s="127">
        <f>($D$19-SUM($G$19:$L$19))*'Construction Estimates'!$C38</f>
        <v>0</v>
      </c>
      <c r="V19" s="127">
        <f>($D$19-SUM($G$19:$L$19))*'Construction Estimates'!$C39</f>
        <v>0</v>
      </c>
      <c r="W19" s="127">
        <f>($D$19-SUM($G$19:$L$19))*'Construction Estimates'!$C40</f>
        <v>0</v>
      </c>
      <c r="X19" s="127"/>
      <c r="Y19" s="127"/>
      <c r="Z19" s="127"/>
      <c r="AA19" s="127"/>
      <c r="AB19" s="127"/>
      <c r="AC19" s="127"/>
      <c r="AD19" s="127">
        <f>($D$19-SUM($G$19:$L$19))*'Construction Estimates'!$C41</f>
        <v>0</v>
      </c>
      <c r="AE19" s="171">
        <v>0</v>
      </c>
    </row>
    <row r="20" spans="1:31" ht="4.5" customHeight="1" x14ac:dyDescent="0.25">
      <c r="B20" s="101"/>
      <c r="D20" s="72"/>
      <c r="E20" s="167"/>
      <c r="F20" s="72"/>
      <c r="G20" s="72"/>
      <c r="H20" s="169"/>
      <c r="I20" s="72"/>
      <c r="J20" s="72"/>
      <c r="K20" s="72"/>
      <c r="L20" s="72"/>
      <c r="M20" s="169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169"/>
    </row>
    <row r="21" spans="1:31" x14ac:dyDescent="0.25">
      <c r="B21" s="95" t="s">
        <v>36</v>
      </c>
      <c r="D21" s="125">
        <f>SUM(D18:D19)</f>
        <v>7500000</v>
      </c>
      <c r="E21" s="167">
        <f>D21-SUM(G21:AE21)</f>
        <v>0</v>
      </c>
      <c r="F21" s="125"/>
      <c r="G21" s="125">
        <f t="shared" ref="G21:AE21" si="6">SUM(G18:G19)</f>
        <v>0</v>
      </c>
      <c r="H21" s="172">
        <f t="shared" si="6"/>
        <v>0</v>
      </c>
      <c r="I21" s="125">
        <f t="shared" si="6"/>
        <v>0</v>
      </c>
      <c r="J21" s="125">
        <f t="shared" si="6"/>
        <v>0</v>
      </c>
      <c r="K21" s="125">
        <f t="shared" si="6"/>
        <v>0</v>
      </c>
      <c r="L21" s="125">
        <f t="shared" si="6"/>
        <v>0</v>
      </c>
      <c r="M21" s="172">
        <f t="shared" si="6"/>
        <v>150000</v>
      </c>
      <c r="N21" s="125">
        <f t="shared" si="6"/>
        <v>262500</v>
      </c>
      <c r="O21" s="125">
        <f t="shared" si="6"/>
        <v>375000</v>
      </c>
      <c r="P21" s="125">
        <f t="shared" si="6"/>
        <v>487500</v>
      </c>
      <c r="Q21" s="125">
        <f t="shared" si="6"/>
        <v>525000</v>
      </c>
      <c r="R21" s="125">
        <f t="shared" si="6"/>
        <v>562500</v>
      </c>
      <c r="S21" s="125">
        <f t="shared" si="6"/>
        <v>562500</v>
      </c>
      <c r="T21" s="125">
        <f t="shared" si="6"/>
        <v>562500</v>
      </c>
      <c r="U21" s="125">
        <f t="shared" si="6"/>
        <v>562500</v>
      </c>
      <c r="V21" s="125">
        <f t="shared" si="6"/>
        <v>562500</v>
      </c>
      <c r="W21" s="125">
        <f t="shared" si="6"/>
        <v>525000</v>
      </c>
      <c r="X21" s="125">
        <f t="shared" si="6"/>
        <v>525000</v>
      </c>
      <c r="Y21" s="125">
        <f t="shared" si="6"/>
        <v>487500</v>
      </c>
      <c r="Z21" s="125">
        <f t="shared" si="6"/>
        <v>412500</v>
      </c>
      <c r="AA21" s="125">
        <f t="shared" si="6"/>
        <v>337500</v>
      </c>
      <c r="AB21" s="125">
        <f t="shared" si="6"/>
        <v>262500</v>
      </c>
      <c r="AC21" s="125">
        <f t="shared" si="6"/>
        <v>187500</v>
      </c>
      <c r="AD21" s="125">
        <f t="shared" si="6"/>
        <v>150000</v>
      </c>
      <c r="AE21" s="172">
        <f t="shared" si="6"/>
        <v>0</v>
      </c>
    </row>
    <row r="22" spans="1:31" ht="7.5" customHeight="1" x14ac:dyDescent="0.25">
      <c r="B22" s="104"/>
      <c r="D22" s="72"/>
      <c r="E22" s="167"/>
      <c r="F22" s="72"/>
      <c r="G22" s="72"/>
      <c r="H22" s="169"/>
      <c r="I22" s="72"/>
      <c r="J22" s="72"/>
      <c r="K22" s="72"/>
      <c r="L22" s="72"/>
      <c r="M22" s="169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169"/>
    </row>
    <row r="23" spans="1:31" x14ac:dyDescent="0.25">
      <c r="B23" s="101" t="s">
        <v>4</v>
      </c>
      <c r="D23" s="72">
        <v>0</v>
      </c>
      <c r="E23" s="167">
        <f>D23-SUM(G23:AE23)</f>
        <v>0</v>
      </c>
      <c r="F23" s="72"/>
      <c r="G23" s="72"/>
      <c r="H23" s="169"/>
      <c r="I23" s="72"/>
      <c r="J23" s="72"/>
      <c r="K23" s="72"/>
      <c r="L23" s="72"/>
      <c r="M23" s="169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169"/>
    </row>
    <row r="24" spans="1:31" x14ac:dyDescent="0.25">
      <c r="B24" s="101" t="s">
        <v>10</v>
      </c>
      <c r="D24" s="127">
        <f ca="1">+'Sources &amp; Uses'!I22</f>
        <v>2131813.0761792511</v>
      </c>
      <c r="E24" s="167">
        <f ca="1">D24-SUM(G24:AE24)</f>
        <v>-4.6566128730773926E-9</v>
      </c>
      <c r="F24" s="72"/>
      <c r="G24" s="127">
        <v>0</v>
      </c>
      <c r="H24" s="171">
        <v>0</v>
      </c>
      <c r="I24" s="127">
        <v>0</v>
      </c>
      <c r="J24" s="127">
        <v>0</v>
      </c>
      <c r="K24" s="127">
        <v>0</v>
      </c>
      <c r="L24" s="127">
        <v>0</v>
      </c>
      <c r="M24" s="171">
        <f ca="1">+$D$24*'Construction Estimates'!$C$30</f>
        <v>42636.261523585024</v>
      </c>
      <c r="N24" s="127">
        <f ca="1">+$D$24*'Construction Estimates'!$C$31</f>
        <v>74613.457666273796</v>
      </c>
      <c r="O24" s="127">
        <f ca="1">+$D$24*'Construction Estimates'!$C$32</f>
        <v>106590.65380896255</v>
      </c>
      <c r="P24" s="127">
        <f ca="1">+$D$24*'Construction Estimates'!$C$33</f>
        <v>138567.84995165133</v>
      </c>
      <c r="Q24" s="127">
        <f ca="1">+$D$24*'Construction Estimates'!$C$34</f>
        <v>149226.91533254759</v>
      </c>
      <c r="R24" s="127">
        <f ca="1">+$D$24*'Construction Estimates'!$C$35</f>
        <v>159885.98071344383</v>
      </c>
      <c r="S24" s="127">
        <f ca="1">+$D$24*'Construction Estimates'!$C$36</f>
        <v>159885.98071344383</v>
      </c>
      <c r="T24" s="127">
        <f ca="1">+$D$24*'Construction Estimates'!$C$37</f>
        <v>159885.98071344383</v>
      </c>
      <c r="U24" s="127">
        <f ca="1">+$D$24*'Construction Estimates'!$C$38</f>
        <v>159885.98071344383</v>
      </c>
      <c r="V24" s="127">
        <f ca="1">+$D$24*'Construction Estimates'!$C$39</f>
        <v>159885.98071344383</v>
      </c>
      <c r="W24" s="127">
        <f ca="1">+$D$24*'Construction Estimates'!$C$40</f>
        <v>149226.91533254759</v>
      </c>
      <c r="X24" s="127">
        <f ca="1">+$D$24*'Construction Estimates'!$C$41</f>
        <v>149226.91533254759</v>
      </c>
      <c r="Y24" s="127">
        <f ca="1">+$D$24*'Construction Estimates'!$C$42</f>
        <v>138567.84995165133</v>
      </c>
      <c r="Z24" s="127">
        <f ca="1">+$D$24*'Construction Estimates'!$C$43</f>
        <v>117249.71918985881</v>
      </c>
      <c r="AA24" s="127">
        <f ca="1">+$D$24*'Construction Estimates'!$C$44</f>
        <v>95931.588428066301</v>
      </c>
      <c r="AB24" s="127">
        <f ca="1">+$D$24*'Construction Estimates'!$C$45</f>
        <v>74613.457666273796</v>
      </c>
      <c r="AC24" s="127">
        <f ca="1">+$D$24*'Construction Estimates'!$C$46</f>
        <v>53295.326904481277</v>
      </c>
      <c r="AD24" s="127">
        <f ca="1">+$D$24*'Construction Estimates'!$C$47</f>
        <v>42636.261523585024</v>
      </c>
      <c r="AE24" s="171"/>
    </row>
    <row r="25" spans="1:31" ht="4.5" customHeight="1" x14ac:dyDescent="0.25">
      <c r="B25" s="95"/>
      <c r="D25" s="72"/>
      <c r="E25" s="167">
        <f>D25-SUM(G25:AE25)</f>
        <v>0</v>
      </c>
      <c r="F25" s="72"/>
      <c r="G25" s="72"/>
      <c r="H25" s="169"/>
      <c r="I25" s="72"/>
      <c r="J25" s="72"/>
      <c r="K25" s="72"/>
      <c r="L25" s="72"/>
      <c r="M25" s="169"/>
      <c r="N25" s="173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169"/>
    </row>
    <row r="26" spans="1:31" x14ac:dyDescent="0.25">
      <c r="B26" s="95" t="s">
        <v>37</v>
      </c>
      <c r="D26" s="174">
        <f ca="1">D23+D24</f>
        <v>2131813.0761792511</v>
      </c>
      <c r="E26" s="167"/>
      <c r="F26" s="125"/>
      <c r="G26" s="174">
        <f t="shared" ref="G26:AE26" si="7">G23+G24</f>
        <v>0</v>
      </c>
      <c r="H26" s="175">
        <f t="shared" si="7"/>
        <v>0</v>
      </c>
      <c r="I26" s="174">
        <f t="shared" si="7"/>
        <v>0</v>
      </c>
      <c r="J26" s="174">
        <f t="shared" si="7"/>
        <v>0</v>
      </c>
      <c r="K26" s="174">
        <f t="shared" si="7"/>
        <v>0</v>
      </c>
      <c r="L26" s="174">
        <f t="shared" si="7"/>
        <v>0</v>
      </c>
      <c r="M26" s="175">
        <f t="shared" ref="M26:AD26" ca="1" si="8">M23+M24</f>
        <v>42636.261523585024</v>
      </c>
      <c r="N26" s="174">
        <f t="shared" ca="1" si="8"/>
        <v>74613.457666273796</v>
      </c>
      <c r="O26" s="174">
        <f t="shared" ca="1" si="8"/>
        <v>106590.65380896255</v>
      </c>
      <c r="P26" s="174">
        <f t="shared" ca="1" si="8"/>
        <v>138567.84995165133</v>
      </c>
      <c r="Q26" s="174">
        <f t="shared" ca="1" si="8"/>
        <v>149226.91533254759</v>
      </c>
      <c r="R26" s="174">
        <f t="shared" ca="1" si="8"/>
        <v>159885.98071344383</v>
      </c>
      <c r="S26" s="174">
        <f t="shared" ca="1" si="8"/>
        <v>159885.98071344383</v>
      </c>
      <c r="T26" s="174">
        <f t="shared" ca="1" si="8"/>
        <v>159885.98071344383</v>
      </c>
      <c r="U26" s="174">
        <f t="shared" ca="1" si="8"/>
        <v>159885.98071344383</v>
      </c>
      <c r="V26" s="174">
        <f t="shared" ca="1" si="8"/>
        <v>159885.98071344383</v>
      </c>
      <c r="W26" s="174">
        <f t="shared" ca="1" si="8"/>
        <v>149226.91533254759</v>
      </c>
      <c r="X26" s="174">
        <f t="shared" ca="1" si="8"/>
        <v>149226.91533254759</v>
      </c>
      <c r="Y26" s="174">
        <f t="shared" ca="1" si="8"/>
        <v>138567.84995165133</v>
      </c>
      <c r="Z26" s="174">
        <f t="shared" ca="1" si="8"/>
        <v>117249.71918985881</v>
      </c>
      <c r="AA26" s="174">
        <f t="shared" ca="1" si="8"/>
        <v>95931.588428066301</v>
      </c>
      <c r="AB26" s="174">
        <f t="shared" ca="1" si="8"/>
        <v>74613.457666273796</v>
      </c>
      <c r="AC26" s="174">
        <f t="shared" ca="1" si="8"/>
        <v>53295.326904481277</v>
      </c>
      <c r="AD26" s="174">
        <f t="shared" ca="1" si="8"/>
        <v>42636.261523585024</v>
      </c>
      <c r="AE26" s="175">
        <f t="shared" si="7"/>
        <v>0</v>
      </c>
    </row>
    <row r="27" spans="1:31" ht="4.5" customHeight="1" x14ac:dyDescent="0.25">
      <c r="B27" s="95"/>
      <c r="D27" s="72"/>
      <c r="E27" s="167"/>
      <c r="F27" s="72"/>
      <c r="G27" s="72"/>
      <c r="H27" s="169"/>
      <c r="I27" s="72"/>
      <c r="J27" s="72"/>
      <c r="K27" s="72"/>
      <c r="L27" s="72"/>
      <c r="M27" s="169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169"/>
    </row>
    <row r="28" spans="1:31" x14ac:dyDescent="0.25">
      <c r="A28" s="104" t="s">
        <v>5</v>
      </c>
      <c r="D28" s="128">
        <f ca="1">D14+D16+D21+D26</f>
        <v>50848028.302784279</v>
      </c>
      <c r="E28" s="167">
        <f ca="1">D28-SUM(G28:AE28)</f>
        <v>-2.7865171432495117E-6</v>
      </c>
      <c r="F28" s="128"/>
      <c r="G28" s="128">
        <f t="shared" ref="G28:AE28" ca="1" si="9">G14+G16+G21+G26</f>
        <v>6043985.4039122937</v>
      </c>
      <c r="H28" s="176">
        <f t="shared" ca="1" si="9"/>
        <v>156085.90613428503</v>
      </c>
      <c r="I28" s="128">
        <f t="shared" ca="1" si="9"/>
        <v>156870.25742139592</v>
      </c>
      <c r="J28" s="128">
        <f t="shared" ca="1" si="9"/>
        <v>157658.55017225648</v>
      </c>
      <c r="K28" s="128">
        <f t="shared" ca="1" si="9"/>
        <v>158450.80419321245</v>
      </c>
      <c r="L28" s="128">
        <f t="shared" ca="1" si="9"/>
        <v>410503.32079717895</v>
      </c>
      <c r="M28" s="176">
        <f t="shared" ca="1" si="9"/>
        <v>834700.81989641034</v>
      </c>
      <c r="N28" s="128">
        <f t="shared" ca="1" si="9"/>
        <v>1448251.0861120333</v>
      </c>
      <c r="O28" s="128">
        <f t="shared" ca="1" si="9"/>
        <v>2064158.5034335859</v>
      </c>
      <c r="P28" s="128">
        <f t="shared" ca="1" si="9"/>
        <v>2682434.9168415042</v>
      </c>
      <c r="Q28" s="128">
        <f t="shared" ca="1" si="9"/>
        <v>2896209.6900730953</v>
      </c>
      <c r="R28" s="128">
        <f t="shared" ca="1" si="9"/>
        <v>3110816.7030425947</v>
      </c>
      <c r="S28" s="128">
        <f t="shared" ca="1" si="9"/>
        <v>3122818.8674763655</v>
      </c>
      <c r="T28" s="128">
        <f t="shared" ca="1" si="9"/>
        <v>3134881.3442940852</v>
      </c>
      <c r="U28" s="128">
        <f t="shared" ca="1" si="9"/>
        <v>3147004.43657309</v>
      </c>
      <c r="V28" s="128">
        <f t="shared" ca="1" si="9"/>
        <v>3159188.4489138098</v>
      </c>
      <c r="W28" s="128">
        <f t="shared" ca="1" si="9"/>
        <v>2967992.417064595</v>
      </c>
      <c r="X28" s="128">
        <f t="shared" ca="1" si="9"/>
        <v>2979518.8768726042</v>
      </c>
      <c r="Y28" s="128">
        <f t="shared" ca="1" si="9"/>
        <v>2787661.9882068206</v>
      </c>
      <c r="Z28" s="128">
        <f t="shared" ca="1" si="9"/>
        <v>2391641.7295439979</v>
      </c>
      <c r="AA28" s="128">
        <f t="shared" ca="1" si="9"/>
        <v>1957465.4010427475</v>
      </c>
      <c r="AB28" s="128">
        <f t="shared" ca="1" si="9"/>
        <v>1558241.32164699</v>
      </c>
      <c r="AC28" s="128">
        <f t="shared" ca="1" si="9"/>
        <v>1157495.1018046415</v>
      </c>
      <c r="AD28" s="128">
        <f t="shared" ca="1" si="9"/>
        <v>2363992.4073221306</v>
      </c>
      <c r="AE28" s="176">
        <f t="shared" ca="1" si="9"/>
        <v>-8.3260238170623779E-7</v>
      </c>
    </row>
    <row r="29" spans="1:31" x14ac:dyDescent="0.25">
      <c r="D29" s="167"/>
      <c r="E29" s="167"/>
      <c r="F29" s="125"/>
      <c r="G29" s="125"/>
      <c r="H29" s="172"/>
      <c r="I29" s="125"/>
      <c r="J29" s="125"/>
      <c r="K29" s="125"/>
      <c r="L29" s="125"/>
      <c r="M29" s="172"/>
      <c r="N29" s="125"/>
      <c r="O29" s="125"/>
      <c r="P29" s="125"/>
      <c r="Q29" s="125"/>
      <c r="R29" s="125"/>
      <c r="S29" s="125"/>
      <c r="T29" s="125"/>
      <c r="U29" s="125"/>
      <c r="V29" s="125"/>
      <c r="W29" s="125"/>
      <c r="X29" s="125"/>
      <c r="Y29" s="125"/>
      <c r="Z29" s="125"/>
      <c r="AA29" s="125"/>
      <c r="AB29" s="125"/>
      <c r="AC29" s="125"/>
      <c r="AD29" s="125"/>
      <c r="AE29" s="172"/>
    </row>
    <row r="30" spans="1:31" x14ac:dyDescent="0.25">
      <c r="A30" s="104" t="s">
        <v>11</v>
      </c>
      <c r="E30" s="167"/>
      <c r="H30" s="166"/>
      <c r="M30" s="166"/>
      <c r="AE30" s="166"/>
    </row>
    <row r="31" spans="1:31" ht="7.5" customHeight="1" x14ac:dyDescent="0.25">
      <c r="A31" s="101"/>
      <c r="E31" s="167"/>
      <c r="H31" s="166"/>
      <c r="M31" s="166"/>
      <c r="AE31" s="166"/>
    </row>
    <row r="32" spans="1:31" x14ac:dyDescent="0.25">
      <c r="A32" s="101"/>
      <c r="B32" s="101" t="s">
        <v>27</v>
      </c>
      <c r="D32" s="125">
        <f>'Sources &amp; Uses'!I30</f>
        <v>4000000</v>
      </c>
      <c r="E32" s="167">
        <f>D32-SUM(G32:AE32)</f>
        <v>0</v>
      </c>
      <c r="F32" s="125"/>
      <c r="G32" s="125">
        <f>D32</f>
        <v>4000000</v>
      </c>
      <c r="H32" s="172"/>
      <c r="I32" s="125"/>
      <c r="J32" s="125"/>
      <c r="K32" s="125"/>
      <c r="L32" s="125"/>
      <c r="M32" s="172"/>
      <c r="N32" s="125"/>
      <c r="O32" s="125"/>
      <c r="P32" s="125"/>
      <c r="Q32" s="125"/>
      <c r="R32" s="125"/>
      <c r="S32" s="125"/>
      <c r="T32" s="125"/>
      <c r="U32" s="125"/>
      <c r="V32" s="125"/>
      <c r="W32" s="125"/>
      <c r="X32" s="125"/>
      <c r="Y32" s="125"/>
      <c r="Z32" s="125"/>
      <c r="AA32" s="125"/>
      <c r="AB32" s="125"/>
      <c r="AC32" s="125"/>
      <c r="AD32" s="125"/>
      <c r="AE32" s="172"/>
    </row>
    <row r="33" spans="1:31" x14ac:dyDescent="0.25">
      <c r="B33" s="101" t="s">
        <v>15</v>
      </c>
      <c r="D33" s="72">
        <f ca="1">'Sources &amp; Uses'!I43</f>
        <v>34861268.882175229</v>
      </c>
      <c r="E33" s="167">
        <f ca="1">D33-SUM(G33:AE33)</f>
        <v>0</v>
      </c>
      <c r="F33" s="72"/>
      <c r="G33" s="336"/>
      <c r="H33" s="169"/>
      <c r="I33" s="72"/>
      <c r="J33" s="72"/>
      <c r="K33" s="72"/>
      <c r="L33" s="336">
        <v>250000</v>
      </c>
      <c r="M33" s="170">
        <f ca="1">($D$33-$L$33)*'Construction Estimates'!$C30</f>
        <v>692225.37764350465</v>
      </c>
      <c r="N33" s="98">
        <f ca="1">($D$33-$L$33)*'Construction Estimates'!$C31</f>
        <v>1211394.4108761332</v>
      </c>
      <c r="O33" s="98">
        <f ca="1">($D$33-$L$33)*'Construction Estimates'!$C32</f>
        <v>1730563.4441087616</v>
      </c>
      <c r="P33" s="98">
        <f ca="1">($D$33-$L$33)*'Construction Estimates'!$C33</f>
        <v>2249732.4773413902</v>
      </c>
      <c r="Q33" s="98">
        <f ca="1">($D$33-$L$33)*'Construction Estimates'!$C34</f>
        <v>2422788.8217522665</v>
      </c>
      <c r="R33" s="98">
        <f ca="1">($D$33-$L$33)*'Construction Estimates'!$C35</f>
        <v>2595845.1661631423</v>
      </c>
      <c r="S33" s="98">
        <f ca="1">($D$33-$L$33)*'Construction Estimates'!$C36</f>
        <v>2595845.1661631423</v>
      </c>
      <c r="T33" s="98">
        <f ca="1">($D$33-$L$33)*'Construction Estimates'!$C37</f>
        <v>2595845.1661631423</v>
      </c>
      <c r="U33" s="98">
        <f ca="1">($D$33-$L$33)*'Construction Estimates'!$C38</f>
        <v>2595845.1661631423</v>
      </c>
      <c r="V33" s="98">
        <f ca="1">($D$33-$L$33)*'Construction Estimates'!$C39</f>
        <v>2595845.1661631423</v>
      </c>
      <c r="W33" s="98">
        <f ca="1">($D$33-$L$33)*'Construction Estimates'!$C40</f>
        <v>2422788.8217522665</v>
      </c>
      <c r="X33" s="98">
        <f ca="1">($D$33-$L$33)*'Construction Estimates'!$C41</f>
        <v>2422788.8217522665</v>
      </c>
      <c r="Y33" s="98">
        <f ca="1">($D$33-$L$33)*'Construction Estimates'!$C42</f>
        <v>2249732.4773413902</v>
      </c>
      <c r="Z33" s="98">
        <f ca="1">($D$33-$L$33)*'Construction Estimates'!$C43</f>
        <v>1903619.7885196377</v>
      </c>
      <c r="AA33" s="98">
        <f ca="1">($D$33-$L$33)*'Construction Estimates'!$C44</f>
        <v>1557507.0996978853</v>
      </c>
      <c r="AB33" s="98">
        <f ca="1">($D$33-$L$33)*'Construction Estimates'!$C45</f>
        <v>1211394.4108761332</v>
      </c>
      <c r="AC33" s="98">
        <f ca="1">($D$33-$L$33)*'Construction Estimates'!$C46</f>
        <v>865281.72205438081</v>
      </c>
      <c r="AD33" s="98">
        <f ca="1">($D$33-$L$33)*'Construction Estimates'!$C47</f>
        <v>692225.37764350465</v>
      </c>
      <c r="AE33" s="170">
        <v>0</v>
      </c>
    </row>
    <row r="34" spans="1:31" x14ac:dyDescent="0.25">
      <c r="B34" s="101" t="s">
        <v>22</v>
      </c>
      <c r="D34" s="72">
        <f ca="1">'Sources &amp; Uses'!I61</f>
        <v>1745903.2640475677</v>
      </c>
      <c r="E34" s="167">
        <f ca="1">D34-SUM(G34:AE34)</f>
        <v>-3.4458935260772705E-8</v>
      </c>
      <c r="F34" s="72"/>
      <c r="G34" s="72">
        <f ca="1">D34*0.6</f>
        <v>1047541.9584285406</v>
      </c>
      <c r="H34" s="169">
        <f ca="1">(D34-G34)/5</f>
        <v>139672.26112380542</v>
      </c>
      <c r="I34" s="72">
        <f ca="1">H34</f>
        <v>139672.26112380542</v>
      </c>
      <c r="J34" s="72">
        <f ca="1">I34</f>
        <v>139672.26112380542</v>
      </c>
      <c r="K34" s="72">
        <f ca="1">J34</f>
        <v>139672.26112380542</v>
      </c>
      <c r="L34" s="72">
        <f ca="1">K34</f>
        <v>139672.26112380542</v>
      </c>
      <c r="M34" s="169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169"/>
    </row>
    <row r="35" spans="1:31" x14ac:dyDescent="0.25">
      <c r="B35" s="101" t="s">
        <v>24</v>
      </c>
      <c r="D35" s="127">
        <f ca="1">+'Sources &amp; Uses'!I65</f>
        <v>5921702.9893874349</v>
      </c>
      <c r="E35" s="167">
        <f ca="1">D35-SUM(G35:AE35)</f>
        <v>6.2491744756698608E-7</v>
      </c>
      <c r="F35" s="72"/>
      <c r="G35" s="127"/>
      <c r="H35" s="171"/>
      <c r="I35" s="127"/>
      <c r="J35" s="127"/>
      <c r="K35" s="127"/>
      <c r="L35" s="127"/>
      <c r="M35" s="171">
        <f ca="1">$D$35*'Construction Estimates'!$C30</f>
        <v>118434.0597877487</v>
      </c>
      <c r="N35" s="127">
        <f ca="1">$D$35*'Construction Estimates'!$C31</f>
        <v>207259.60462856025</v>
      </c>
      <c r="O35" s="127">
        <f ca="1">$D$35*'Construction Estimates'!$C32</f>
        <v>296085.14946937177</v>
      </c>
      <c r="P35" s="127">
        <f ca="1">$D$35*'Construction Estimates'!$C33</f>
        <v>384910.69431018329</v>
      </c>
      <c r="Q35" s="127">
        <f ca="1">$D$35*'Construction Estimates'!$C34</f>
        <v>414519.2092571205</v>
      </c>
      <c r="R35" s="127">
        <f ca="1">$D$35*'Construction Estimates'!$C35</f>
        <v>444127.72420405759</v>
      </c>
      <c r="S35" s="127">
        <f ca="1">$D$35*'Construction Estimates'!$C36</f>
        <v>444127.72420405759</v>
      </c>
      <c r="T35" s="127">
        <f ca="1">$D$35*'Construction Estimates'!$C37</f>
        <v>444127.72420405759</v>
      </c>
      <c r="U35" s="127">
        <f ca="1">$D$35*'Construction Estimates'!$C38</f>
        <v>444127.72420405759</v>
      </c>
      <c r="V35" s="127">
        <f ca="1">$D$35*'Construction Estimates'!$C39</f>
        <v>444127.72420405759</v>
      </c>
      <c r="W35" s="127">
        <f ca="1">$D$35*'Construction Estimates'!$C40</f>
        <v>414519.2092571205</v>
      </c>
      <c r="X35" s="127">
        <f ca="1">$D$35*'Construction Estimates'!$C41</f>
        <v>414519.2092571205</v>
      </c>
      <c r="Y35" s="127">
        <f ca="1">$D$35*'Construction Estimates'!$C42</f>
        <v>384910.69431018329</v>
      </c>
      <c r="Z35" s="127">
        <f ca="1">$D$35*'Construction Estimates'!$C43</f>
        <v>325693.66441630892</v>
      </c>
      <c r="AA35" s="127">
        <f ca="1">$D$35*'Construction Estimates'!$C44</f>
        <v>266476.63452243456</v>
      </c>
      <c r="AB35" s="127">
        <f ca="1">$D$35*'Construction Estimates'!$C45</f>
        <v>207259.60462856025</v>
      </c>
      <c r="AC35" s="127">
        <f ca="1">$D$35*'Construction Estimates'!$C46</f>
        <v>148042.57473468588</v>
      </c>
      <c r="AD35" s="127">
        <f ca="1">$D$35*'Construction Estimates'!$C47</f>
        <v>118434.0597877487</v>
      </c>
      <c r="AE35" s="171">
        <v>0</v>
      </c>
    </row>
    <row r="36" spans="1:31" ht="4.5" customHeight="1" x14ac:dyDescent="0.25">
      <c r="D36" s="72"/>
      <c r="E36" s="167"/>
      <c r="F36" s="72"/>
      <c r="G36" s="72"/>
      <c r="H36" s="169"/>
      <c r="I36" s="72"/>
      <c r="J36" s="72"/>
      <c r="K36" s="72"/>
      <c r="L36" s="72"/>
      <c r="M36" s="169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169"/>
    </row>
    <row r="37" spans="1:31" x14ac:dyDescent="0.25">
      <c r="B37" s="95" t="s">
        <v>86</v>
      </c>
      <c r="D37" s="125">
        <f ca="1">+SUM(D32:D35)</f>
        <v>46528875.135610238</v>
      </c>
      <c r="E37" s="167">
        <f ca="1">D37-SUM(G37:AE37)</f>
        <v>5.8859586715698242E-7</v>
      </c>
      <c r="F37" s="125"/>
      <c r="G37" s="125">
        <f t="shared" ref="G37:AD37" ca="1" si="10">+SUM(G32:G35)</f>
        <v>5047541.9584285403</v>
      </c>
      <c r="H37" s="172">
        <f t="shared" ca="1" si="10"/>
        <v>139672.26112380542</v>
      </c>
      <c r="I37" s="125">
        <f t="shared" ca="1" si="10"/>
        <v>139672.26112380542</v>
      </c>
      <c r="J37" s="125">
        <f t="shared" ca="1" si="10"/>
        <v>139672.26112380542</v>
      </c>
      <c r="K37" s="125">
        <f t="shared" ca="1" si="10"/>
        <v>139672.26112380542</v>
      </c>
      <c r="L37" s="125">
        <f t="shared" ca="1" si="10"/>
        <v>389672.26112380542</v>
      </c>
      <c r="M37" s="172">
        <f t="shared" ca="1" si="10"/>
        <v>810659.43743125338</v>
      </c>
      <c r="N37" s="125">
        <f t="shared" ca="1" si="10"/>
        <v>1418654.0155046936</v>
      </c>
      <c r="O37" s="125">
        <f t="shared" ca="1" si="10"/>
        <v>2026648.5935781333</v>
      </c>
      <c r="P37" s="125">
        <f t="shared" ca="1" si="10"/>
        <v>2634643.1716515734</v>
      </c>
      <c r="Q37" s="125">
        <f t="shared" ca="1" si="10"/>
        <v>2837308.0310093872</v>
      </c>
      <c r="R37" s="125">
        <f t="shared" ca="1" si="10"/>
        <v>3039972.8903671997</v>
      </c>
      <c r="S37" s="125">
        <f t="shared" ca="1" si="10"/>
        <v>3039972.8903671997</v>
      </c>
      <c r="T37" s="125">
        <f t="shared" ca="1" si="10"/>
        <v>3039972.8903671997</v>
      </c>
      <c r="U37" s="125">
        <f t="shared" ca="1" si="10"/>
        <v>3039972.8903671997</v>
      </c>
      <c r="V37" s="125">
        <f t="shared" ca="1" si="10"/>
        <v>3039972.8903671997</v>
      </c>
      <c r="W37" s="125">
        <f t="shared" ca="1" si="10"/>
        <v>2837308.0310093872</v>
      </c>
      <c r="X37" s="125">
        <f t="shared" ca="1" si="10"/>
        <v>2837308.0310093872</v>
      </c>
      <c r="Y37" s="125">
        <f t="shared" ca="1" si="10"/>
        <v>2634643.1716515734</v>
      </c>
      <c r="Z37" s="125">
        <f t="shared" ca="1" si="10"/>
        <v>2229313.4529359466</v>
      </c>
      <c r="AA37" s="125">
        <f t="shared" ca="1" si="10"/>
        <v>1823983.7342203199</v>
      </c>
      <c r="AB37" s="125">
        <f t="shared" ca="1" si="10"/>
        <v>1418654.0155046936</v>
      </c>
      <c r="AC37" s="125">
        <f t="shared" ca="1" si="10"/>
        <v>1013324.2967890666</v>
      </c>
      <c r="AD37" s="125">
        <f t="shared" ca="1" si="10"/>
        <v>810659.43743125338</v>
      </c>
      <c r="AE37" s="172">
        <f t="shared" ref="AE37" si="11">+SUM(AE32:AE35)</f>
        <v>0</v>
      </c>
    </row>
    <row r="38" spans="1:31" ht="7.5" customHeight="1" x14ac:dyDescent="0.25">
      <c r="D38" s="72"/>
      <c r="E38" s="167"/>
      <c r="F38" s="72"/>
      <c r="G38" s="72"/>
      <c r="H38" s="169"/>
      <c r="I38" s="72"/>
      <c r="J38" s="72"/>
      <c r="K38" s="72"/>
      <c r="L38" s="72"/>
      <c r="M38" s="169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169"/>
    </row>
    <row r="39" spans="1:31" x14ac:dyDescent="0.25">
      <c r="B39" t="s">
        <v>26</v>
      </c>
      <c r="D39" s="72">
        <f ca="1">'Sources &amp; Uses'!I72</f>
        <v>1398305.384148533</v>
      </c>
      <c r="E39" s="167">
        <f ca="1">D39-SUM(G39:AD39)</f>
        <v>-9.383074939250946E-8</v>
      </c>
      <c r="F39" s="72"/>
      <c r="G39" s="72"/>
      <c r="H39" s="169"/>
      <c r="I39" s="72"/>
      <c r="J39" s="72"/>
      <c r="K39" s="72"/>
      <c r="L39" s="72"/>
      <c r="M39" s="169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>
        <f ca="1">+D39</f>
        <v>1398305.384148533</v>
      </c>
      <c r="AE39" s="169">
        <f ca="1">-AE41-AE42</f>
        <v>-1860331.0288769798</v>
      </c>
    </row>
    <row r="40" spans="1:31" ht="7.5" customHeight="1" x14ac:dyDescent="0.25">
      <c r="D40" s="72"/>
      <c r="E40" s="167"/>
      <c r="F40" s="72"/>
      <c r="G40" s="72"/>
      <c r="H40" s="169"/>
      <c r="I40" s="72"/>
      <c r="J40" s="72"/>
      <c r="K40" s="72"/>
      <c r="L40" s="72"/>
      <c r="M40" s="169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169"/>
    </row>
    <row r="41" spans="1:31" x14ac:dyDescent="0.25">
      <c r="B41" t="s">
        <v>32</v>
      </c>
      <c r="C41" s="177"/>
      <c r="D41" s="72">
        <f ca="1">+SUM(G41:AD41)</f>
        <v>1507979.1572239706</v>
      </c>
      <c r="E41" s="167"/>
      <c r="F41" s="72"/>
      <c r="G41" s="72">
        <f ca="1">+'Loan Amortization'!C11</f>
        <v>15633.215479801622</v>
      </c>
      <c r="H41" s="169">
        <f ca="1">+'Loan Amortization'!D11</f>
        <v>16413.645010473461</v>
      </c>
      <c r="I41" s="72">
        <f ca="1">+'Loan Amortization'!E11</f>
        <v>17197.996297583817</v>
      </c>
      <c r="J41" s="72">
        <f ca="1">+'Loan Amortization'!F11</f>
        <v>17986.289048448933</v>
      </c>
      <c r="K41" s="72">
        <f ca="1">+'Loan Amortization'!G11</f>
        <v>18778.543069414238</v>
      </c>
      <c r="L41" s="72">
        <f ca="1">+'Loan Amortization'!H11</f>
        <v>20831.059673390046</v>
      </c>
      <c r="M41" s="169">
        <f ca="1">+'Loan Amortization'!I11</f>
        <v>22874.445542053931</v>
      </c>
      <c r="N41" s="72">
        <f ca="1">+'Loan Amortization'!J11</f>
        <v>26387.994068696797</v>
      </c>
      <c r="O41" s="72">
        <f ca="1">+'Loan Amortization'!K11</f>
        <v>31383.491008865891</v>
      </c>
      <c r="P41" s="72">
        <f ca="1">+'Loan Amortization'!L11</f>
        <v>37872.781343010844</v>
      </c>
      <c r="Q41" s="72">
        <f ca="1">+'Loan Amortization'!M11</f>
        <v>44898.41598565373</v>
      </c>
      <c r="R41" s="72">
        <f ca="1">+'Loan Amortization'!N11</f>
        <v>52464.556135461033</v>
      </c>
      <c r="S41" s="72">
        <f ca="1">+'Loan Amortization'!O11</f>
        <v>60090.707107400289</v>
      </c>
      <c r="T41" s="72">
        <f ca="1">+'Loan Amortization'!P11</f>
        <v>67777.170463325427</v>
      </c>
      <c r="U41" s="72">
        <f ca="1">+'Loan Amortization'!Q11</f>
        <v>75524.249280502947</v>
      </c>
      <c r="V41" s="72">
        <f ca="1">+'Loan Amortization'!R11</f>
        <v>83332.248159271971</v>
      </c>
      <c r="W41" s="72">
        <f ca="1">+'Loan Amortization'!S11</f>
        <v>90716.796436511228</v>
      </c>
      <c r="X41" s="72">
        <f ca="1">+'Loan Amortization'!T11</f>
        <v>98158.97701300928</v>
      </c>
      <c r="Y41" s="72">
        <f ca="1">+'Loan Amortization'!U11</f>
        <v>105174.40270428178</v>
      </c>
      <c r="Z41" s="72">
        <f ca="1">+'Loan Amortization'!V11</f>
        <v>111274.78621808553</v>
      </c>
      <c r="AA41" s="72">
        <f ca="1">+'Loan Amortization'!W11</f>
        <v>116269.34720499978</v>
      </c>
      <c r="AB41" s="72">
        <f ca="1">+'Loan Amortization'!X11</f>
        <v>120332.8469100737</v>
      </c>
      <c r="AC41" s="72">
        <f ca="1">+'Loan Amortization'!Y11</f>
        <v>123457.67463048296</v>
      </c>
      <c r="AD41" s="72">
        <f ca="1">+'Loan Amortization'!Z11</f>
        <v>133147.51843493202</v>
      </c>
      <c r="AE41" s="169">
        <f ca="1">+'Loan Amortization'!AA11</f>
        <v>1597770.2211897133</v>
      </c>
    </row>
    <row r="42" spans="1:31" x14ac:dyDescent="0.25">
      <c r="B42" t="s">
        <v>287</v>
      </c>
      <c r="C42" s="177"/>
      <c r="D42" s="72">
        <f ca="1">+SUM(G42:AD42)</f>
        <v>432058.3958078064</v>
      </c>
      <c r="E42" s="167"/>
      <c r="F42" s="72"/>
      <c r="G42" s="72">
        <f>+'Loan Amortization'!C23</f>
        <v>0</v>
      </c>
      <c r="H42" s="169">
        <f>+'Loan Amortization'!D23</f>
        <v>0</v>
      </c>
      <c r="I42" s="72">
        <f>+'Loan Amortization'!E23</f>
        <v>0</v>
      </c>
      <c r="J42" s="72">
        <f>+'Loan Amortization'!F23</f>
        <v>0</v>
      </c>
      <c r="K42" s="72">
        <f>+'Loan Amortization'!G23</f>
        <v>0</v>
      </c>
      <c r="L42" s="72">
        <f>+'Loan Amortization'!H23</f>
        <v>0</v>
      </c>
      <c r="M42" s="169">
        <f ca="1">+'Loan Amortization'!I23</f>
        <v>1166.9369231810676</v>
      </c>
      <c r="N42" s="72">
        <f ca="1">+'Loan Amortization'!J23</f>
        <v>3209.0765387479751</v>
      </c>
      <c r="O42" s="72">
        <f ca="1">+'Loan Amortization'!K23</f>
        <v>6126.4188467004633</v>
      </c>
      <c r="P42" s="72">
        <f ca="1">+'Loan Amortization'!L23</f>
        <v>9918.9638470382088</v>
      </c>
      <c r="Q42" s="72">
        <f ca="1">+'Loan Amortization'!M23</f>
        <v>14003.243078170675</v>
      </c>
      <c r="R42" s="72">
        <f ca="1">+'Loan Amortization'!N23</f>
        <v>18379.25654009857</v>
      </c>
      <c r="S42" s="72">
        <f ca="1">+'Loan Amortization'!O23</f>
        <v>22755.270002028261</v>
      </c>
      <c r="T42" s="72">
        <f ca="1">+'Loan Amortization'!P23</f>
        <v>27131.283463961641</v>
      </c>
      <c r="U42" s="72">
        <f ca="1">+'Loan Amortization'!Q23</f>
        <v>31507.296925899416</v>
      </c>
      <c r="V42" s="72">
        <f ca="1">+'Loan Amortization'!R23</f>
        <v>35883.310387839323</v>
      </c>
      <c r="W42" s="72">
        <f ca="1">+'Loan Amortization'!S23</f>
        <v>39967.589618980011</v>
      </c>
      <c r="X42" s="72">
        <f ca="1">+'Loan Amortization'!T23</f>
        <v>44051.868850108163</v>
      </c>
      <c r="Y42" s="72">
        <f ca="1">+'Loan Amortization'!U23</f>
        <v>47844.413850421915</v>
      </c>
      <c r="Z42" s="72">
        <f ca="1">+'Loan Amortization'!V23</f>
        <v>51053.490389127437</v>
      </c>
      <c r="AA42" s="72">
        <f ca="1">+'Loan Amortization'!W23</f>
        <v>17212.319616829747</v>
      </c>
      <c r="AB42" s="72">
        <f ca="1">+'Loan Amortization'!X23</f>
        <v>19254.459232383229</v>
      </c>
      <c r="AC42" s="72">
        <f ca="1">+'Loan Amortization'!Y23</f>
        <v>20713.130386405643</v>
      </c>
      <c r="AD42" s="72">
        <f ca="1">+'Loan Amortization'!Z23</f>
        <v>21880.067309695398</v>
      </c>
      <c r="AE42" s="169">
        <f ca="1">+'Loan Amortization'!AA23</f>
        <v>262560.80771799613</v>
      </c>
    </row>
    <row r="43" spans="1:31" ht="4.5" customHeight="1" x14ac:dyDescent="0.25">
      <c r="D43" s="173"/>
      <c r="E43" s="167"/>
      <c r="F43" s="72"/>
      <c r="G43" s="173"/>
      <c r="H43" s="178"/>
      <c r="I43" s="173"/>
      <c r="J43" s="173"/>
      <c r="K43" s="173"/>
      <c r="L43" s="173"/>
      <c r="M43" s="178"/>
      <c r="N43" s="173"/>
      <c r="O43" s="173"/>
      <c r="P43" s="173"/>
      <c r="Q43" s="173"/>
      <c r="R43" s="173"/>
      <c r="S43" s="173"/>
      <c r="T43" s="173"/>
      <c r="U43" s="173"/>
      <c r="V43" s="173"/>
      <c r="W43" s="173"/>
      <c r="X43" s="173"/>
      <c r="Y43" s="173"/>
      <c r="Z43" s="173"/>
      <c r="AA43" s="173"/>
      <c r="AB43" s="173"/>
      <c r="AC43" s="173"/>
      <c r="AD43" s="173"/>
      <c r="AE43" s="178"/>
    </row>
    <row r="44" spans="1:31" x14ac:dyDescent="0.25">
      <c r="B44" s="95" t="s">
        <v>86</v>
      </c>
      <c r="D44" s="125">
        <f ca="1">+SUM(D41:D42)</f>
        <v>1940037.553031777</v>
      </c>
      <c r="E44" s="167">
        <f ca="1">D44-SUM(G44:AD44)</f>
        <v>0</v>
      </c>
      <c r="F44" s="125"/>
      <c r="G44" s="125">
        <f t="shared" ref="G44:AE44" ca="1" si="12">+SUM(G41:G42)</f>
        <v>15633.215479801622</v>
      </c>
      <c r="H44" s="172">
        <f t="shared" ca="1" si="12"/>
        <v>16413.645010473461</v>
      </c>
      <c r="I44" s="125">
        <f t="shared" ca="1" si="12"/>
        <v>17197.996297583817</v>
      </c>
      <c r="J44" s="125">
        <f t="shared" ca="1" si="12"/>
        <v>17986.289048448933</v>
      </c>
      <c r="K44" s="125">
        <f t="shared" ca="1" si="12"/>
        <v>18778.543069414238</v>
      </c>
      <c r="L44" s="125">
        <f t="shared" ca="1" si="12"/>
        <v>20831.059673390046</v>
      </c>
      <c r="M44" s="172">
        <f t="shared" ca="1" si="12"/>
        <v>24041.382465234998</v>
      </c>
      <c r="N44" s="125">
        <f t="shared" ca="1" si="12"/>
        <v>29597.070607444773</v>
      </c>
      <c r="O44" s="125">
        <f t="shared" ca="1" si="12"/>
        <v>37509.909855566351</v>
      </c>
      <c r="P44" s="125">
        <f t="shared" ca="1" si="12"/>
        <v>47791.745190049056</v>
      </c>
      <c r="Q44" s="125">
        <f t="shared" ca="1" si="12"/>
        <v>58901.659063824409</v>
      </c>
      <c r="R44" s="125">
        <f t="shared" ca="1" si="12"/>
        <v>70843.812675559602</v>
      </c>
      <c r="S44" s="125">
        <f t="shared" ca="1" si="12"/>
        <v>82845.977109428553</v>
      </c>
      <c r="T44" s="125">
        <f t="shared" ca="1" si="12"/>
        <v>94908.453927287075</v>
      </c>
      <c r="U44" s="125">
        <f t="shared" ca="1" si="12"/>
        <v>107031.54620640236</v>
      </c>
      <c r="V44" s="125">
        <f t="shared" ca="1" si="12"/>
        <v>119215.55854711129</v>
      </c>
      <c r="W44" s="125">
        <f t="shared" ca="1" si="12"/>
        <v>130684.38605549124</v>
      </c>
      <c r="X44" s="125">
        <f t="shared" ca="1" si="12"/>
        <v>142210.84586311743</v>
      </c>
      <c r="Y44" s="125">
        <f t="shared" ca="1" si="12"/>
        <v>153018.81655470369</v>
      </c>
      <c r="Z44" s="125">
        <f t="shared" ca="1" si="12"/>
        <v>162328.27660721296</v>
      </c>
      <c r="AA44" s="125">
        <f t="shared" ca="1" si="12"/>
        <v>133481.66682182954</v>
      </c>
      <c r="AB44" s="125">
        <f t="shared" ca="1" si="12"/>
        <v>139587.30614245692</v>
      </c>
      <c r="AC44" s="125">
        <f t="shared" ca="1" si="12"/>
        <v>144170.8050168886</v>
      </c>
      <c r="AD44" s="125">
        <f t="shared" ca="1" si="12"/>
        <v>155027.5857446274</v>
      </c>
      <c r="AE44" s="172">
        <f t="shared" ca="1" si="12"/>
        <v>1860331.0289077095</v>
      </c>
    </row>
    <row r="45" spans="1:31" ht="7.5" customHeight="1" x14ac:dyDescent="0.25">
      <c r="D45" s="72"/>
      <c r="E45" s="167"/>
      <c r="F45" s="72"/>
      <c r="G45" s="72"/>
      <c r="H45" s="169"/>
      <c r="I45" s="72"/>
      <c r="J45" s="72"/>
      <c r="K45" s="72"/>
      <c r="L45" s="72"/>
      <c r="M45" s="169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169"/>
    </row>
    <row r="46" spans="1:31" x14ac:dyDescent="0.25">
      <c r="B46" s="95" t="s">
        <v>35</v>
      </c>
      <c r="D46" s="127">
        <f ca="1">+'Financing Assumptions'!D53</f>
        <v>980810.23000448232</v>
      </c>
      <c r="E46" s="167">
        <f ca="1">D46-SUM(G46:AE46)</f>
        <v>-2.4447217583656311E-9</v>
      </c>
      <c r="F46" s="72"/>
      <c r="G46" s="127">
        <f ca="1">+D46</f>
        <v>980810.23000448232</v>
      </c>
      <c r="H46" s="171">
        <v>0</v>
      </c>
      <c r="I46" s="127">
        <v>0</v>
      </c>
      <c r="J46" s="127">
        <v>0</v>
      </c>
      <c r="K46" s="127">
        <v>0</v>
      </c>
      <c r="L46" s="127">
        <v>0</v>
      </c>
      <c r="M46" s="171">
        <v>0</v>
      </c>
      <c r="N46" s="127">
        <v>0</v>
      </c>
      <c r="O46" s="127">
        <v>0</v>
      </c>
      <c r="P46" s="127">
        <v>0</v>
      </c>
      <c r="Q46" s="127">
        <v>0</v>
      </c>
      <c r="R46" s="127">
        <v>0</v>
      </c>
      <c r="S46" s="127">
        <v>0</v>
      </c>
      <c r="T46" s="127">
        <v>0</v>
      </c>
      <c r="U46" s="127">
        <v>0</v>
      </c>
      <c r="V46" s="127">
        <v>0</v>
      </c>
      <c r="W46" s="127">
        <v>0</v>
      </c>
      <c r="X46" s="127">
        <v>0</v>
      </c>
      <c r="Y46" s="127">
        <v>0</v>
      </c>
      <c r="Z46" s="127">
        <v>0</v>
      </c>
      <c r="AA46" s="127">
        <v>0</v>
      </c>
      <c r="AB46" s="127">
        <v>0</v>
      </c>
      <c r="AC46" s="127">
        <v>0</v>
      </c>
      <c r="AD46" s="127">
        <v>0</v>
      </c>
      <c r="AE46" s="171">
        <v>0</v>
      </c>
    </row>
    <row r="47" spans="1:31" ht="4.5" customHeight="1" x14ac:dyDescent="0.25">
      <c r="D47" s="72"/>
      <c r="E47" s="167"/>
      <c r="F47" s="72"/>
      <c r="G47" s="72"/>
      <c r="H47" s="169"/>
      <c r="I47" s="72"/>
      <c r="J47" s="72"/>
      <c r="K47" s="72"/>
      <c r="L47" s="72"/>
      <c r="M47" s="169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169"/>
    </row>
    <row r="48" spans="1:31" x14ac:dyDescent="0.25">
      <c r="A48" s="47" t="s">
        <v>6</v>
      </c>
      <c r="D48" s="128">
        <f ca="1">+SUM(D37,D39,D44,D46)</f>
        <v>50848028.30279503</v>
      </c>
      <c r="E48" s="167">
        <f ca="1">D48-SUM(G48:AD48)</f>
        <v>5.0663948059082031E-7</v>
      </c>
      <c r="F48" s="128"/>
      <c r="G48" s="128">
        <f t="shared" ref="G48:AE48" ca="1" si="13">+SUM(G37,G39,G44,G46)</f>
        <v>6043985.4039128236</v>
      </c>
      <c r="H48" s="176">
        <f t="shared" ca="1" si="13"/>
        <v>156085.90613427889</v>
      </c>
      <c r="I48" s="128">
        <f t="shared" ca="1" si="13"/>
        <v>156870.25742138925</v>
      </c>
      <c r="J48" s="128">
        <f t="shared" ca="1" si="13"/>
        <v>157658.55017225436</v>
      </c>
      <c r="K48" s="128">
        <f t="shared" ca="1" si="13"/>
        <v>158450.80419321966</v>
      </c>
      <c r="L48" s="128">
        <f t="shared" ca="1" si="13"/>
        <v>410503.32079719548</v>
      </c>
      <c r="M48" s="176">
        <f t="shared" ca="1" si="13"/>
        <v>834700.81989648833</v>
      </c>
      <c r="N48" s="128">
        <f t="shared" ca="1" si="13"/>
        <v>1448251.0861121383</v>
      </c>
      <c r="O48" s="128">
        <f t="shared" ca="1" si="13"/>
        <v>2064158.5034336997</v>
      </c>
      <c r="P48" s="128">
        <f t="shared" ca="1" si="13"/>
        <v>2682434.9168416224</v>
      </c>
      <c r="Q48" s="128">
        <f t="shared" ca="1" si="13"/>
        <v>2896209.6900732117</v>
      </c>
      <c r="R48" s="128">
        <f t="shared" ca="1" si="13"/>
        <v>3110816.7030427591</v>
      </c>
      <c r="S48" s="128">
        <f t="shared" ca="1" si="13"/>
        <v>3122818.8674766282</v>
      </c>
      <c r="T48" s="128">
        <f t="shared" ca="1" si="13"/>
        <v>3134881.3442944866</v>
      </c>
      <c r="U48" s="128">
        <f t="shared" ca="1" si="13"/>
        <v>3147004.4365736023</v>
      </c>
      <c r="V48" s="128">
        <f t="shared" ca="1" si="13"/>
        <v>3159188.4489143109</v>
      </c>
      <c r="W48" s="128">
        <f t="shared" ca="1" si="13"/>
        <v>2967992.4170648786</v>
      </c>
      <c r="X48" s="128">
        <f t="shared" ca="1" si="13"/>
        <v>2979518.8768725046</v>
      </c>
      <c r="Y48" s="128">
        <f t="shared" ca="1" si="13"/>
        <v>2787661.9882062771</v>
      </c>
      <c r="Z48" s="128">
        <f t="shared" ca="1" si="13"/>
        <v>2391641.7295431597</v>
      </c>
      <c r="AA48" s="128">
        <f t="shared" ca="1" si="13"/>
        <v>1957465.4010421494</v>
      </c>
      <c r="AB48" s="128">
        <f t="shared" ca="1" si="13"/>
        <v>1558241.3216471504</v>
      </c>
      <c r="AC48" s="128">
        <f t="shared" ca="1" si="13"/>
        <v>1157495.1018059552</v>
      </c>
      <c r="AD48" s="128">
        <f t="shared" ca="1" si="13"/>
        <v>2363992.4073244138</v>
      </c>
      <c r="AE48" s="176">
        <f t="shared" ca="1" si="13"/>
        <v>3.0729686841368675E-5</v>
      </c>
    </row>
    <row r="49" spans="2:31" hidden="1" outlineLevel="1" x14ac:dyDescent="0.25">
      <c r="B49" s="179" t="s">
        <v>139</v>
      </c>
      <c r="D49" s="179">
        <f ca="1">D28-D48</f>
        <v>-1.0751187801361084E-5</v>
      </c>
      <c r="E49" s="167"/>
      <c r="F49" s="179"/>
      <c r="G49" s="179">
        <f t="shared" ref="G49:AE49" ca="1" si="14">G28-G48</f>
        <v>-5.2992254495620728E-7</v>
      </c>
      <c r="H49" s="180">
        <f t="shared" ca="1" si="14"/>
        <v>6.1409082263708115E-9</v>
      </c>
      <c r="I49" s="179">
        <f t="shared" ca="1" si="14"/>
        <v>6.6647771745920181E-9</v>
      </c>
      <c r="J49" s="179">
        <f t="shared" ca="1" si="14"/>
        <v>2.1245796233415604E-9</v>
      </c>
      <c r="K49" s="179">
        <f t="shared" ca="1" si="14"/>
        <v>-7.2177499532699585E-9</v>
      </c>
      <c r="L49" s="179">
        <f t="shared" ca="1" si="14"/>
        <v>-1.6530975699424744E-8</v>
      </c>
      <c r="M49" s="180">
        <f t="shared" ca="1" si="14"/>
        <v>-7.7998265624046326E-8</v>
      </c>
      <c r="N49" s="179">
        <f t="shared" ca="1" si="14"/>
        <v>-1.050066202878952E-7</v>
      </c>
      <c r="O49" s="179">
        <f t="shared" ca="1" si="14"/>
        <v>-1.1385418474674225E-7</v>
      </c>
      <c r="P49" s="179">
        <f t="shared" ca="1" si="14"/>
        <v>-1.1827796697616577E-7</v>
      </c>
      <c r="Q49" s="179">
        <f t="shared" ca="1" si="14"/>
        <v>-1.1641532182693481E-7</v>
      </c>
      <c r="R49" s="179">
        <f t="shared" ca="1" si="14"/>
        <v>-1.6437843441963196E-7</v>
      </c>
      <c r="S49" s="179">
        <f t="shared" ca="1" si="14"/>
        <v>-2.6263296604156494E-7</v>
      </c>
      <c r="T49" s="179">
        <f t="shared" ca="1" si="14"/>
        <v>-4.0140002965927124E-7</v>
      </c>
      <c r="U49" s="179">
        <f t="shared" ca="1" si="14"/>
        <v>-5.1222741603851318E-7</v>
      </c>
      <c r="V49" s="179">
        <f t="shared" ca="1" si="14"/>
        <v>-5.0105154514312744E-7</v>
      </c>
      <c r="W49" s="179">
        <f t="shared" ca="1" si="14"/>
        <v>-2.8358772397041321E-7</v>
      </c>
      <c r="X49" s="179">
        <f t="shared" ca="1" si="14"/>
        <v>9.9651515483856201E-8</v>
      </c>
      <c r="Y49" s="179">
        <f t="shared" ca="1" si="14"/>
        <v>5.4342672228813171E-7</v>
      </c>
      <c r="Z49" s="179">
        <f t="shared" ca="1" si="14"/>
        <v>8.3819031715393066E-7</v>
      </c>
      <c r="AA49" s="179">
        <f t="shared" ca="1" si="14"/>
        <v>5.9814192354679108E-7</v>
      </c>
      <c r="AB49" s="179">
        <f t="shared" ca="1" si="14"/>
        <v>-1.6042031347751617E-7</v>
      </c>
      <c r="AC49" s="179">
        <f t="shared" ca="1" si="14"/>
        <v>-1.3136304914951324E-6</v>
      </c>
      <c r="AD49" s="179">
        <f t="shared" ca="1" si="14"/>
        <v>-2.2831372916698456E-6</v>
      </c>
      <c r="AE49" s="180">
        <f t="shared" ca="1" si="14"/>
        <v>-3.1562289223074913E-5</v>
      </c>
    </row>
    <row r="50" spans="2:31" hidden="1" outlineLevel="1" x14ac:dyDescent="0.25">
      <c r="B50" s="181" t="s">
        <v>144</v>
      </c>
      <c r="D50" s="179"/>
      <c r="E50" s="167"/>
      <c r="F50" s="179"/>
      <c r="G50" s="181">
        <f t="shared" ref="G50:AE50" ca="1" si="15">+G48-SUM(G11,G12,G16,G18,G19,G23,G24)</f>
        <v>3126643.0959612834</v>
      </c>
      <c r="H50" s="182">
        <f t="shared" ca="1" si="15"/>
        <v>156085.90613427889</v>
      </c>
      <c r="I50" s="181">
        <f t="shared" ca="1" si="15"/>
        <v>156870.25742138925</v>
      </c>
      <c r="J50" s="181">
        <f t="shared" ca="1" si="15"/>
        <v>157658.55017225436</v>
      </c>
      <c r="K50" s="181">
        <f t="shared" ca="1" si="15"/>
        <v>158450.80419321966</v>
      </c>
      <c r="L50" s="181">
        <f t="shared" ca="1" si="15"/>
        <v>410503.32079719548</v>
      </c>
      <c r="M50" s="182">
        <f t="shared" ca="1" si="15"/>
        <v>408677.17373673565</v>
      </c>
      <c r="N50" s="181">
        <f t="shared" ca="1" si="15"/>
        <v>702709.70533257117</v>
      </c>
      <c r="O50" s="181">
        <f t="shared" ca="1" si="15"/>
        <v>999099.38803431811</v>
      </c>
      <c r="P50" s="181">
        <f t="shared" ca="1" si="15"/>
        <v>1297858.0668224264</v>
      </c>
      <c r="Q50" s="181">
        <f t="shared" ca="1" si="15"/>
        <v>1405126.9285140773</v>
      </c>
      <c r="R50" s="181">
        <f t="shared" ca="1" si="15"/>
        <v>1513228.0299436867</v>
      </c>
      <c r="S50" s="181">
        <f t="shared" ca="1" si="15"/>
        <v>1525230.1943775557</v>
      </c>
      <c r="T50" s="181">
        <f t="shared" ca="1" si="15"/>
        <v>1537292.6711954142</v>
      </c>
      <c r="U50" s="181">
        <f t="shared" ca="1" si="15"/>
        <v>1549415.7634745298</v>
      </c>
      <c r="V50" s="181">
        <f t="shared" ca="1" si="15"/>
        <v>1561599.7758152385</v>
      </c>
      <c r="W50" s="181">
        <f t="shared" ca="1" si="15"/>
        <v>1476909.6555057443</v>
      </c>
      <c r="X50" s="181">
        <f t="shared" ca="1" si="15"/>
        <v>1488436.1153133702</v>
      </c>
      <c r="Y50" s="181">
        <f t="shared" ca="1" si="15"/>
        <v>1403085.1381870811</v>
      </c>
      <c r="Z50" s="181">
        <f t="shared" ca="1" si="15"/>
        <v>1220076.7026052282</v>
      </c>
      <c r="AA50" s="181">
        <f t="shared" ca="1" si="15"/>
        <v>998912.19718270598</v>
      </c>
      <c r="AB50" s="181">
        <f t="shared" ca="1" si="15"/>
        <v>812699.94086758327</v>
      </c>
      <c r="AC50" s="181">
        <f t="shared" ca="1" si="15"/>
        <v>624965.54410626437</v>
      </c>
      <c r="AD50" s="181">
        <f t="shared" ca="1" si="15"/>
        <v>1937968.761164661</v>
      </c>
      <c r="AE50" s="182">
        <f t="shared" ca="1" si="15"/>
        <v>3.1562289223074913E-5</v>
      </c>
    </row>
    <row r="51" spans="2:31" hidden="1" outlineLevel="1" x14ac:dyDescent="0.25">
      <c r="B51" s="181" t="s">
        <v>145</v>
      </c>
      <c r="E51" s="181"/>
      <c r="F51" s="181"/>
      <c r="G51" s="181">
        <f ca="1">+G50</f>
        <v>3126643.0959612834</v>
      </c>
      <c r="H51" s="182">
        <f t="shared" ref="H51:AE51" ca="1" si="16">+G51+H50</f>
        <v>3282729.0020955624</v>
      </c>
      <c r="I51" s="181">
        <f t="shared" ca="1" si="16"/>
        <v>3439599.2595169516</v>
      </c>
      <c r="J51" s="181">
        <f t="shared" ca="1" si="16"/>
        <v>3597257.8096892061</v>
      </c>
      <c r="K51" s="181">
        <f t="shared" ca="1" si="16"/>
        <v>3755708.6138824257</v>
      </c>
      <c r="L51" s="181">
        <f t="shared" ca="1" si="16"/>
        <v>4166211.9346796214</v>
      </c>
      <c r="M51" s="182">
        <f t="shared" ca="1" si="16"/>
        <v>4574889.1084163571</v>
      </c>
      <c r="N51" s="181">
        <f t="shared" ca="1" si="16"/>
        <v>5277598.8137489278</v>
      </c>
      <c r="O51" s="181">
        <f t="shared" ca="1" si="16"/>
        <v>6276698.2017832454</v>
      </c>
      <c r="P51" s="181">
        <f t="shared" ca="1" si="16"/>
        <v>7574556.2686056718</v>
      </c>
      <c r="Q51" s="181">
        <f t="shared" ca="1" si="16"/>
        <v>8979683.1971197501</v>
      </c>
      <c r="R51" s="181">
        <f t="shared" ca="1" si="16"/>
        <v>10492911.227063436</v>
      </c>
      <c r="S51" s="181">
        <f t="shared" ca="1" si="16"/>
        <v>12018141.421440993</v>
      </c>
      <c r="T51" s="181">
        <f t="shared" ca="1" si="16"/>
        <v>13555434.092636406</v>
      </c>
      <c r="U51" s="181">
        <f t="shared" ca="1" si="16"/>
        <v>15104849.856110936</v>
      </c>
      <c r="V51" s="181">
        <f t="shared" ca="1" si="16"/>
        <v>16666449.631926175</v>
      </c>
      <c r="W51" s="181">
        <f t="shared" ca="1" si="16"/>
        <v>18143359.287431918</v>
      </c>
      <c r="X51" s="181">
        <f t="shared" ca="1" si="16"/>
        <v>19631795.402745288</v>
      </c>
      <c r="Y51" s="181">
        <f t="shared" ca="1" si="16"/>
        <v>21034880.540932368</v>
      </c>
      <c r="Z51" s="181">
        <f t="shared" ca="1" si="16"/>
        <v>22254957.243537597</v>
      </c>
      <c r="AA51" s="181">
        <f t="shared" ca="1" si="16"/>
        <v>23253869.440720305</v>
      </c>
      <c r="AB51" s="181">
        <f t="shared" ca="1" si="16"/>
        <v>24066569.381587889</v>
      </c>
      <c r="AC51" s="181">
        <f t="shared" ca="1" si="16"/>
        <v>24691534.925694153</v>
      </c>
      <c r="AD51" s="181">
        <f t="shared" ca="1" si="16"/>
        <v>26629503.686858814</v>
      </c>
      <c r="AE51" s="182">
        <f t="shared" ca="1" si="16"/>
        <v>26629503.686890375</v>
      </c>
    </row>
    <row r="52" spans="2:31" hidden="1" outlineLevel="1" x14ac:dyDescent="0.25">
      <c r="B52" s="181" t="s">
        <v>286</v>
      </c>
      <c r="E52" s="167"/>
      <c r="G52" s="181">
        <f ca="1">+D16-G11-G16</f>
        <v>11669369.231806161</v>
      </c>
      <c r="H52" s="182">
        <f t="shared" ref="H52:AE52" ca="1" si="17">+G52-H11-H16</f>
        <v>11669369.231806161</v>
      </c>
      <c r="I52" s="181">
        <f t="shared" ca="1" si="17"/>
        <v>11669369.231806161</v>
      </c>
      <c r="J52" s="181">
        <f t="shared" ca="1" si="17"/>
        <v>11669369.231806161</v>
      </c>
      <c r="K52" s="181">
        <f t="shared" ca="1" si="17"/>
        <v>11669369.231806161</v>
      </c>
      <c r="L52" s="181">
        <f t="shared" ca="1" si="17"/>
        <v>11669369.231806161</v>
      </c>
      <c r="M52" s="182">
        <f t="shared" ca="1" si="17"/>
        <v>11435981.847169993</v>
      </c>
      <c r="N52" s="181">
        <f t="shared" ca="1" si="17"/>
        <v>11027553.924056699</v>
      </c>
      <c r="O52" s="181">
        <f t="shared" ca="1" si="17"/>
        <v>10444085.462466281</v>
      </c>
      <c r="P52" s="181">
        <f t="shared" ca="1" si="17"/>
        <v>9685576.4623987358</v>
      </c>
      <c r="Q52" s="181">
        <f t="shared" ca="1" si="17"/>
        <v>8868720.6161721498</v>
      </c>
      <c r="R52" s="181">
        <f t="shared" ca="1" si="17"/>
        <v>7993517.923786521</v>
      </c>
      <c r="S52" s="181">
        <f t="shared" ca="1" si="17"/>
        <v>7118315.2314008921</v>
      </c>
      <c r="T52" s="181">
        <f t="shared" ca="1" si="17"/>
        <v>6243112.5390152633</v>
      </c>
      <c r="U52" s="181">
        <f t="shared" ca="1" si="17"/>
        <v>5367909.8466296345</v>
      </c>
      <c r="V52" s="181">
        <f t="shared" ca="1" si="17"/>
        <v>4492707.1542440057</v>
      </c>
      <c r="W52" s="181">
        <f t="shared" ca="1" si="17"/>
        <v>3675851.3080174187</v>
      </c>
      <c r="X52" s="181">
        <f t="shared" ca="1" si="17"/>
        <v>2858995.4617908318</v>
      </c>
      <c r="Y52" s="181">
        <f t="shared" ca="1" si="17"/>
        <v>2100486.4617232871</v>
      </c>
      <c r="Z52" s="181">
        <f t="shared" ca="1" si="17"/>
        <v>-5834684.6159050241</v>
      </c>
      <c r="AA52" s="181">
        <f t="shared" ca="1" si="17"/>
        <v>-6359806.2313364008</v>
      </c>
      <c r="AB52" s="181">
        <f t="shared" ca="1" si="17"/>
        <v>-6768234.1544496939</v>
      </c>
      <c r="AC52" s="181">
        <f t="shared" ca="1" si="17"/>
        <v>-7059968.3852449032</v>
      </c>
      <c r="AD52" s="181">
        <f t="shared" ca="1" si="17"/>
        <v>-7293355.7698810706</v>
      </c>
      <c r="AE52" s="181">
        <f t="shared" ca="1" si="17"/>
        <v>-11669369.231808379</v>
      </c>
    </row>
    <row r="53" spans="2:31" collapsed="1" x14ac:dyDescent="0.25">
      <c r="D53" s="129"/>
      <c r="E53" s="165"/>
    </row>
    <row r="54" spans="2:31" x14ac:dyDescent="0.25">
      <c r="E54" s="165"/>
    </row>
    <row r="55" spans="2:31" x14ac:dyDescent="0.25">
      <c r="E55" s="165"/>
    </row>
    <row r="56" spans="2:31" x14ac:dyDescent="0.25">
      <c r="E56" s="165"/>
    </row>
  </sheetData>
  <mergeCells count="4">
    <mergeCell ref="D4:D6"/>
    <mergeCell ref="E4:E6"/>
    <mergeCell ref="M4:AD4"/>
    <mergeCell ref="H4:L4"/>
  </mergeCells>
  <pageMargins left="0.5" right="0.5" top="0.5" bottom="0.5" header="0.3" footer="0.3"/>
  <pageSetup scale="85" orientation="landscape" r:id="rId1"/>
  <colBreaks count="1" manualBreakCount="1">
    <brk id="5" max="46" man="1"/>
  </colBreak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48FA0-714D-416F-A346-2FB864629496}">
  <dimension ref="A1:M39"/>
  <sheetViews>
    <sheetView zoomScale="80" zoomScaleNormal="80" workbookViewId="0">
      <selection activeCell="K33" sqref="K33"/>
    </sheetView>
  </sheetViews>
  <sheetFormatPr defaultRowHeight="15" x14ac:dyDescent="0.25"/>
  <cols>
    <col min="1" max="1" width="1.42578125" customWidth="1"/>
    <col min="2" max="2" width="14.42578125" customWidth="1"/>
    <col min="3" max="12" width="11.5703125" customWidth="1"/>
    <col min="13" max="13" width="12" bestFit="1" customWidth="1"/>
    <col min="19" max="19" width="9.140625" customWidth="1"/>
    <col min="21" max="21" width="9.140625" customWidth="1"/>
  </cols>
  <sheetData>
    <row r="1" spans="1:11" ht="22.5" customHeight="1" x14ac:dyDescent="0.25">
      <c r="A1" s="38" t="s">
        <v>56</v>
      </c>
    </row>
    <row r="2" spans="1:11" ht="12" customHeight="1" x14ac:dyDescent="0.25">
      <c r="A2" s="31"/>
      <c r="B2" s="31"/>
      <c r="C2" s="31"/>
    </row>
    <row r="3" spans="1:11" x14ac:dyDescent="0.25">
      <c r="A3" s="40"/>
      <c r="B3" s="40"/>
      <c r="C3" s="40"/>
      <c r="D3" s="40"/>
      <c r="E3" s="40"/>
      <c r="F3" s="40"/>
      <c r="G3" s="40"/>
      <c r="H3" s="183" t="s">
        <v>30</v>
      </c>
      <c r="I3" s="184" t="s">
        <v>41</v>
      </c>
      <c r="J3" s="184" t="s">
        <v>42</v>
      </c>
      <c r="K3" s="184" t="s">
        <v>212</v>
      </c>
    </row>
    <row r="4" spans="1:11" x14ac:dyDescent="0.25">
      <c r="A4" s="40" t="s">
        <v>255</v>
      </c>
      <c r="B4" s="40"/>
      <c r="C4" s="40"/>
      <c r="D4" s="40"/>
      <c r="E4" s="40"/>
      <c r="F4" s="40"/>
      <c r="G4" s="40"/>
      <c r="H4" s="40"/>
      <c r="I4" s="40"/>
      <c r="J4" s="40"/>
      <c r="K4" s="40"/>
    </row>
    <row r="5" spans="1:11" x14ac:dyDescent="0.25">
      <c r="A5" s="185" t="s">
        <v>45</v>
      </c>
      <c r="B5" s="40"/>
      <c r="C5" s="40"/>
      <c r="D5" s="40"/>
      <c r="E5" s="40"/>
      <c r="F5" s="40"/>
      <c r="G5" s="40"/>
      <c r="H5" s="186">
        <f>+I5/'Unit Mix+Rents'!$D$14</f>
        <v>1038.0714285714287</v>
      </c>
      <c r="I5" s="186">
        <f>+J5/12</f>
        <v>290660</v>
      </c>
      <c r="J5" s="186">
        <f>'Unit Mix+Rents'!J14*12</f>
        <v>3487920</v>
      </c>
      <c r="K5" s="186">
        <f>+J5/'Unit Mix+Rents'!$D$14</f>
        <v>12456.857142857143</v>
      </c>
    </row>
    <row r="6" spans="1:11" x14ac:dyDescent="0.25">
      <c r="A6" s="185" t="s">
        <v>210</v>
      </c>
      <c r="B6" s="40"/>
      <c r="C6" s="40"/>
      <c r="D6" s="40"/>
      <c r="E6" s="40"/>
      <c r="F6" s="40"/>
      <c r="G6" s="40"/>
      <c r="H6" s="344">
        <v>5</v>
      </c>
      <c r="I6" s="187">
        <f>+J6/12</f>
        <v>1400</v>
      </c>
      <c r="J6" s="188">
        <f>+H6*'Unit Mix+Rents'!$D$14*12</f>
        <v>16800</v>
      </c>
      <c r="K6" s="188">
        <f>+J6/'Unit Mix+Rents'!$D$14</f>
        <v>60</v>
      </c>
    </row>
    <row r="7" spans="1:11" x14ac:dyDescent="0.25">
      <c r="A7" s="185" t="s">
        <v>211</v>
      </c>
      <c r="B7" s="40"/>
      <c r="C7" s="40"/>
      <c r="D7" s="40"/>
      <c r="E7" s="40"/>
      <c r="F7" s="40"/>
      <c r="G7" s="40"/>
      <c r="H7" s="344">
        <v>5</v>
      </c>
      <c r="I7" s="187">
        <f>+J7/12</f>
        <v>1400</v>
      </c>
      <c r="J7" s="188">
        <f>+H7*'Unit Mix+Rents'!$D$14*12</f>
        <v>16800</v>
      </c>
      <c r="K7" s="188">
        <f>+J7/'Unit Mix+Rents'!$D$14</f>
        <v>60</v>
      </c>
    </row>
    <row r="8" spans="1:11" ht="4.5" customHeight="1" x14ac:dyDescent="0.25">
      <c r="A8" s="189"/>
      <c r="B8" s="40"/>
      <c r="C8" s="40"/>
      <c r="D8" s="40"/>
      <c r="E8" s="40"/>
      <c r="F8" s="40"/>
      <c r="G8" s="40"/>
      <c r="H8" s="190"/>
      <c r="I8" s="190"/>
      <c r="J8" s="191"/>
      <c r="K8" s="191"/>
    </row>
    <row r="9" spans="1:11" x14ac:dyDescent="0.25">
      <c r="A9" s="48" t="s">
        <v>256</v>
      </c>
      <c r="B9" s="48"/>
      <c r="C9" s="48"/>
      <c r="D9" s="48"/>
      <c r="E9" s="48"/>
      <c r="F9" s="48"/>
      <c r="G9" s="48"/>
      <c r="H9" s="192">
        <f>+SUM(H5:H7)</f>
        <v>1048.0714285714287</v>
      </c>
      <c r="I9" s="192">
        <f>+SUM(I5:I7)</f>
        <v>293460</v>
      </c>
      <c r="J9" s="192">
        <f>+SUM(J5:J7)</f>
        <v>3521520</v>
      </c>
      <c r="K9" s="192">
        <f>+SUM(K5:K7)</f>
        <v>12576.857142857143</v>
      </c>
    </row>
    <row r="10" spans="1:11" ht="4.5" customHeight="1" x14ac:dyDescent="0.25">
      <c r="A10" s="189"/>
      <c r="B10" s="40"/>
      <c r="C10" s="40"/>
      <c r="D10" s="193"/>
      <c r="E10" s="40"/>
      <c r="F10" s="40"/>
      <c r="G10" s="40"/>
      <c r="H10" s="187"/>
      <c r="I10" s="187"/>
      <c r="J10" s="98"/>
      <c r="K10" s="98"/>
    </row>
    <row r="11" spans="1:11" ht="15" customHeight="1" x14ac:dyDescent="0.25">
      <c r="A11" s="41" t="s">
        <v>46</v>
      </c>
      <c r="B11" s="40"/>
      <c r="C11" s="40"/>
      <c r="D11" s="345">
        <v>7.0000000000000007E-2</v>
      </c>
      <c r="E11" s="40"/>
      <c r="F11" s="40"/>
      <c r="G11" s="40"/>
      <c r="H11" s="194">
        <f>+I11/'Unit Mix+Rents'!$D$14</f>
        <v>-73.365000000000009</v>
      </c>
      <c r="I11" s="194">
        <f>+J11/12</f>
        <v>-20542.2</v>
      </c>
      <c r="J11" s="194">
        <f>+J9*-D11</f>
        <v>-246506.40000000002</v>
      </c>
      <c r="K11" s="194">
        <f>+J11/'Unit Mix+Rents'!$D$14</f>
        <v>-880.38000000000011</v>
      </c>
    </row>
    <row r="12" spans="1:11" ht="4.5" customHeight="1" x14ac:dyDescent="0.25">
      <c r="A12" s="189"/>
      <c r="B12" s="40"/>
      <c r="C12" s="40"/>
      <c r="D12" s="193"/>
      <c r="E12" s="40"/>
      <c r="F12" s="40"/>
      <c r="G12" s="40"/>
      <c r="H12" s="187"/>
      <c r="I12" s="187"/>
      <c r="J12" s="98"/>
      <c r="K12" s="98"/>
    </row>
    <row r="13" spans="1:11" x14ac:dyDescent="0.25">
      <c r="A13" s="48" t="s">
        <v>257</v>
      </c>
      <c r="B13" s="48"/>
      <c r="C13" s="48"/>
      <c r="D13" s="48"/>
      <c r="E13" s="48"/>
      <c r="F13" s="48"/>
      <c r="G13" s="48"/>
      <c r="H13" s="128">
        <f>+H9+H11</f>
        <v>974.70642857142866</v>
      </c>
      <c r="I13" s="128">
        <f>+I9+I11</f>
        <v>272917.8</v>
      </c>
      <c r="J13" s="128">
        <f>+J9+J11</f>
        <v>3275013.6</v>
      </c>
      <c r="K13" s="128">
        <f>+K9+K11</f>
        <v>11696.477142857144</v>
      </c>
    </row>
    <row r="14" spans="1:11" ht="7.5" customHeight="1" x14ac:dyDescent="0.25">
      <c r="A14" s="40"/>
      <c r="B14" s="40"/>
      <c r="C14" s="40"/>
      <c r="D14" s="40"/>
      <c r="E14" s="40"/>
      <c r="F14" s="40"/>
      <c r="G14" s="40"/>
      <c r="H14" s="98"/>
      <c r="I14" s="98"/>
      <c r="J14" s="98"/>
      <c r="K14" s="98"/>
    </row>
    <row r="15" spans="1:11" x14ac:dyDescent="0.25">
      <c r="A15" s="40" t="s">
        <v>48</v>
      </c>
      <c r="B15" s="40"/>
      <c r="C15" s="40"/>
      <c r="D15" s="40"/>
      <c r="E15" s="40"/>
      <c r="F15" s="40"/>
      <c r="G15" s="40"/>
      <c r="H15" s="98"/>
      <c r="I15" s="98"/>
      <c r="J15" s="98"/>
      <c r="K15" s="98"/>
    </row>
    <row r="16" spans="1:11" x14ac:dyDescent="0.25">
      <c r="A16" s="185" t="s">
        <v>49</v>
      </c>
      <c r="B16" s="40"/>
      <c r="C16" s="41"/>
      <c r="D16" s="345">
        <v>3.5000000000000003E-2</v>
      </c>
      <c r="E16" s="40"/>
      <c r="F16" s="40"/>
      <c r="G16" s="40"/>
      <c r="H16" s="187">
        <f>+I16/'Unit Mix+Rents'!$D$14</f>
        <v>34.114725000000007</v>
      </c>
      <c r="I16" s="187">
        <f t="shared" ref="I16:I24" si="0">+J16/12</f>
        <v>9552.1230000000014</v>
      </c>
      <c r="J16" s="188">
        <f>+J13*D16</f>
        <v>114625.47600000001</v>
      </c>
      <c r="K16" s="188">
        <f>+J16/'Unit Mix+Rents'!$D$14</f>
        <v>409.37670000000003</v>
      </c>
    </row>
    <row r="17" spans="1:13" x14ac:dyDescent="0.25">
      <c r="A17" s="185" t="s">
        <v>217</v>
      </c>
      <c r="B17" s="40"/>
      <c r="C17" s="40"/>
      <c r="D17" s="52"/>
      <c r="E17" s="40"/>
      <c r="F17" s="40"/>
      <c r="G17" s="40"/>
      <c r="H17" s="187">
        <f>+I17/'Unit Mix+Rents'!$D$14</f>
        <v>55.838095238095235</v>
      </c>
      <c r="I17" s="187">
        <f t="shared" si="0"/>
        <v>15634.666666666666</v>
      </c>
      <c r="J17" s="188">
        <f>+'Expense Detail'!F13</f>
        <v>187616</v>
      </c>
      <c r="K17" s="188">
        <f>+J17/'Unit Mix+Rents'!$D$14</f>
        <v>670.05714285714282</v>
      </c>
      <c r="M17" s="136"/>
    </row>
    <row r="18" spans="1:13" x14ac:dyDescent="0.25">
      <c r="A18" s="185" t="s">
        <v>213</v>
      </c>
      <c r="B18" s="40"/>
      <c r="C18" s="40"/>
      <c r="D18" s="40"/>
      <c r="E18" s="40"/>
      <c r="F18" s="40"/>
      <c r="G18" s="40"/>
      <c r="H18" s="187">
        <f>+I18/'Unit Mix+Rents'!$D$14</f>
        <v>63.333333333333329</v>
      </c>
      <c r="I18" s="187">
        <f t="shared" si="0"/>
        <v>17733.333333333332</v>
      </c>
      <c r="J18" s="188">
        <f>+'Expense Detail'!F20</f>
        <v>212800</v>
      </c>
      <c r="K18" s="188">
        <f>+J18/'Unit Mix+Rents'!$D$14</f>
        <v>760</v>
      </c>
    </row>
    <row r="19" spans="1:13" x14ac:dyDescent="0.25">
      <c r="A19" s="185" t="s">
        <v>51</v>
      </c>
      <c r="B19" s="40"/>
      <c r="C19" s="40"/>
      <c r="D19" s="40"/>
      <c r="E19" s="40"/>
      <c r="F19" s="40"/>
      <c r="G19" s="40"/>
      <c r="H19" s="187">
        <f>+I19/'Unit Mix+Rents'!$D$14</f>
        <v>62.535714285714285</v>
      </c>
      <c r="I19" s="187">
        <f t="shared" si="0"/>
        <v>17510</v>
      </c>
      <c r="J19" s="188">
        <f>+'Expense Detail'!F39</f>
        <v>210120</v>
      </c>
      <c r="K19" s="188">
        <f>+J19/'Unit Mix+Rents'!$D$14</f>
        <v>750.42857142857144</v>
      </c>
    </row>
    <row r="20" spans="1:13" x14ac:dyDescent="0.25">
      <c r="A20" s="185" t="s">
        <v>50</v>
      </c>
      <c r="B20" s="40"/>
      <c r="C20" s="40"/>
      <c r="D20" s="40"/>
      <c r="E20" s="40"/>
      <c r="F20" s="40"/>
      <c r="G20" s="40"/>
      <c r="H20" s="187">
        <f>+I20/'Unit Mix+Rents'!$D$14</f>
        <v>17.857142857142858</v>
      </c>
      <c r="I20" s="187">
        <f t="shared" si="0"/>
        <v>5000</v>
      </c>
      <c r="J20" s="188">
        <f>+'Expense Detail'!F50</f>
        <v>60000</v>
      </c>
      <c r="K20" s="188">
        <f>+J20/'Unit Mix+Rents'!$D$14</f>
        <v>214.28571428571428</v>
      </c>
    </row>
    <row r="21" spans="1:13" x14ac:dyDescent="0.25">
      <c r="A21" s="185" t="s">
        <v>216</v>
      </c>
      <c r="B21" s="40"/>
      <c r="C21" s="40"/>
      <c r="D21" s="40"/>
      <c r="E21" s="40"/>
      <c r="F21" s="40"/>
      <c r="G21" s="40"/>
      <c r="H21" s="346">
        <v>45</v>
      </c>
      <c r="I21" s="187">
        <f t="shared" si="0"/>
        <v>1050</v>
      </c>
      <c r="J21" s="188">
        <f>+H21*'Unit Mix+Rents'!$D$14</f>
        <v>12600</v>
      </c>
      <c r="K21" s="188">
        <f>+J21/'Unit Mix+Rents'!$D$14</f>
        <v>45</v>
      </c>
    </row>
    <row r="22" spans="1:13" x14ac:dyDescent="0.25">
      <c r="A22" s="185" t="s">
        <v>214</v>
      </c>
      <c r="B22" s="40"/>
      <c r="C22" s="40"/>
      <c r="D22" s="40"/>
      <c r="E22" s="40"/>
      <c r="F22" s="40"/>
      <c r="G22" s="40"/>
      <c r="H22" s="346">
        <v>100</v>
      </c>
      <c r="I22" s="187">
        <f t="shared" si="0"/>
        <v>2333.3333333333335</v>
      </c>
      <c r="J22" s="188">
        <f>+H22*'Unit Mix+Rents'!$D$14</f>
        <v>28000</v>
      </c>
      <c r="K22" s="188">
        <f>+J22/'Unit Mix+Rents'!$D$14</f>
        <v>100</v>
      </c>
    </row>
    <row r="23" spans="1:13" x14ac:dyDescent="0.25">
      <c r="A23" s="185" t="s">
        <v>215</v>
      </c>
      <c r="B23" s="40"/>
      <c r="C23" s="40"/>
      <c r="D23" s="40"/>
      <c r="E23" s="40"/>
      <c r="F23" s="40"/>
      <c r="G23" s="40"/>
      <c r="H23" s="187">
        <f>+I23/'Unit Mix+Rents'!$D$14</f>
        <v>125</v>
      </c>
      <c r="I23" s="187">
        <f t="shared" si="0"/>
        <v>35000</v>
      </c>
      <c r="J23" s="188">
        <f>+'Expense Detail'!F65</f>
        <v>420000</v>
      </c>
      <c r="K23" s="188">
        <f>+J23/'Unit Mix+Rents'!$D$14</f>
        <v>1500</v>
      </c>
    </row>
    <row r="24" spans="1:13" x14ac:dyDescent="0.25">
      <c r="A24" s="185" t="s">
        <v>179</v>
      </c>
      <c r="B24" s="40"/>
      <c r="C24" s="40"/>
      <c r="D24" s="40"/>
      <c r="E24" s="40"/>
      <c r="F24" s="40"/>
      <c r="G24" s="40"/>
      <c r="H24" s="187">
        <f>+I24/'Unit Mix+Rents'!$D$14</f>
        <v>14.880952380952381</v>
      </c>
      <c r="I24" s="187">
        <f t="shared" si="0"/>
        <v>4166.666666666667</v>
      </c>
      <c r="J24" s="188">
        <f>+'Expense Detail'!F60</f>
        <v>50000</v>
      </c>
      <c r="K24" s="188">
        <f>+J24/'Unit Mix+Rents'!$D$14</f>
        <v>178.57142857142858</v>
      </c>
    </row>
    <row r="25" spans="1:13" ht="4.5" customHeight="1" x14ac:dyDescent="0.25">
      <c r="A25" s="189"/>
      <c r="B25" s="40"/>
      <c r="C25" s="40"/>
      <c r="D25" s="40"/>
      <c r="E25" s="40"/>
      <c r="F25" s="40"/>
      <c r="G25" s="40"/>
      <c r="H25" s="191"/>
      <c r="I25" s="191"/>
      <c r="J25" s="195"/>
      <c r="K25" s="195"/>
    </row>
    <row r="26" spans="1:13" x14ac:dyDescent="0.25">
      <c r="A26" s="48" t="s">
        <v>53</v>
      </c>
      <c r="B26" s="48"/>
      <c r="C26" s="48"/>
      <c r="D26" s="48"/>
      <c r="E26" s="48"/>
      <c r="F26" s="48"/>
      <c r="G26" s="48"/>
      <c r="H26" s="196">
        <f>+SUM(H16:H25)</f>
        <v>518.55996309523812</v>
      </c>
      <c r="I26" s="196">
        <f>+SUM(I16:I25)</f>
        <v>107980.12299999999</v>
      </c>
      <c r="J26" s="196">
        <f>+SUM(J16:J25)</f>
        <v>1295761.476</v>
      </c>
      <c r="K26" s="196">
        <f>+SUM(K16:K25)</f>
        <v>4627.7195571428574</v>
      </c>
    </row>
    <row r="27" spans="1:13" x14ac:dyDescent="0.25">
      <c r="A27" s="197" t="s">
        <v>54</v>
      </c>
      <c r="B27" s="198"/>
      <c r="C27" s="198"/>
      <c r="D27" s="198"/>
      <c r="E27" s="198"/>
      <c r="F27" s="198"/>
      <c r="G27" s="198"/>
      <c r="H27" s="199"/>
      <c r="I27" s="199"/>
      <c r="J27" s="199"/>
      <c r="K27" s="199">
        <f>+K26/K9</f>
        <v>0.36795516595106659</v>
      </c>
    </row>
    <row r="28" spans="1:13" ht="4.5" customHeight="1" x14ac:dyDescent="0.25">
      <c r="A28" s="40"/>
      <c r="B28" s="40"/>
      <c r="C28" s="40"/>
      <c r="D28" s="40"/>
      <c r="E28" s="40"/>
      <c r="F28" s="40"/>
      <c r="G28" s="40"/>
      <c r="H28" s="191"/>
      <c r="I28" s="191"/>
      <c r="J28" s="191"/>
      <c r="K28" s="191"/>
    </row>
    <row r="29" spans="1:13" x14ac:dyDescent="0.25">
      <c r="A29" s="48" t="s">
        <v>55</v>
      </c>
      <c r="B29" s="48"/>
      <c r="C29" s="48"/>
      <c r="D29" s="48"/>
      <c r="E29" s="48"/>
      <c r="F29" s="48"/>
      <c r="G29" s="48"/>
      <c r="H29" s="107">
        <f>+H13-H26</f>
        <v>456.14646547619054</v>
      </c>
      <c r="I29" s="107">
        <f>+I13-I26</f>
        <v>164937.677</v>
      </c>
      <c r="J29" s="107">
        <f>+J13-J26</f>
        <v>1979252.1240000001</v>
      </c>
      <c r="K29" s="107">
        <f>+K13-K26</f>
        <v>7068.7575857142865</v>
      </c>
      <c r="M29" s="125"/>
    </row>
    <row r="30" spans="1:13" x14ac:dyDescent="0.25">
      <c r="A30" s="197" t="s">
        <v>106</v>
      </c>
      <c r="B30" s="198"/>
      <c r="C30" s="198"/>
      <c r="D30" s="198"/>
      <c r="E30" s="198"/>
      <c r="F30" s="198"/>
      <c r="G30" s="198"/>
      <c r="H30" s="199"/>
      <c r="I30" s="199"/>
      <c r="J30" s="199"/>
      <c r="K30" s="199">
        <f>+K29/K9</f>
        <v>0.56204483404893346</v>
      </c>
    </row>
    <row r="31" spans="1:13" ht="7.5" customHeight="1" x14ac:dyDescent="0.25"/>
    <row r="32" spans="1:13" ht="4.5" customHeight="1" x14ac:dyDescent="0.25">
      <c r="A32" s="197"/>
      <c r="B32" s="198"/>
      <c r="C32" s="198"/>
      <c r="D32" s="198"/>
      <c r="E32" s="198"/>
      <c r="F32" s="198"/>
      <c r="G32" s="198"/>
      <c r="H32" s="199"/>
      <c r="I32" s="199"/>
      <c r="J32" s="199"/>
      <c r="K32" s="199"/>
    </row>
    <row r="33" spans="1:11" x14ac:dyDescent="0.25">
      <c r="A33" s="185" t="s">
        <v>52</v>
      </c>
      <c r="B33" s="40"/>
      <c r="C33" s="40"/>
      <c r="D33" s="40"/>
      <c r="E33" s="40"/>
      <c r="F33" s="40"/>
      <c r="G33" s="40"/>
      <c r="H33" s="187">
        <f>+I33/'Unit Mix+Rents'!$D$14</f>
        <v>41.666666666666664</v>
      </c>
      <c r="I33" s="98">
        <f>+J33/12</f>
        <v>11666.666666666666</v>
      </c>
      <c r="J33" s="188">
        <f>+K33*'Unit Mix+Rents'!$D$14</f>
        <v>140000</v>
      </c>
      <c r="K33" s="347">
        <v>500</v>
      </c>
    </row>
    <row r="34" spans="1:11" x14ac:dyDescent="0.25">
      <c r="A34" s="185" t="s">
        <v>109</v>
      </c>
      <c r="H34" s="72">
        <f ca="1">+I34/'Unit Mix+Rents'!$D$14</f>
        <v>15.850895051701883</v>
      </c>
      <c r="I34" s="72">
        <f ca="1">+J34/12</f>
        <v>4438.2506144759564</v>
      </c>
      <c r="J34" s="72">
        <f ca="1">+'17-year Pro Forma'!D35</f>
        <v>53259.007373696331</v>
      </c>
      <c r="K34" s="72">
        <f ca="1">+J34/'Unit Mix+Rents'!$D$14</f>
        <v>190.21074062034404</v>
      </c>
    </row>
    <row r="35" spans="1:11" x14ac:dyDescent="0.25">
      <c r="A35" s="185" t="s">
        <v>110</v>
      </c>
      <c r="H35" s="72">
        <f>+I35/'Unit Mix+Rents'!$D$14</f>
        <v>1.4880952380952381</v>
      </c>
      <c r="I35" s="72">
        <f>+J35/12</f>
        <v>416.66666666666669</v>
      </c>
      <c r="J35" s="72">
        <f>+'17-year Pro Forma'!D36</f>
        <v>5000</v>
      </c>
      <c r="K35" s="72">
        <f>+J35/'Unit Mix+Rents'!$D$14</f>
        <v>17.857142857142858</v>
      </c>
    </row>
    <row r="36" spans="1:11" x14ac:dyDescent="0.25">
      <c r="A36" s="101" t="s">
        <v>115</v>
      </c>
      <c r="H36" s="127">
        <f ca="1">+I36/'Unit Mix+Rents'!$D$14</f>
        <v>7.9254475258509416</v>
      </c>
      <c r="I36" s="127">
        <f ca="1">+J36/12</f>
        <v>2219.1253072379782</v>
      </c>
      <c r="J36" s="127">
        <f ca="1">+'17-year Pro Forma'!D37</f>
        <v>26629.503686848166</v>
      </c>
      <c r="K36" s="127">
        <f ca="1">+J36/'Unit Mix+Rents'!$D$14</f>
        <v>95.10537031017202</v>
      </c>
    </row>
    <row r="37" spans="1:11" ht="7.5" customHeight="1" x14ac:dyDescent="0.25">
      <c r="A37" s="40"/>
      <c r="B37" s="40"/>
      <c r="C37" s="40"/>
      <c r="D37" s="40"/>
      <c r="E37" s="40"/>
      <c r="F37" s="40"/>
      <c r="G37" s="40"/>
      <c r="H37" s="98"/>
      <c r="I37" s="98"/>
      <c r="J37" s="98"/>
      <c r="K37" s="98"/>
    </row>
    <row r="38" spans="1:11" x14ac:dyDescent="0.25">
      <c r="A38" s="48" t="s">
        <v>248</v>
      </c>
      <c r="B38" s="48"/>
      <c r="C38" s="48"/>
      <c r="D38" s="48"/>
      <c r="E38" s="48"/>
      <c r="F38" s="48"/>
      <c r="G38" s="48"/>
      <c r="H38" s="107">
        <f ca="1">+H29-SUM(H34:H36)</f>
        <v>430.88202766054246</v>
      </c>
      <c r="I38" s="107">
        <f ca="1">+I29-SUM(I34:I36)</f>
        <v>157863.63441161939</v>
      </c>
      <c r="J38" s="107">
        <f ca="1">+J29-SUM(J34:J36)</f>
        <v>1894363.6129394555</v>
      </c>
      <c r="K38" s="107">
        <f ca="1">+K29-SUM(K34:K36)</f>
        <v>6765.5843319266278</v>
      </c>
    </row>
    <row r="39" spans="1:11" x14ac:dyDescent="0.25">
      <c r="A39" s="197" t="s">
        <v>252</v>
      </c>
      <c r="B39" s="198"/>
      <c r="C39" s="198"/>
      <c r="D39" s="198"/>
      <c r="E39" s="198"/>
      <c r="F39" s="198"/>
      <c r="G39" s="198"/>
      <c r="H39" s="199"/>
      <c r="I39" s="199"/>
      <c r="J39" s="199">
        <f ca="1">+J38/J13</f>
        <v>0.57842923551201608</v>
      </c>
      <c r="K39" s="199">
        <f ca="1">+K38/K13</f>
        <v>0.57842923551201608</v>
      </c>
    </row>
  </sheetData>
  <phoneticPr fontId="17" type="noConversion"/>
  <pageMargins left="0.5" right="0.5" top="0.5" bottom="0.5" header="0.3" footer="0.3"/>
  <pageSetup scale="7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705F0-6465-4974-A00D-AEC2DEFDC66B}">
  <dimension ref="A1:P55"/>
  <sheetViews>
    <sheetView zoomScale="80" zoomScaleNormal="80" workbookViewId="0">
      <selection activeCell="F1" sqref="F1"/>
    </sheetView>
  </sheetViews>
  <sheetFormatPr defaultRowHeight="15" x14ac:dyDescent="0.25"/>
  <cols>
    <col min="1" max="1" width="1.42578125" customWidth="1"/>
    <col min="2" max="3" width="15.7109375" customWidth="1"/>
    <col min="4" max="16" width="12.85546875" customWidth="1"/>
  </cols>
  <sheetData>
    <row r="1" spans="1:16" ht="22.5" customHeight="1" x14ac:dyDescent="0.25">
      <c r="A1" s="38" t="s">
        <v>338</v>
      </c>
    </row>
    <row r="2" spans="1:16" ht="12" customHeight="1" x14ac:dyDescent="0.25">
      <c r="A2" s="31"/>
      <c r="C2" s="31"/>
    </row>
    <row r="4" spans="1:16" x14ac:dyDescent="0.25">
      <c r="D4" s="67" t="s">
        <v>339</v>
      </c>
      <c r="E4" s="67" t="s">
        <v>340</v>
      </c>
      <c r="F4" s="67" t="s">
        <v>341</v>
      </c>
      <c r="G4" s="67" t="s">
        <v>342</v>
      </c>
      <c r="H4" s="67" t="s">
        <v>343</v>
      </c>
      <c r="I4" s="67" t="s">
        <v>344</v>
      </c>
      <c r="J4" s="67" t="s">
        <v>345</v>
      </c>
      <c r="K4" s="67" t="s">
        <v>346</v>
      </c>
      <c r="L4" s="67" t="s">
        <v>347</v>
      </c>
      <c r="M4" s="67" t="s">
        <v>348</v>
      </c>
      <c r="N4" s="67" t="s">
        <v>349</v>
      </c>
      <c r="O4" s="67" t="s">
        <v>350</v>
      </c>
      <c r="P4" s="67" t="s">
        <v>29</v>
      </c>
    </row>
    <row r="5" spans="1:16" ht="3.75" customHeight="1" x14ac:dyDescent="0.25"/>
    <row r="6" spans="1:16" x14ac:dyDescent="0.25">
      <c r="A6" s="185" t="s">
        <v>45</v>
      </c>
      <c r="B6" s="40"/>
      <c r="D6" s="72">
        <f>+'NOI Calc'!$J$5/12</f>
        <v>290660</v>
      </c>
      <c r="E6" s="72">
        <f>+'NOI Calc'!$J$5/12</f>
        <v>290660</v>
      </c>
      <c r="F6" s="72">
        <f>+'NOI Calc'!$J$5/12</f>
        <v>290660</v>
      </c>
      <c r="G6" s="72">
        <f>+'NOI Calc'!$J$5/12</f>
        <v>290660</v>
      </c>
      <c r="H6" s="72">
        <f>+'NOI Calc'!$J$5/12</f>
        <v>290660</v>
      </c>
      <c r="I6" s="72">
        <f>+'NOI Calc'!$J$5/12</f>
        <v>290660</v>
      </c>
      <c r="J6" s="72">
        <f>+'NOI Calc'!$J$5/12</f>
        <v>290660</v>
      </c>
      <c r="K6" s="72">
        <f>+'NOI Calc'!$J$5/12</f>
        <v>290660</v>
      </c>
      <c r="L6" s="72">
        <f>+'NOI Calc'!$J$5/12</f>
        <v>290660</v>
      </c>
      <c r="M6" s="72">
        <f>+'NOI Calc'!$J$5/12</f>
        <v>290660</v>
      </c>
      <c r="N6" s="72">
        <f>+'NOI Calc'!$J$5/12</f>
        <v>290660</v>
      </c>
      <c r="O6" s="72">
        <f>+'NOI Calc'!$J$5/12</f>
        <v>290660</v>
      </c>
      <c r="P6" s="72">
        <f>SUM(D6:O6)</f>
        <v>3487920</v>
      </c>
    </row>
    <row r="7" spans="1:16" x14ac:dyDescent="0.25">
      <c r="A7" s="185" t="s">
        <v>47</v>
      </c>
      <c r="B7" s="40"/>
      <c r="D7" s="127">
        <f>(+'NOI Calc'!$J$6+'NOI Calc'!$J$7)/12</f>
        <v>2800</v>
      </c>
      <c r="E7" s="127">
        <f>(+'NOI Calc'!$J$6+'NOI Calc'!$J$7)/12</f>
        <v>2800</v>
      </c>
      <c r="F7" s="127">
        <f>(+'NOI Calc'!$J$6+'NOI Calc'!$J$7)/12</f>
        <v>2800</v>
      </c>
      <c r="G7" s="127">
        <f>(+'NOI Calc'!$J$6+'NOI Calc'!$J$7)/12</f>
        <v>2800</v>
      </c>
      <c r="H7" s="127">
        <f>(+'NOI Calc'!$J$6+'NOI Calc'!$J$7)/12</f>
        <v>2800</v>
      </c>
      <c r="I7" s="127">
        <f>(+'NOI Calc'!$J$6+'NOI Calc'!$J$7)/12</f>
        <v>2800</v>
      </c>
      <c r="J7" s="127">
        <f>(+'NOI Calc'!$J$6+'NOI Calc'!$J$7)/12</f>
        <v>2800</v>
      </c>
      <c r="K7" s="127">
        <f>(+'NOI Calc'!$J$6+'NOI Calc'!$J$7)/12</f>
        <v>2800</v>
      </c>
      <c r="L7" s="127">
        <f>(+'NOI Calc'!$J$6+'NOI Calc'!$J$7)/12</f>
        <v>2800</v>
      </c>
      <c r="M7" s="127">
        <f>(+'NOI Calc'!$J$6+'NOI Calc'!$J$7)/12</f>
        <v>2800</v>
      </c>
      <c r="N7" s="127">
        <f>(+'NOI Calc'!$J$6+'NOI Calc'!$J$7)/12</f>
        <v>2800</v>
      </c>
      <c r="O7" s="127">
        <f>(+'NOI Calc'!$J$6+'NOI Calc'!$J$7)/12</f>
        <v>2800</v>
      </c>
      <c r="P7" s="127">
        <f>SUM(D7:O7)</f>
        <v>33600</v>
      </c>
    </row>
    <row r="8" spans="1:16" ht="4.5" customHeight="1" x14ac:dyDescent="0.25">
      <c r="A8" s="189"/>
      <c r="B8" s="40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</row>
    <row r="9" spans="1:16" x14ac:dyDescent="0.25">
      <c r="A9" s="48" t="s">
        <v>259</v>
      </c>
      <c r="B9" s="48"/>
      <c r="D9" s="128">
        <f t="shared" ref="D9:O9" si="0">+SUM(D6:D7)</f>
        <v>293460</v>
      </c>
      <c r="E9" s="128">
        <f t="shared" si="0"/>
        <v>293460</v>
      </c>
      <c r="F9" s="128">
        <f t="shared" si="0"/>
        <v>293460</v>
      </c>
      <c r="G9" s="128">
        <f t="shared" si="0"/>
        <v>293460</v>
      </c>
      <c r="H9" s="128">
        <f t="shared" si="0"/>
        <v>293460</v>
      </c>
      <c r="I9" s="128">
        <f t="shared" si="0"/>
        <v>293460</v>
      </c>
      <c r="J9" s="128">
        <f t="shared" si="0"/>
        <v>293460</v>
      </c>
      <c r="K9" s="128">
        <f t="shared" si="0"/>
        <v>293460</v>
      </c>
      <c r="L9" s="128">
        <f t="shared" si="0"/>
        <v>293460</v>
      </c>
      <c r="M9" s="128">
        <f t="shared" si="0"/>
        <v>293460</v>
      </c>
      <c r="N9" s="128">
        <f t="shared" si="0"/>
        <v>293460</v>
      </c>
      <c r="O9" s="128">
        <f t="shared" si="0"/>
        <v>293460</v>
      </c>
      <c r="P9" s="128">
        <f>SUM(D9:O9)</f>
        <v>3521520</v>
      </c>
    </row>
    <row r="10" spans="1:16" x14ac:dyDescent="0.25">
      <c r="A10" s="185" t="s">
        <v>46</v>
      </c>
      <c r="B10" s="40"/>
      <c r="D10" s="127">
        <f>-MAX('NOI Calc'!$D$11,1-D$55)*D9</f>
        <v>-262017.85714285716</v>
      </c>
      <c r="E10" s="127">
        <f>-MAX('NOI Calc'!$D$11,1-E$55)*E9</f>
        <v>-230575.71428571429</v>
      </c>
      <c r="F10" s="127">
        <f>-MAX('NOI Calc'!$D$11,1-F$55)*F9</f>
        <v>-199133.57142857145</v>
      </c>
      <c r="G10" s="127">
        <f>-MAX('NOI Calc'!$D$11,1-G$55)*G9</f>
        <v>-167691.42857142855</v>
      </c>
      <c r="H10" s="127">
        <f>-MAX('NOI Calc'!$D$11,1-H$55)*H9</f>
        <v>-136249.28571428571</v>
      </c>
      <c r="I10" s="127">
        <f>-MAX('NOI Calc'!$D$11,1-I$55)*I9</f>
        <v>-104807.14285714284</v>
      </c>
      <c r="J10" s="127">
        <f>-MAX('NOI Calc'!$D$11,1-J$55)*J9</f>
        <v>-73365</v>
      </c>
      <c r="K10" s="127">
        <f>-MAX('NOI Calc'!$D$11,1-K$55)*K9</f>
        <v>-41922.857142857159</v>
      </c>
      <c r="L10" s="127">
        <f>-MAX('NOI Calc'!$D$11,1-L$55)*L9</f>
        <v>-20542.2</v>
      </c>
      <c r="M10" s="127">
        <f>-MAX('NOI Calc'!$D$11,1-M$55)*M9</f>
        <v>-20542.2</v>
      </c>
      <c r="N10" s="127">
        <f>-MAX('NOI Calc'!$D$11,1-N$55)*N9</f>
        <v>-20542.2</v>
      </c>
      <c r="O10" s="127">
        <f>-MAX('NOI Calc'!$D$11,1-O$55)*O9</f>
        <v>-20542.2</v>
      </c>
      <c r="P10" s="127">
        <f>SUM(D10:O10)</f>
        <v>-1297931.6571428571</v>
      </c>
    </row>
    <row r="11" spans="1:16" ht="4.5" customHeight="1" x14ac:dyDescent="0.25">
      <c r="A11" s="189"/>
      <c r="B11" s="40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</row>
    <row r="12" spans="1:16" s="47" customFormat="1" x14ac:dyDescent="0.25">
      <c r="A12" s="48" t="s">
        <v>258</v>
      </c>
      <c r="B12" s="48"/>
      <c r="D12" s="128">
        <f t="shared" ref="D12:O12" si="1">+D9+D10</f>
        <v>31442.142857142841</v>
      </c>
      <c r="E12" s="128">
        <f t="shared" si="1"/>
        <v>62884.28571428571</v>
      </c>
      <c r="F12" s="128">
        <f t="shared" si="1"/>
        <v>94326.428571428551</v>
      </c>
      <c r="G12" s="128">
        <f t="shared" si="1"/>
        <v>125768.57142857145</v>
      </c>
      <c r="H12" s="128">
        <f t="shared" si="1"/>
        <v>157210.71428571429</v>
      </c>
      <c r="I12" s="128">
        <f t="shared" si="1"/>
        <v>188652.85714285716</v>
      </c>
      <c r="J12" s="128">
        <f t="shared" si="1"/>
        <v>220095</v>
      </c>
      <c r="K12" s="128">
        <f t="shared" si="1"/>
        <v>251537.14285714284</v>
      </c>
      <c r="L12" s="128">
        <f t="shared" si="1"/>
        <v>272917.8</v>
      </c>
      <c r="M12" s="128">
        <f t="shared" si="1"/>
        <v>272917.8</v>
      </c>
      <c r="N12" s="128">
        <f t="shared" si="1"/>
        <v>272917.8</v>
      </c>
      <c r="O12" s="128">
        <f t="shared" si="1"/>
        <v>272917.8</v>
      </c>
      <c r="P12" s="128">
        <f>SUM(D12:O12)</f>
        <v>2223588.3428571429</v>
      </c>
    </row>
    <row r="13" spans="1:16" ht="7.5" customHeight="1" x14ac:dyDescent="0.25">
      <c r="A13" s="40"/>
      <c r="B13" s="40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</row>
    <row r="14" spans="1:16" x14ac:dyDescent="0.25">
      <c r="A14" s="40" t="s">
        <v>48</v>
      </c>
      <c r="B14" s="40"/>
      <c r="C14" s="56" t="s">
        <v>355</v>
      </c>
    </row>
    <row r="15" spans="1:16" ht="4.5" customHeight="1" x14ac:dyDescent="0.25">
      <c r="A15" s="40"/>
      <c r="B15" s="40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</row>
    <row r="16" spans="1:16" ht="15" customHeight="1" x14ac:dyDescent="0.25">
      <c r="A16" s="185"/>
      <c r="B16" s="40" t="s">
        <v>49</v>
      </c>
      <c r="D16" s="72">
        <f>+D12*'NOI Calc'!$D$16</f>
        <v>1100.4749999999995</v>
      </c>
      <c r="E16" s="72">
        <f>+E12*'NOI Calc'!$D$16</f>
        <v>2200.9500000000003</v>
      </c>
      <c r="F16" s="72">
        <f>+F12*'NOI Calc'!$D$16</f>
        <v>3301.4249999999997</v>
      </c>
      <c r="G16" s="72">
        <f>+G12*'NOI Calc'!$D$16</f>
        <v>4401.9000000000015</v>
      </c>
      <c r="H16" s="72">
        <f>+H12*'NOI Calc'!$D$16</f>
        <v>5502.3750000000009</v>
      </c>
      <c r="I16" s="72">
        <f>+I12*'NOI Calc'!$D$16</f>
        <v>6602.8500000000013</v>
      </c>
      <c r="J16" s="72">
        <f>+J12*'NOI Calc'!$D$16</f>
        <v>7703.3250000000007</v>
      </c>
      <c r="K16" s="72">
        <f>+K12*'NOI Calc'!$D$16</f>
        <v>8803.8000000000011</v>
      </c>
      <c r="L16" s="72">
        <f>+L12*'NOI Calc'!$D$16</f>
        <v>9552.1229999999996</v>
      </c>
      <c r="M16" s="72">
        <f>+M12*'NOI Calc'!$D$16</f>
        <v>9552.1229999999996</v>
      </c>
      <c r="N16" s="72">
        <f>+N12*'NOI Calc'!$D$16</f>
        <v>9552.1229999999996</v>
      </c>
      <c r="O16" s="72">
        <f>+O12*'NOI Calc'!$D$16</f>
        <v>9552.1229999999996</v>
      </c>
      <c r="P16" s="72">
        <f t="shared" ref="P16:P22" si="2">SUM(D16:O16)</f>
        <v>77825.592000000004</v>
      </c>
    </row>
    <row r="17" spans="1:16" ht="15" customHeight="1" x14ac:dyDescent="0.25">
      <c r="A17" s="185"/>
      <c r="B17" s="40" t="s">
        <v>261</v>
      </c>
      <c r="C17" s="348">
        <v>1</v>
      </c>
      <c r="D17" s="72">
        <f>('NOI Calc'!$J$17/12)*($C17+(1-$C17)*D$55)</f>
        <v>15634.666666666666</v>
      </c>
      <c r="E17" s="72">
        <f>('NOI Calc'!$J$17/12)*($C17+(1-$C17)*E$55)</f>
        <v>15634.666666666666</v>
      </c>
      <c r="F17" s="72">
        <f>('NOI Calc'!$J$17/12)*($C17+(1-$C17)*F$55)</f>
        <v>15634.666666666666</v>
      </c>
      <c r="G17" s="72">
        <f>('NOI Calc'!$J$17/12)*($C17+(1-$C17)*G$55)</f>
        <v>15634.666666666666</v>
      </c>
      <c r="H17" s="72">
        <f>('NOI Calc'!$J$17/12)*($C17+(1-$C17)*H$55)</f>
        <v>15634.666666666666</v>
      </c>
      <c r="I17" s="72">
        <f>('NOI Calc'!$J$17/12)*($C17+(1-$C17)*I$55)</f>
        <v>15634.666666666666</v>
      </c>
      <c r="J17" s="72">
        <f>('NOI Calc'!$J$17/12)*($C17+(1-$C17)*J$55)</f>
        <v>15634.666666666666</v>
      </c>
      <c r="K17" s="72">
        <f>('NOI Calc'!$J$17/12)*($C17+(1-$C17)*K$55)</f>
        <v>15634.666666666666</v>
      </c>
      <c r="L17" s="72">
        <f>('NOI Calc'!$J$17/12)*($C17+(1-$C17)*L$55)</f>
        <v>15634.666666666666</v>
      </c>
      <c r="M17" s="72">
        <f>('NOI Calc'!$J$17/12)*($C17+(1-$C17)*M$55)</f>
        <v>15634.666666666666</v>
      </c>
      <c r="N17" s="72">
        <f>('NOI Calc'!$J$17/12)*($C17+(1-$C17)*N$55)</f>
        <v>15634.666666666666</v>
      </c>
      <c r="O17" s="72">
        <f>('NOI Calc'!$J$17/12)*($C17+(1-$C17)*O$55)</f>
        <v>15634.666666666666</v>
      </c>
      <c r="P17" s="72">
        <f t="shared" si="2"/>
        <v>187615.99999999997</v>
      </c>
    </row>
    <row r="18" spans="1:16" ht="15" customHeight="1" x14ac:dyDescent="0.25">
      <c r="A18" s="185"/>
      <c r="B18" s="40" t="s">
        <v>225</v>
      </c>
      <c r="C18" s="348">
        <v>0</v>
      </c>
      <c r="D18" s="72">
        <f>('NOI Calc'!$J$18/12)*($C18+(1-$C18)*D$55)</f>
        <v>1899.9999999999998</v>
      </c>
      <c r="E18" s="72">
        <f>('NOI Calc'!$J$18/12)*($C18+(1-$C18)*E$55)</f>
        <v>3799.9999999999995</v>
      </c>
      <c r="F18" s="72">
        <f>('NOI Calc'!$J$18/12)*($C18+(1-$C18)*F$55)</f>
        <v>5700</v>
      </c>
      <c r="G18" s="72">
        <f>('NOI Calc'!$J$18/12)*($C18+(1-$C18)*G$55)</f>
        <v>7599.9999999999991</v>
      </c>
      <c r="H18" s="72">
        <f>('NOI Calc'!$J$18/12)*($C18+(1-$C18)*H$55)</f>
        <v>9499.9999999999982</v>
      </c>
      <c r="I18" s="72">
        <f>('NOI Calc'!$J$18/12)*($C18+(1-$C18)*I$55)</f>
        <v>11400</v>
      </c>
      <c r="J18" s="72">
        <f>('NOI Calc'!$J$18/12)*($C18+(1-$C18)*J$55)</f>
        <v>13300</v>
      </c>
      <c r="K18" s="72">
        <f>('NOI Calc'!$J$18/12)*($C18+(1-$C18)*K$55)</f>
        <v>15199.999999999998</v>
      </c>
      <c r="L18" s="72">
        <f>('NOI Calc'!$J$18/12)*($C18+(1-$C18)*L$55)</f>
        <v>17100</v>
      </c>
      <c r="M18" s="72">
        <f>('NOI Calc'!$J$18/12)*($C18+(1-$C18)*M$55)</f>
        <v>17733.333333333332</v>
      </c>
      <c r="N18" s="72">
        <f>('NOI Calc'!$J$18/12)*($C18+(1-$C18)*N$55)</f>
        <v>17733.333333333332</v>
      </c>
      <c r="O18" s="72">
        <f>('NOI Calc'!$J$18/12)*($C18+(1-$C18)*O$55)</f>
        <v>17733.333333333332</v>
      </c>
      <c r="P18" s="72">
        <f t="shared" si="2"/>
        <v>138700</v>
      </c>
    </row>
    <row r="19" spans="1:16" ht="15" customHeight="1" x14ac:dyDescent="0.25">
      <c r="A19" s="185"/>
      <c r="B19" s="40" t="s">
        <v>51</v>
      </c>
      <c r="C19" s="348">
        <v>0.75</v>
      </c>
      <c r="D19" s="72">
        <f>('NOI Calc'!$J$19/12)*($C19+(1-$C19)*D$55)</f>
        <v>13601.517857142857</v>
      </c>
      <c r="E19" s="72">
        <f>('NOI Calc'!$J$19/12)*($C19+(1-$C19)*E$55)</f>
        <v>14070.535714285716</v>
      </c>
      <c r="F19" s="72">
        <f>('NOI Calc'!$J$19/12)*($C19+(1-$C19)*F$55)</f>
        <v>14539.553571428572</v>
      </c>
      <c r="G19" s="72">
        <f>('NOI Calc'!$J$19/12)*($C19+(1-$C19)*G$55)</f>
        <v>15008.571428571428</v>
      </c>
      <c r="H19" s="72">
        <f>('NOI Calc'!$J$19/12)*($C19+(1-$C19)*H$55)</f>
        <v>15477.589285714284</v>
      </c>
      <c r="I19" s="72">
        <f>('NOI Calc'!$J$19/12)*($C19+(1-$C19)*I$55)</f>
        <v>15946.607142857143</v>
      </c>
      <c r="J19" s="72">
        <f>('NOI Calc'!$J$19/12)*($C19+(1-$C19)*J$55)</f>
        <v>16415.625</v>
      </c>
      <c r="K19" s="72">
        <f>('NOI Calc'!$J$19/12)*($C19+(1-$C19)*K$55)</f>
        <v>16884.642857142859</v>
      </c>
      <c r="L19" s="72">
        <f>('NOI Calc'!$J$19/12)*($C19+(1-$C19)*L$55)</f>
        <v>17353.660714285714</v>
      </c>
      <c r="M19" s="72">
        <f>('NOI Calc'!$J$19/12)*($C19+(1-$C19)*M$55)</f>
        <v>17510</v>
      </c>
      <c r="N19" s="72">
        <f>('NOI Calc'!$J$19/12)*($C19+(1-$C19)*N$55)</f>
        <v>17510</v>
      </c>
      <c r="O19" s="72">
        <f>('NOI Calc'!$J$19/12)*($C19+(1-$C19)*O$55)</f>
        <v>17510</v>
      </c>
      <c r="P19" s="72">
        <f t="shared" si="2"/>
        <v>191828.30357142858</v>
      </c>
    </row>
    <row r="20" spans="1:16" ht="15" customHeight="1" x14ac:dyDescent="0.25">
      <c r="A20" s="185"/>
      <c r="B20" s="40" t="s">
        <v>260</v>
      </c>
      <c r="C20" s="348">
        <v>1</v>
      </c>
      <c r="D20" s="72">
        <f>(('NOI Calc'!$J$20+'NOI Calc'!$J$21+'NOI Calc'!$J$22)/12)*($C20+(1-$C20)*D$55)</f>
        <v>8383.3333333333339</v>
      </c>
      <c r="E20" s="72">
        <f>(('NOI Calc'!$J$20+'NOI Calc'!$J$21+'NOI Calc'!$J$22)/12)*($C20+(1-$C20)*E$55)</f>
        <v>8383.3333333333339</v>
      </c>
      <c r="F20" s="72">
        <f>(('NOI Calc'!$J$20+'NOI Calc'!$J$21+'NOI Calc'!$J$22)/12)*($C20+(1-$C20)*F$55)</f>
        <v>8383.3333333333339</v>
      </c>
      <c r="G20" s="72">
        <f>(('NOI Calc'!$J$20+'NOI Calc'!$J$21+'NOI Calc'!$J$22)/12)*($C20+(1-$C20)*G$55)</f>
        <v>8383.3333333333339</v>
      </c>
      <c r="H20" s="72">
        <f>(('NOI Calc'!$J$20+'NOI Calc'!$J$21+'NOI Calc'!$J$22)/12)*($C20+(1-$C20)*H$55)</f>
        <v>8383.3333333333339</v>
      </c>
      <c r="I20" s="72">
        <f>(('NOI Calc'!$J$20+'NOI Calc'!$J$21+'NOI Calc'!$J$22)/12)*($C20+(1-$C20)*I$55)</f>
        <v>8383.3333333333339</v>
      </c>
      <c r="J20" s="72">
        <f>(('NOI Calc'!$J$20+'NOI Calc'!$J$21+'NOI Calc'!$J$22)/12)*($C20+(1-$C20)*J$55)</f>
        <v>8383.3333333333339</v>
      </c>
      <c r="K20" s="72">
        <f>(('NOI Calc'!$J$20+'NOI Calc'!$J$21+'NOI Calc'!$J$22)/12)*($C20+(1-$C20)*K$55)</f>
        <v>8383.3333333333339</v>
      </c>
      <c r="L20" s="72">
        <f>(('NOI Calc'!$J$20+'NOI Calc'!$J$21+'NOI Calc'!$J$22)/12)*($C20+(1-$C20)*L$55)</f>
        <v>8383.3333333333339</v>
      </c>
      <c r="M20" s="72">
        <f>(('NOI Calc'!$J$20+'NOI Calc'!$J$21+'NOI Calc'!$J$22)/12)*($C20+(1-$C20)*M$55)</f>
        <v>8383.3333333333339</v>
      </c>
      <c r="N20" s="72">
        <f>(('NOI Calc'!$J$20+'NOI Calc'!$J$21+'NOI Calc'!$J$22)/12)*($C20+(1-$C20)*N$55)</f>
        <v>8383.3333333333339</v>
      </c>
      <c r="O20" s="72">
        <f>(('NOI Calc'!$J$20+'NOI Calc'!$J$21+'NOI Calc'!$J$22)/12)*($C20+(1-$C20)*O$55)</f>
        <v>8383.3333333333339</v>
      </c>
      <c r="P20" s="72">
        <f t="shared" si="2"/>
        <v>100599.99999999999</v>
      </c>
    </row>
    <row r="21" spans="1:16" ht="15" customHeight="1" x14ac:dyDescent="0.25">
      <c r="A21" s="185"/>
      <c r="B21" s="40" t="s">
        <v>215</v>
      </c>
      <c r="C21" s="348">
        <v>1</v>
      </c>
      <c r="D21" s="72">
        <f>('NOI Calc'!$J$23/12)*($C21+(1-$C21)*D$55)</f>
        <v>35000</v>
      </c>
      <c r="E21" s="72">
        <f>('NOI Calc'!$J$23/12)*($C21+(1-$C21)*E$55)</f>
        <v>35000</v>
      </c>
      <c r="F21" s="72">
        <f>('NOI Calc'!$J$23/12)*($C21+(1-$C21)*F$55)</f>
        <v>35000</v>
      </c>
      <c r="G21" s="72">
        <f>('NOI Calc'!$J$23/12)*($C21+(1-$C21)*G$55)</f>
        <v>35000</v>
      </c>
      <c r="H21" s="72">
        <f>('NOI Calc'!$J$23/12)*($C21+(1-$C21)*H$55)</f>
        <v>35000</v>
      </c>
      <c r="I21" s="72">
        <f>('NOI Calc'!$J$23/12)*($C21+(1-$C21)*I$55)</f>
        <v>35000</v>
      </c>
      <c r="J21" s="72">
        <f>('NOI Calc'!$J$23/12)*($C21+(1-$C21)*J$55)</f>
        <v>35000</v>
      </c>
      <c r="K21" s="72">
        <f>('NOI Calc'!$J$23/12)*($C21+(1-$C21)*K$55)</f>
        <v>35000</v>
      </c>
      <c r="L21" s="72">
        <f>('NOI Calc'!$J$23/12)*($C21+(1-$C21)*L$55)</f>
        <v>35000</v>
      </c>
      <c r="M21" s="72">
        <f>('NOI Calc'!$J$23/12)*($C21+(1-$C21)*M$55)</f>
        <v>35000</v>
      </c>
      <c r="N21" s="72">
        <f>('NOI Calc'!$J$23/12)*($C21+(1-$C21)*N$55)</f>
        <v>35000</v>
      </c>
      <c r="O21" s="72">
        <f>('NOI Calc'!$J$23/12)*($C21+(1-$C21)*O$55)</f>
        <v>35000</v>
      </c>
      <c r="P21" s="72">
        <f t="shared" si="2"/>
        <v>420000</v>
      </c>
    </row>
    <row r="22" spans="1:16" ht="15" customHeight="1" x14ac:dyDescent="0.25">
      <c r="A22" s="185"/>
      <c r="B22" s="40" t="s">
        <v>179</v>
      </c>
      <c r="D22" s="127">
        <f>+'Expense Detail'!$F$60/12</f>
        <v>4166.666666666667</v>
      </c>
      <c r="E22" s="127">
        <f>+'Expense Detail'!$F$60/12</f>
        <v>4166.666666666667</v>
      </c>
      <c r="F22" s="127">
        <f>+'Expense Detail'!$F$60/12</f>
        <v>4166.666666666667</v>
      </c>
      <c r="G22" s="127">
        <f>+'Expense Detail'!$F$60/12</f>
        <v>4166.666666666667</v>
      </c>
      <c r="H22" s="127">
        <f>+'Expense Detail'!$F$60/12</f>
        <v>4166.666666666667</v>
      </c>
      <c r="I22" s="127">
        <f>+'Expense Detail'!$F$60/12</f>
        <v>4166.666666666667</v>
      </c>
      <c r="J22" s="127">
        <f>+'Expense Detail'!$F$60/12</f>
        <v>4166.666666666667</v>
      </c>
      <c r="K22" s="127">
        <f>+'Expense Detail'!$F$60/12</f>
        <v>4166.666666666667</v>
      </c>
      <c r="L22" s="127">
        <f>+'Expense Detail'!$F$60/12</f>
        <v>4166.666666666667</v>
      </c>
      <c r="M22" s="127">
        <f>+'Expense Detail'!$F$60/12</f>
        <v>4166.666666666667</v>
      </c>
      <c r="N22" s="127">
        <f>+'Expense Detail'!$F$60/12</f>
        <v>4166.666666666667</v>
      </c>
      <c r="O22" s="127">
        <f>+'Expense Detail'!$F$60/12</f>
        <v>4166.666666666667</v>
      </c>
      <c r="P22" s="127">
        <f t="shared" si="2"/>
        <v>49999.999999999993</v>
      </c>
    </row>
    <row r="23" spans="1:16" ht="4.5" customHeight="1" x14ac:dyDescent="0.25">
      <c r="A23" s="40"/>
      <c r="B23" s="40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</row>
    <row r="24" spans="1:16" ht="15" customHeight="1" x14ac:dyDescent="0.25">
      <c r="A24" s="40" t="s">
        <v>53</v>
      </c>
      <c r="B24" s="40"/>
      <c r="D24" s="72">
        <f t="shared" ref="D24:O24" si="3">+SUM(D16:D23)</f>
        <v>79786.659523809532</v>
      </c>
      <c r="E24" s="72">
        <f t="shared" si="3"/>
        <v>83256.152380952393</v>
      </c>
      <c r="F24" s="72">
        <f t="shared" si="3"/>
        <v>86725.64523809524</v>
      </c>
      <c r="G24" s="72">
        <f t="shared" si="3"/>
        <v>90195.138095238101</v>
      </c>
      <c r="H24" s="72">
        <f t="shared" si="3"/>
        <v>93664.630952380961</v>
      </c>
      <c r="I24" s="72">
        <f t="shared" si="3"/>
        <v>97134.123809523808</v>
      </c>
      <c r="J24" s="72">
        <f t="shared" si="3"/>
        <v>100603.61666666668</v>
      </c>
      <c r="K24" s="72">
        <f t="shared" si="3"/>
        <v>104073.10952380953</v>
      </c>
      <c r="L24" s="72">
        <f t="shared" si="3"/>
        <v>107190.45038095237</v>
      </c>
      <c r="M24" s="72">
        <f t="shared" si="3"/>
        <v>107980.12299999999</v>
      </c>
      <c r="N24" s="72">
        <f t="shared" si="3"/>
        <v>107980.12299999999</v>
      </c>
      <c r="O24" s="72">
        <f t="shared" si="3"/>
        <v>107980.12299999999</v>
      </c>
      <c r="P24" s="72">
        <f>SUM(D24:O24)</f>
        <v>1166569.8955714284</v>
      </c>
    </row>
    <row r="25" spans="1:16" ht="4.5" customHeight="1" x14ac:dyDescent="0.25">
      <c r="A25" s="40"/>
      <c r="B25" s="40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</row>
    <row r="26" spans="1:16" s="47" customFormat="1" x14ac:dyDescent="0.25">
      <c r="A26" s="48" t="s">
        <v>55</v>
      </c>
      <c r="B26" s="48"/>
      <c r="D26" s="128">
        <f t="shared" ref="D26:O26" si="4">+D12-D24</f>
        <v>-48344.516666666692</v>
      </c>
      <c r="E26" s="128">
        <f t="shared" si="4"/>
        <v>-20371.866666666683</v>
      </c>
      <c r="F26" s="128">
        <f t="shared" si="4"/>
        <v>7600.783333333311</v>
      </c>
      <c r="G26" s="128">
        <f t="shared" si="4"/>
        <v>35573.433333333349</v>
      </c>
      <c r="H26" s="128">
        <f t="shared" si="4"/>
        <v>63546.083333333328</v>
      </c>
      <c r="I26" s="128">
        <f t="shared" si="4"/>
        <v>91518.733333333352</v>
      </c>
      <c r="J26" s="128">
        <f t="shared" si="4"/>
        <v>119491.38333333332</v>
      </c>
      <c r="K26" s="128">
        <f t="shared" si="4"/>
        <v>147464.03333333333</v>
      </c>
      <c r="L26" s="128">
        <f t="shared" si="4"/>
        <v>165727.3496190476</v>
      </c>
      <c r="M26" s="128">
        <f t="shared" si="4"/>
        <v>164937.677</v>
      </c>
      <c r="N26" s="128">
        <f t="shared" si="4"/>
        <v>164937.677</v>
      </c>
      <c r="O26" s="128">
        <f t="shared" si="4"/>
        <v>164937.677</v>
      </c>
      <c r="P26" s="128">
        <f>SUM(D26:O26)</f>
        <v>1057018.4472857141</v>
      </c>
    </row>
    <row r="27" spans="1:16" ht="15" customHeight="1" x14ac:dyDescent="0.25"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</row>
    <row r="28" spans="1:16" ht="15" customHeight="1" x14ac:dyDescent="0.25">
      <c r="A28" t="s">
        <v>52</v>
      </c>
      <c r="D28" s="72">
        <f>+'NOI Calc'!$J$33/12</f>
        <v>11666.666666666666</v>
      </c>
      <c r="E28" s="72">
        <f>+'NOI Calc'!$J$33/12</f>
        <v>11666.666666666666</v>
      </c>
      <c r="F28" s="72">
        <f>+'NOI Calc'!$J$33/12</f>
        <v>11666.666666666666</v>
      </c>
      <c r="G28" s="72">
        <f>+'NOI Calc'!$J$33/12</f>
        <v>11666.666666666666</v>
      </c>
      <c r="H28" s="72">
        <f>+'NOI Calc'!$J$33/12</f>
        <v>11666.666666666666</v>
      </c>
      <c r="I28" s="72">
        <f>+'NOI Calc'!$J$33/12</f>
        <v>11666.666666666666</v>
      </c>
      <c r="J28" s="72">
        <f>+'NOI Calc'!$J$33/12</f>
        <v>11666.666666666666</v>
      </c>
      <c r="K28" s="72">
        <f>+'NOI Calc'!$J$33/12</f>
        <v>11666.666666666666</v>
      </c>
      <c r="L28" s="72">
        <f>+'NOI Calc'!$J$33/12</f>
        <v>11666.666666666666</v>
      </c>
      <c r="M28" s="72">
        <f>+'NOI Calc'!$J$33/12</f>
        <v>11666.666666666666</v>
      </c>
      <c r="N28" s="72">
        <f>+'NOI Calc'!$J$33/12</f>
        <v>11666.666666666666</v>
      </c>
      <c r="O28" s="72">
        <f>+'NOI Calc'!$J$33/12</f>
        <v>11666.666666666666</v>
      </c>
      <c r="P28" s="72">
        <f>SUM(D28:O28)</f>
        <v>140000.00000000003</v>
      </c>
    </row>
    <row r="29" spans="1:16" ht="15" customHeight="1" x14ac:dyDescent="0.25"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</row>
    <row r="30" spans="1:16" x14ac:dyDescent="0.25">
      <c r="A30" s="101" t="s">
        <v>111</v>
      </c>
      <c r="D30" s="72">
        <f ca="1">+'Loan Amortization'!$C$28*'Financing Assumptions'!$C$28/12</f>
        <v>122051.89189802867</v>
      </c>
      <c r="E30" s="72">
        <f ca="1">+'Loan Amortization'!$C$28*'Financing Assumptions'!$C$28/12</f>
        <v>122051.89189802867</v>
      </c>
      <c r="F30" s="72">
        <f ca="1">+'Loan Amortization'!$C$28*'Financing Assumptions'!$C$28/12</f>
        <v>122051.89189802867</v>
      </c>
      <c r="G30" s="72">
        <f ca="1">+'Loan Amortization'!$C$28*'Financing Assumptions'!$C$28/12</f>
        <v>122051.89189802867</v>
      </c>
      <c r="H30" s="72">
        <f ca="1">+'Loan Amortization'!$C$28*'Financing Assumptions'!$C$28/12</f>
        <v>122051.89189802867</v>
      </c>
      <c r="I30" s="72">
        <f ca="1">+'Loan Amortization'!$C$28*'Financing Assumptions'!$C$28/12</f>
        <v>122051.89189802867</v>
      </c>
      <c r="J30" s="72">
        <f ca="1">+'Loan Amortization'!$C$28*'Financing Assumptions'!$C$28/12</f>
        <v>122051.89189802867</v>
      </c>
      <c r="K30" s="72">
        <f ca="1">+'Loan Amortization'!$C$28*'Financing Assumptions'!$C$28/12</f>
        <v>122051.89189802867</v>
      </c>
      <c r="L30" s="72">
        <f ca="1">+'Loan Amortization'!$C$28*'Financing Assumptions'!$C$28/12</f>
        <v>122051.89189802867</v>
      </c>
      <c r="M30" s="72">
        <f ca="1">+'Loan Amortization'!$C$28*'Financing Assumptions'!$C$28/12</f>
        <v>122051.89189802867</v>
      </c>
      <c r="N30" s="72">
        <f ca="1">+'Loan Amortization'!$C$28*'Financing Assumptions'!$C$28/12</f>
        <v>122051.89189802867</v>
      </c>
      <c r="O30" s="72">
        <f ca="1">+'Loan Amortization'!$C$28*'Financing Assumptions'!$C$28/12</f>
        <v>122051.89189802867</v>
      </c>
      <c r="P30" s="72">
        <f ca="1">SUM(D30:O30)</f>
        <v>1464622.7027763436</v>
      </c>
    </row>
    <row r="31" spans="1:16" x14ac:dyDescent="0.25">
      <c r="A31" s="101" t="s">
        <v>112</v>
      </c>
      <c r="D31" s="127">
        <v>0</v>
      </c>
      <c r="E31" s="127">
        <v>0</v>
      </c>
      <c r="F31" s="127">
        <v>0</v>
      </c>
      <c r="G31" s="127">
        <v>0</v>
      </c>
      <c r="H31" s="127">
        <v>0</v>
      </c>
      <c r="I31" s="127">
        <v>0</v>
      </c>
      <c r="J31" s="127">
        <v>0</v>
      </c>
      <c r="K31" s="127">
        <v>0</v>
      </c>
      <c r="L31" s="127">
        <v>0</v>
      </c>
      <c r="M31" s="127">
        <v>0</v>
      </c>
      <c r="N31" s="127">
        <v>0</v>
      </c>
      <c r="O31" s="127">
        <v>0</v>
      </c>
      <c r="P31" s="127">
        <f>SUM(D31:O31)</f>
        <v>0</v>
      </c>
    </row>
    <row r="32" spans="1:16" ht="4.5" customHeight="1" x14ac:dyDescent="0.25"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</row>
    <row r="33" spans="1:16" x14ac:dyDescent="0.25">
      <c r="A33" s="47" t="s">
        <v>114</v>
      </c>
      <c r="D33" s="128">
        <f t="shared" ref="D33:O33" ca="1" si="5">+D26-D28-D30-D31</f>
        <v>-182063.07523136202</v>
      </c>
      <c r="E33" s="128">
        <f t="shared" ca="1" si="5"/>
        <v>-154090.42523136202</v>
      </c>
      <c r="F33" s="128">
        <f t="shared" ca="1" si="5"/>
        <v>-126117.77523136203</v>
      </c>
      <c r="G33" s="128">
        <f t="shared" ca="1" si="5"/>
        <v>-98145.125231361977</v>
      </c>
      <c r="H33" s="128">
        <f t="shared" ca="1" si="5"/>
        <v>-70172.475231362012</v>
      </c>
      <c r="I33" s="128">
        <f t="shared" ca="1" si="5"/>
        <v>-42199.825231361989</v>
      </c>
      <c r="J33" s="128">
        <f t="shared" ca="1" si="5"/>
        <v>-14227.175231362024</v>
      </c>
      <c r="K33" s="128">
        <f t="shared" ca="1" si="5"/>
        <v>13745.474768638</v>
      </c>
      <c r="L33" s="128">
        <f t="shared" ca="1" si="5"/>
        <v>32008.791054352274</v>
      </c>
      <c r="M33" s="128">
        <f t="shared" ca="1" si="5"/>
        <v>31219.11843530467</v>
      </c>
      <c r="N33" s="128">
        <f t="shared" ca="1" si="5"/>
        <v>31219.11843530467</v>
      </c>
      <c r="O33" s="128">
        <f t="shared" ca="1" si="5"/>
        <v>31219.11843530467</v>
      </c>
      <c r="P33" s="128">
        <f ca="1">SUM(D33:O33)</f>
        <v>-547604.25549062993</v>
      </c>
    </row>
    <row r="34" spans="1:16" x14ac:dyDescent="0.25"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</row>
    <row r="35" spans="1:16" ht="15" customHeight="1" x14ac:dyDescent="0.25">
      <c r="A35" s="185"/>
      <c r="B35" s="40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</row>
    <row r="36" spans="1:16" x14ac:dyDescent="0.25">
      <c r="A36" s="185" t="s">
        <v>109</v>
      </c>
      <c r="D36" s="72">
        <f ca="1">+'Loan Amortization'!$C$28*'Financing Assumptions'!$C$30/12</f>
        <v>4438.2506144737699</v>
      </c>
      <c r="E36" s="72">
        <f ca="1">+'Loan Amortization'!$C$28*'Financing Assumptions'!$C$30/12</f>
        <v>4438.2506144737699</v>
      </c>
      <c r="F36" s="72">
        <f ca="1">+'Loan Amortization'!$C$28*'Financing Assumptions'!$C$30/12</f>
        <v>4438.2506144737699</v>
      </c>
      <c r="G36" s="72">
        <f ca="1">+'Loan Amortization'!$C$28*'Financing Assumptions'!$C$30/12</f>
        <v>4438.2506144737699</v>
      </c>
      <c r="H36" s="72">
        <f ca="1">+'Loan Amortization'!$C$28*'Financing Assumptions'!$C$30/12</f>
        <v>4438.2506144737699</v>
      </c>
      <c r="I36" s="72">
        <f ca="1">+'Loan Amortization'!$C$28*'Financing Assumptions'!$C$30/12</f>
        <v>4438.2506144737699</v>
      </c>
      <c r="J36" s="72">
        <f ca="1">+'Loan Amortization'!$C$28*'Financing Assumptions'!$C$30/12</f>
        <v>4438.2506144737699</v>
      </c>
      <c r="K36" s="72">
        <f ca="1">+'Loan Amortization'!$C$28*'Financing Assumptions'!$C$30/12</f>
        <v>4438.2506144737699</v>
      </c>
      <c r="L36" s="72">
        <f ca="1">+'Loan Amortization'!$C$28*'Financing Assumptions'!$C$30/12</f>
        <v>4438.2506144737699</v>
      </c>
      <c r="M36" s="72">
        <f ca="1">+'Loan Amortization'!$C$28*'Financing Assumptions'!$C$30/12</f>
        <v>4438.2506144737699</v>
      </c>
      <c r="N36" s="72">
        <f ca="1">+'Loan Amortization'!$C$28*'Financing Assumptions'!$C$30/12</f>
        <v>4438.2506144737699</v>
      </c>
      <c r="O36" s="72">
        <f ca="1">+'Loan Amortization'!$C$28*'Financing Assumptions'!$C$30/12</f>
        <v>4438.2506144737699</v>
      </c>
      <c r="P36" s="72">
        <f ca="1">SUM(D36:O36)</f>
        <v>53259.007373685243</v>
      </c>
    </row>
    <row r="37" spans="1:16" x14ac:dyDescent="0.25">
      <c r="A37" s="185" t="s">
        <v>110</v>
      </c>
      <c r="D37" s="72">
        <f>+'Financing Assumptions'!$C$31/12</f>
        <v>416.66666666666669</v>
      </c>
      <c r="E37" s="72">
        <f>+'Financing Assumptions'!$C$31/12</f>
        <v>416.66666666666669</v>
      </c>
      <c r="F37" s="72">
        <f>+'Financing Assumptions'!$C$31/12</f>
        <v>416.66666666666669</v>
      </c>
      <c r="G37" s="72">
        <f>+'Financing Assumptions'!$C$31/12</f>
        <v>416.66666666666669</v>
      </c>
      <c r="H37" s="72">
        <f>+'Financing Assumptions'!$C$31/12</f>
        <v>416.66666666666669</v>
      </c>
      <c r="I37" s="72">
        <f>+'Financing Assumptions'!$C$31/12</f>
        <v>416.66666666666669</v>
      </c>
      <c r="J37" s="72">
        <f>+'Financing Assumptions'!$C$31/12</f>
        <v>416.66666666666669</v>
      </c>
      <c r="K37" s="72">
        <f>+'Financing Assumptions'!$C$31/12</f>
        <v>416.66666666666669</v>
      </c>
      <c r="L37" s="72">
        <f>+'Financing Assumptions'!$C$31/12</f>
        <v>416.66666666666669</v>
      </c>
      <c r="M37" s="72">
        <f>+'Financing Assumptions'!$C$31/12</f>
        <v>416.66666666666669</v>
      </c>
      <c r="N37" s="72">
        <f>+'Financing Assumptions'!$C$31/12</f>
        <v>416.66666666666669</v>
      </c>
      <c r="O37" s="72">
        <f>+'Financing Assumptions'!$C$31/12</f>
        <v>416.66666666666669</v>
      </c>
      <c r="P37" s="72">
        <f>SUM(D37:O37)</f>
        <v>5000</v>
      </c>
    </row>
    <row r="38" spans="1:16" x14ac:dyDescent="0.25">
      <c r="A38" s="101" t="s">
        <v>115</v>
      </c>
      <c r="D38" s="72">
        <f ca="1">+'Loan Amortization'!$C$28*'Financing Assumptions'!$C$32/12</f>
        <v>2219.125307236885</v>
      </c>
      <c r="E38" s="72">
        <f ca="1">+'Loan Amortization'!$C$28*'Financing Assumptions'!$C$32/12</f>
        <v>2219.125307236885</v>
      </c>
      <c r="F38" s="72">
        <f ca="1">+'Loan Amortization'!$C$28*'Financing Assumptions'!$C$32/12</f>
        <v>2219.125307236885</v>
      </c>
      <c r="G38" s="72">
        <f ca="1">+'Loan Amortization'!$C$28*'Financing Assumptions'!$C$32/12</f>
        <v>2219.125307236885</v>
      </c>
      <c r="H38" s="72">
        <f ca="1">+'Loan Amortization'!$C$28*'Financing Assumptions'!$C$32/12</f>
        <v>2219.125307236885</v>
      </c>
      <c r="I38" s="72">
        <f ca="1">+'Loan Amortization'!$C$28*'Financing Assumptions'!$C$32/12</f>
        <v>2219.125307236885</v>
      </c>
      <c r="J38" s="72">
        <f ca="1">+'Loan Amortization'!$C$28*'Financing Assumptions'!$C$32/12</f>
        <v>2219.125307236885</v>
      </c>
      <c r="K38" s="72">
        <f ca="1">+'Loan Amortization'!$C$28*'Financing Assumptions'!$C$32/12</f>
        <v>2219.125307236885</v>
      </c>
      <c r="L38" s="72">
        <f ca="1">+'Loan Amortization'!$C$28*'Financing Assumptions'!$C$32/12</f>
        <v>2219.125307236885</v>
      </c>
      <c r="M38" s="72">
        <f ca="1">+'Loan Amortization'!$C$28*'Financing Assumptions'!$C$32/12</f>
        <v>2219.125307236885</v>
      </c>
      <c r="N38" s="72">
        <f ca="1">+'Loan Amortization'!$C$28*'Financing Assumptions'!$C$32/12</f>
        <v>2219.125307236885</v>
      </c>
      <c r="O38" s="72">
        <f ca="1">+'Loan Amortization'!$C$28*'Financing Assumptions'!$C$32/12</f>
        <v>2219.125307236885</v>
      </c>
      <c r="P38" s="72">
        <f ca="1">SUM(D38:O38)</f>
        <v>26629.503686842621</v>
      </c>
    </row>
    <row r="39" spans="1:16" x14ac:dyDescent="0.25">
      <c r="A39" s="101" t="s">
        <v>176</v>
      </c>
      <c r="D39" s="127">
        <f t="shared" ref="D39:O39" ca="1" si="6">IF((0.1*D33)&lt;=0,0,0.1*D33)</f>
        <v>0</v>
      </c>
      <c r="E39" s="127">
        <f t="shared" ca="1" si="6"/>
        <v>0</v>
      </c>
      <c r="F39" s="127">
        <f t="shared" ca="1" si="6"/>
        <v>0</v>
      </c>
      <c r="G39" s="127">
        <f t="shared" ca="1" si="6"/>
        <v>0</v>
      </c>
      <c r="H39" s="127">
        <f t="shared" ca="1" si="6"/>
        <v>0</v>
      </c>
      <c r="I39" s="127">
        <f t="shared" ca="1" si="6"/>
        <v>0</v>
      </c>
      <c r="J39" s="127">
        <f t="shared" ca="1" si="6"/>
        <v>0</v>
      </c>
      <c r="K39" s="127">
        <f t="shared" ca="1" si="6"/>
        <v>1374.5474768638001</v>
      </c>
      <c r="L39" s="127">
        <f t="shared" ca="1" si="6"/>
        <v>3200.8791054352278</v>
      </c>
      <c r="M39" s="127">
        <f t="shared" ca="1" si="6"/>
        <v>3121.9118435304672</v>
      </c>
      <c r="N39" s="127">
        <f t="shared" ca="1" si="6"/>
        <v>3121.9118435304672</v>
      </c>
      <c r="O39" s="127">
        <f t="shared" ca="1" si="6"/>
        <v>3121.9118435304672</v>
      </c>
      <c r="P39" s="127">
        <f ca="1">SUM(D39:O39)</f>
        <v>13941.16211289043</v>
      </c>
    </row>
    <row r="40" spans="1:16" ht="4.5" customHeight="1" x14ac:dyDescent="0.25"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</row>
    <row r="41" spans="1:16" s="47" customFormat="1" x14ac:dyDescent="0.25">
      <c r="A41" s="47" t="s">
        <v>116</v>
      </c>
      <c r="D41" s="128">
        <f t="shared" ref="D41:O41" ca="1" si="7">+D33-SUM(D36:D40)</f>
        <v>-189137.11781973933</v>
      </c>
      <c r="E41" s="128">
        <f t="shared" ca="1" si="7"/>
        <v>-161164.46781973934</v>
      </c>
      <c r="F41" s="128">
        <f t="shared" ca="1" si="7"/>
        <v>-133191.81781973934</v>
      </c>
      <c r="G41" s="128">
        <f t="shared" ca="1" si="7"/>
        <v>-105219.1678197393</v>
      </c>
      <c r="H41" s="128">
        <f t="shared" ca="1" si="7"/>
        <v>-77246.51781973934</v>
      </c>
      <c r="I41" s="128">
        <f t="shared" ca="1" si="7"/>
        <v>-49273.867819739309</v>
      </c>
      <c r="J41" s="128">
        <f t="shared" ca="1" si="7"/>
        <v>-21301.217819739344</v>
      </c>
      <c r="K41" s="128">
        <f t="shared" ca="1" si="7"/>
        <v>5296.8847033968777</v>
      </c>
      <c r="L41" s="128">
        <f t="shared" ca="1" si="7"/>
        <v>21733.869360539724</v>
      </c>
      <c r="M41" s="128">
        <f t="shared" ca="1" si="7"/>
        <v>21023.16400339688</v>
      </c>
      <c r="N41" s="128">
        <f t="shared" ca="1" si="7"/>
        <v>21023.16400339688</v>
      </c>
      <c r="O41" s="128">
        <f t="shared" ca="1" si="7"/>
        <v>21023.16400339688</v>
      </c>
      <c r="P41" s="128">
        <f ca="1">SUM(D41:O41)</f>
        <v>-646433.92866404809</v>
      </c>
    </row>
    <row r="42" spans="1:16" ht="15" customHeight="1" x14ac:dyDescent="0.25"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</row>
    <row r="43" spans="1:16" x14ac:dyDescent="0.25">
      <c r="A43" s="200" t="s">
        <v>117</v>
      </c>
      <c r="B43" s="201"/>
      <c r="C43" s="201"/>
      <c r="D43" s="202"/>
      <c r="E43" s="202"/>
      <c r="F43" s="202"/>
      <c r="G43" s="202"/>
      <c r="H43" s="202"/>
      <c r="I43" s="202"/>
      <c r="J43" s="202"/>
      <c r="K43" s="202"/>
      <c r="L43" s="202"/>
      <c r="M43" s="202"/>
      <c r="N43" s="202"/>
      <c r="O43" s="202"/>
      <c r="P43" s="202"/>
    </row>
    <row r="44" spans="1:16" ht="7.5" customHeight="1" x14ac:dyDescent="0.25">
      <c r="A44" s="166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</row>
    <row r="45" spans="1:16" s="56" customFormat="1" x14ac:dyDescent="0.25">
      <c r="A45" s="203" t="s">
        <v>113</v>
      </c>
      <c r="D45" s="204">
        <f t="shared" ref="D45:P45" ca="1" si="8">IF((D30+D31)=0,"N/A",D26/(D30+D31))</f>
        <v>-0.39609805235184176</v>
      </c>
      <c r="E45" s="204">
        <f t="shared" ca="1" si="8"/>
        <v>-0.16691151894381837</v>
      </c>
      <c r="F45" s="204">
        <f t="shared" ca="1" si="8"/>
        <v>6.2275014464204921E-2</v>
      </c>
      <c r="G45" s="204">
        <f t="shared" ca="1" si="8"/>
        <v>0.29146154787222855</v>
      </c>
      <c r="H45" s="204">
        <f t="shared" ca="1" si="8"/>
        <v>0.52064808128025175</v>
      </c>
      <c r="I45" s="204">
        <f t="shared" ca="1" si="8"/>
        <v>0.74983461468827528</v>
      </c>
      <c r="J45" s="204">
        <f t="shared" ca="1" si="8"/>
        <v>0.97902114809629825</v>
      </c>
      <c r="K45" s="204">
        <f t="shared" ca="1" si="8"/>
        <v>1.2082076815043217</v>
      </c>
      <c r="L45" s="204">
        <f t="shared" ca="1" si="8"/>
        <v>1.3578433487742139</v>
      </c>
      <c r="M45" s="204">
        <f t="shared" ca="1" si="8"/>
        <v>1.3513733743496688</v>
      </c>
      <c r="N45" s="204">
        <f t="shared" ca="1" si="8"/>
        <v>1.3513733743496688</v>
      </c>
      <c r="O45" s="204">
        <f t="shared" ca="1" si="8"/>
        <v>1.3513733743496688</v>
      </c>
      <c r="P45" s="204">
        <f t="shared" ca="1" si="8"/>
        <v>0.72170016570276185</v>
      </c>
    </row>
    <row r="46" spans="1:16" ht="7.5" customHeight="1" x14ac:dyDescent="0.25">
      <c r="A46" s="205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</row>
    <row r="47" spans="1:16" x14ac:dyDescent="0.25">
      <c r="A47" s="205" t="s">
        <v>108</v>
      </c>
      <c r="D47" s="206" t="s">
        <v>322</v>
      </c>
      <c r="E47" s="206">
        <f>E12/D12-1</f>
        <v>1.0000000000000009</v>
      </c>
      <c r="F47" s="206">
        <f t="shared" ref="F47:O47" si="9">F12/E12-1</f>
        <v>0.49999999999999978</v>
      </c>
      <c r="G47" s="206">
        <f t="shared" si="9"/>
        <v>0.33333333333333393</v>
      </c>
      <c r="H47" s="206">
        <f t="shared" si="9"/>
        <v>0.24999999999999978</v>
      </c>
      <c r="I47" s="206">
        <f t="shared" si="9"/>
        <v>0.20000000000000018</v>
      </c>
      <c r="J47" s="206">
        <f t="shared" si="9"/>
        <v>0.16666666666666652</v>
      </c>
      <c r="K47" s="206">
        <f t="shared" si="9"/>
        <v>0.14285714285714279</v>
      </c>
      <c r="L47" s="206">
        <f t="shared" si="9"/>
        <v>8.4999999999999964E-2</v>
      </c>
      <c r="M47" s="206">
        <f t="shared" si="9"/>
        <v>0</v>
      </c>
      <c r="N47" s="206">
        <f t="shared" si="9"/>
        <v>0</v>
      </c>
      <c r="O47" s="206">
        <f t="shared" si="9"/>
        <v>0</v>
      </c>
      <c r="P47" s="206" t="s">
        <v>322</v>
      </c>
    </row>
    <row r="48" spans="1:16" x14ac:dyDescent="0.25">
      <c r="A48" s="205" t="s">
        <v>107</v>
      </c>
      <c r="D48" s="206" t="s">
        <v>322</v>
      </c>
      <c r="E48" s="206">
        <f>E24/D24-1</f>
        <v>4.3484623593089688E-2</v>
      </c>
      <c r="F48" s="206">
        <f t="shared" ref="F48:O48" si="10">F24/E24-1</f>
        <v>4.1672510173994093E-2</v>
      </c>
      <c r="G48" s="206">
        <f t="shared" si="10"/>
        <v>4.0005385346142619E-2</v>
      </c>
      <c r="H48" s="206">
        <f t="shared" si="10"/>
        <v>3.8466517490991503E-2</v>
      </c>
      <c r="I48" s="206">
        <f t="shared" si="10"/>
        <v>3.7041654057300866E-2</v>
      </c>
      <c r="J48" s="206">
        <f t="shared" si="10"/>
        <v>3.5718578817331093E-2</v>
      </c>
      <c r="K48" s="206">
        <f t="shared" si="10"/>
        <v>3.4486760735833455E-2</v>
      </c>
      <c r="L48" s="206">
        <f t="shared" si="10"/>
        <v>2.9953374809365885E-2</v>
      </c>
      <c r="M48" s="206">
        <f t="shared" si="10"/>
        <v>7.3670053278174219E-3</v>
      </c>
      <c r="N48" s="206">
        <f t="shared" si="10"/>
        <v>0</v>
      </c>
      <c r="O48" s="206">
        <f t="shared" si="10"/>
        <v>0</v>
      </c>
      <c r="P48" s="206" t="s">
        <v>322</v>
      </c>
    </row>
    <row r="49" spans="1:16" x14ac:dyDescent="0.25">
      <c r="A49" s="205" t="s">
        <v>54</v>
      </c>
      <c r="B49" s="198"/>
      <c r="D49" s="207">
        <f>D24/D9</f>
        <v>0.27188257181152298</v>
      </c>
      <c r="E49" s="207">
        <f t="shared" ref="E49:P49" si="11">E24/E9</f>
        <v>0.2837052831082682</v>
      </c>
      <c r="F49" s="207">
        <f t="shared" si="11"/>
        <v>0.29552799440501343</v>
      </c>
      <c r="G49" s="207">
        <f t="shared" si="11"/>
        <v>0.30735070570175865</v>
      </c>
      <c r="H49" s="207">
        <f t="shared" si="11"/>
        <v>0.31917341699850393</v>
      </c>
      <c r="I49" s="207">
        <f t="shared" si="11"/>
        <v>0.3309961282952491</v>
      </c>
      <c r="J49" s="207">
        <f t="shared" si="11"/>
        <v>0.34281883959199444</v>
      </c>
      <c r="K49" s="207">
        <f t="shared" si="11"/>
        <v>0.35464155088873961</v>
      </c>
      <c r="L49" s="207">
        <f t="shared" si="11"/>
        <v>0.3652642621854848</v>
      </c>
      <c r="M49" s="207">
        <f t="shared" si="11"/>
        <v>0.36795516595106653</v>
      </c>
      <c r="N49" s="207">
        <f t="shared" si="11"/>
        <v>0.36795516595106653</v>
      </c>
      <c r="O49" s="207">
        <f t="shared" si="11"/>
        <v>0.36795516595106653</v>
      </c>
      <c r="P49" s="207">
        <f t="shared" si="11"/>
        <v>0.33126885423664448</v>
      </c>
    </row>
    <row r="50" spans="1:16" x14ac:dyDescent="0.25">
      <c r="A50" s="208" t="s">
        <v>106</v>
      </c>
      <c r="B50" s="209"/>
      <c r="C50" s="210"/>
      <c r="D50" s="211">
        <f t="shared" ref="D50:P50" si="12">+D26/D9</f>
        <v>-0.16473971466866588</v>
      </c>
      <c r="E50" s="211">
        <f t="shared" si="12"/>
        <v>-6.9419568822553956E-2</v>
      </c>
      <c r="F50" s="211">
        <f t="shared" si="12"/>
        <v>2.5900577023557934E-2</v>
      </c>
      <c r="G50" s="211">
        <f t="shared" si="12"/>
        <v>0.12122072286966996</v>
      </c>
      <c r="H50" s="211">
        <f t="shared" si="12"/>
        <v>0.21654086871578179</v>
      </c>
      <c r="I50" s="211">
        <f t="shared" si="12"/>
        <v>0.3118610145618938</v>
      </c>
      <c r="J50" s="211">
        <f t="shared" si="12"/>
        <v>0.40718116040800556</v>
      </c>
      <c r="K50" s="211">
        <f t="shared" si="12"/>
        <v>0.50250130625411749</v>
      </c>
      <c r="L50" s="211">
        <f t="shared" si="12"/>
        <v>0.56473573781451514</v>
      </c>
      <c r="M50" s="211">
        <f t="shared" si="12"/>
        <v>0.56204483404893335</v>
      </c>
      <c r="N50" s="211">
        <f t="shared" si="12"/>
        <v>0.56204483404893335</v>
      </c>
      <c r="O50" s="211">
        <f t="shared" si="12"/>
        <v>0.56204483404893335</v>
      </c>
      <c r="P50" s="211">
        <f t="shared" si="12"/>
        <v>0.3001597171919268</v>
      </c>
    </row>
    <row r="52" spans="1:16" x14ac:dyDescent="0.25">
      <c r="A52" s="212" t="s">
        <v>351</v>
      </c>
    </row>
    <row r="53" spans="1:16" x14ac:dyDescent="0.25">
      <c r="A53" s="95" t="s">
        <v>352</v>
      </c>
      <c r="D53" s="349">
        <v>30</v>
      </c>
      <c r="E53" s="349">
        <f t="shared" ref="E53:L53" si="13">D53</f>
        <v>30</v>
      </c>
      <c r="F53" s="349">
        <f t="shared" si="13"/>
        <v>30</v>
      </c>
      <c r="G53" s="349">
        <f t="shared" si="13"/>
        <v>30</v>
      </c>
      <c r="H53" s="349">
        <f t="shared" si="13"/>
        <v>30</v>
      </c>
      <c r="I53" s="349">
        <f t="shared" si="13"/>
        <v>30</v>
      </c>
      <c r="J53" s="349">
        <f t="shared" si="13"/>
        <v>30</v>
      </c>
      <c r="K53" s="349">
        <f t="shared" si="13"/>
        <v>30</v>
      </c>
      <c r="L53" s="349">
        <f t="shared" si="13"/>
        <v>30</v>
      </c>
      <c r="M53" s="349">
        <v>10</v>
      </c>
      <c r="N53" s="349">
        <v>0</v>
      </c>
      <c r="O53" s="349">
        <v>0</v>
      </c>
      <c r="P53">
        <f>SUM(D53:O53)</f>
        <v>280</v>
      </c>
    </row>
    <row r="54" spans="1:16" x14ac:dyDescent="0.25">
      <c r="A54" s="95" t="s">
        <v>353</v>
      </c>
      <c r="D54">
        <f>MIN(SUM($D$53:D53),'Unit Mix+Rents'!$D$14)</f>
        <v>30</v>
      </c>
      <c r="E54">
        <f>D53+E53</f>
        <v>60</v>
      </c>
      <c r="F54">
        <f t="shared" ref="F54:O54" si="14">E54+F53</f>
        <v>90</v>
      </c>
      <c r="G54">
        <f t="shared" si="14"/>
        <v>120</v>
      </c>
      <c r="H54">
        <f t="shared" si="14"/>
        <v>150</v>
      </c>
      <c r="I54">
        <f t="shared" si="14"/>
        <v>180</v>
      </c>
      <c r="J54">
        <f t="shared" si="14"/>
        <v>210</v>
      </c>
      <c r="K54">
        <f t="shared" si="14"/>
        <v>240</v>
      </c>
      <c r="L54">
        <f t="shared" si="14"/>
        <v>270</v>
      </c>
      <c r="M54">
        <f t="shared" si="14"/>
        <v>280</v>
      </c>
      <c r="N54">
        <f t="shared" si="14"/>
        <v>280</v>
      </c>
      <c r="O54">
        <f t="shared" si="14"/>
        <v>280</v>
      </c>
    </row>
    <row r="55" spans="1:16" x14ac:dyDescent="0.25">
      <c r="A55" s="95" t="s">
        <v>354</v>
      </c>
      <c r="D55" s="213">
        <f>D54/'Unit Mix+Rents'!$D$14</f>
        <v>0.10714285714285714</v>
      </c>
      <c r="E55" s="213">
        <f>E54/'Unit Mix+Rents'!$D$14</f>
        <v>0.21428571428571427</v>
      </c>
      <c r="F55" s="213">
        <f>F54/'Unit Mix+Rents'!$D$14</f>
        <v>0.32142857142857145</v>
      </c>
      <c r="G55" s="213">
        <f>G54/'Unit Mix+Rents'!$D$14</f>
        <v>0.42857142857142855</v>
      </c>
      <c r="H55" s="213">
        <f>H54/'Unit Mix+Rents'!$D$14</f>
        <v>0.5357142857142857</v>
      </c>
      <c r="I55" s="213">
        <f>I54/'Unit Mix+Rents'!$D$14</f>
        <v>0.6428571428571429</v>
      </c>
      <c r="J55" s="213">
        <f>J54/'Unit Mix+Rents'!$D$14</f>
        <v>0.75</v>
      </c>
      <c r="K55" s="213">
        <f>K54/'Unit Mix+Rents'!$D$14</f>
        <v>0.8571428571428571</v>
      </c>
      <c r="L55" s="213">
        <f>L54/'Unit Mix+Rents'!$D$14</f>
        <v>0.9642857142857143</v>
      </c>
      <c r="M55" s="213">
        <f>M54/'Unit Mix+Rents'!$D$14</f>
        <v>1</v>
      </c>
      <c r="N55" s="213">
        <f>N54/'Unit Mix+Rents'!$D$14</f>
        <v>1</v>
      </c>
      <c r="O55" s="213">
        <f>O54/'Unit Mix+Rents'!$D$14</f>
        <v>1</v>
      </c>
    </row>
  </sheetData>
  <conditionalFormatting sqref="D45:P45">
    <cfRule type="cellIs" dxfId="6" priority="1" operator="lessThan">
      <formula>1.15</formula>
    </cfRule>
    <cfRule type="cellIs" dxfId="5" priority="2" operator="greaterThan">
      <formula>1.4</formula>
    </cfRule>
  </conditionalFormatting>
  <pageMargins left="0.5" right="0.5" top="0.5" bottom="0.5" header="0.3" footer="0.3"/>
  <pageSetup scale="68" fitToWidth="0" fitToHeight="0" orientation="landscape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5F4DA-35EC-46B0-988E-F990B28284BE}">
  <dimension ref="A1:V51"/>
  <sheetViews>
    <sheetView topLeftCell="M1" zoomScale="80" zoomScaleNormal="80" workbookViewId="0">
      <selection activeCell="G20" sqref="G20"/>
    </sheetView>
  </sheetViews>
  <sheetFormatPr defaultRowHeight="15" outlineLevelCol="1" x14ac:dyDescent="0.25"/>
  <cols>
    <col min="1" max="1" width="1.42578125" customWidth="1"/>
    <col min="2" max="3" width="15.7109375" customWidth="1"/>
    <col min="4" max="13" width="12.85546875" customWidth="1"/>
    <col min="14" max="20" width="12.85546875" customWidth="1" outlineLevel="1"/>
    <col min="21" max="22" width="12.85546875" customWidth="1"/>
  </cols>
  <sheetData>
    <row r="1" spans="1:22" ht="22.5" customHeight="1" x14ac:dyDescent="0.25">
      <c r="A1" s="38" t="s">
        <v>87</v>
      </c>
    </row>
    <row r="2" spans="1:22" ht="12" customHeight="1" x14ac:dyDescent="0.25">
      <c r="A2" s="31"/>
      <c r="C2" s="31"/>
    </row>
    <row r="4" spans="1:22" x14ac:dyDescent="0.25">
      <c r="D4" s="67" t="s">
        <v>89</v>
      </c>
      <c r="E4" s="67" t="s">
        <v>90</v>
      </c>
      <c r="F4" s="67" t="s">
        <v>91</v>
      </c>
      <c r="G4" s="67" t="s">
        <v>92</v>
      </c>
      <c r="H4" s="67" t="s">
        <v>93</v>
      </c>
      <c r="I4" s="67" t="s">
        <v>94</v>
      </c>
      <c r="J4" s="67" t="s">
        <v>95</v>
      </c>
      <c r="K4" s="67" t="s">
        <v>96</v>
      </c>
      <c r="L4" s="67" t="s">
        <v>97</v>
      </c>
      <c r="M4" s="67" t="s">
        <v>98</v>
      </c>
      <c r="N4" s="67" t="s">
        <v>99</v>
      </c>
      <c r="O4" s="67" t="s">
        <v>100</v>
      </c>
      <c r="P4" s="67" t="s">
        <v>101</v>
      </c>
      <c r="Q4" s="67" t="s">
        <v>102</v>
      </c>
      <c r="R4" s="67" t="s">
        <v>103</v>
      </c>
      <c r="S4" s="67" t="s">
        <v>104</v>
      </c>
      <c r="T4" s="84" t="s">
        <v>105</v>
      </c>
      <c r="U4" s="67" t="s">
        <v>88</v>
      </c>
      <c r="V4" s="67" t="s">
        <v>85</v>
      </c>
    </row>
    <row r="5" spans="1:22" ht="3.75" customHeight="1" x14ac:dyDescent="0.25">
      <c r="U5" s="214"/>
      <c r="V5" s="166"/>
    </row>
    <row r="6" spans="1:22" x14ac:dyDescent="0.25">
      <c r="A6" s="185" t="s">
        <v>45</v>
      </c>
      <c r="B6" s="40"/>
      <c r="D6" s="72">
        <f>+'Lease-Up Period'!P6</f>
        <v>3487920</v>
      </c>
      <c r="E6" s="72">
        <f t="shared" ref="E6:T6" si="0">+D6*(1+$D$48)</f>
        <v>3557678.4</v>
      </c>
      <c r="F6" s="72">
        <f t="shared" si="0"/>
        <v>3628831.9679999999</v>
      </c>
      <c r="G6" s="72">
        <f t="shared" si="0"/>
        <v>3701408.6073599998</v>
      </c>
      <c r="H6" s="72">
        <f t="shared" si="0"/>
        <v>3775436.7795071998</v>
      </c>
      <c r="I6" s="72">
        <f t="shared" si="0"/>
        <v>3850945.5150973438</v>
      </c>
      <c r="J6" s="72">
        <f t="shared" si="0"/>
        <v>3927964.4253992909</v>
      </c>
      <c r="K6" s="72">
        <f t="shared" si="0"/>
        <v>4006523.7139072767</v>
      </c>
      <c r="L6" s="72">
        <f t="shared" si="0"/>
        <v>4086654.1881854222</v>
      </c>
      <c r="M6" s="72">
        <f t="shared" si="0"/>
        <v>4168387.2719491306</v>
      </c>
      <c r="N6" s="72">
        <f t="shared" si="0"/>
        <v>4251755.0173881128</v>
      </c>
      <c r="O6" s="72">
        <f t="shared" si="0"/>
        <v>4336790.1177358748</v>
      </c>
      <c r="P6" s="72">
        <f t="shared" si="0"/>
        <v>4423525.9200905925</v>
      </c>
      <c r="Q6" s="72">
        <f t="shared" si="0"/>
        <v>4511996.4384924043</v>
      </c>
      <c r="R6" s="72">
        <f t="shared" si="0"/>
        <v>4602236.3672622526</v>
      </c>
      <c r="S6" s="72">
        <f t="shared" si="0"/>
        <v>4694281.0946074976</v>
      </c>
      <c r="T6" s="72">
        <f t="shared" si="0"/>
        <v>4788166.7164996481</v>
      </c>
      <c r="U6" s="215">
        <f>+SUM(N6:T6)</f>
        <v>31608751.672076385</v>
      </c>
      <c r="V6" s="169">
        <f>+SUM(D6:M6,U6)</f>
        <v>69800502.541482046</v>
      </c>
    </row>
    <row r="7" spans="1:22" x14ac:dyDescent="0.25">
      <c r="A7" s="185" t="s">
        <v>47</v>
      </c>
      <c r="B7" s="40"/>
      <c r="D7" s="127">
        <f>+'Lease-Up Period'!P7</f>
        <v>33600</v>
      </c>
      <c r="E7" s="127">
        <f t="shared" ref="E7:T7" si="1">+D7*(1+$D$48)</f>
        <v>34272</v>
      </c>
      <c r="F7" s="127">
        <f t="shared" si="1"/>
        <v>34957.440000000002</v>
      </c>
      <c r="G7" s="127">
        <f t="shared" si="1"/>
        <v>35656.588800000005</v>
      </c>
      <c r="H7" s="127">
        <f t="shared" si="1"/>
        <v>36369.720576000007</v>
      </c>
      <c r="I7" s="127">
        <f t="shared" si="1"/>
        <v>37097.114987520006</v>
      </c>
      <c r="J7" s="127">
        <f t="shared" si="1"/>
        <v>37839.057287270407</v>
      </c>
      <c r="K7" s="127">
        <f t="shared" si="1"/>
        <v>38595.838433015815</v>
      </c>
      <c r="L7" s="127">
        <f t="shared" si="1"/>
        <v>39367.755201676133</v>
      </c>
      <c r="M7" s="127">
        <f t="shared" si="1"/>
        <v>40155.110305709655</v>
      </c>
      <c r="N7" s="127">
        <f t="shared" si="1"/>
        <v>40958.212511823847</v>
      </c>
      <c r="O7" s="127">
        <f t="shared" si="1"/>
        <v>41777.376762060325</v>
      </c>
      <c r="P7" s="127">
        <f t="shared" si="1"/>
        <v>42612.924297301535</v>
      </c>
      <c r="Q7" s="127">
        <f t="shared" si="1"/>
        <v>43465.182783247568</v>
      </c>
      <c r="R7" s="127">
        <f t="shared" si="1"/>
        <v>44334.486438912521</v>
      </c>
      <c r="S7" s="127">
        <f t="shared" si="1"/>
        <v>45221.17616769077</v>
      </c>
      <c r="T7" s="127">
        <f t="shared" si="1"/>
        <v>46125.599691044583</v>
      </c>
      <c r="U7" s="216">
        <f>+SUM(N7:T7)</f>
        <v>304494.95865208114</v>
      </c>
      <c r="V7" s="171">
        <f>+SUM(D7:M7,U7)</f>
        <v>672405.58424327313</v>
      </c>
    </row>
    <row r="8" spans="1:22" ht="4.5" customHeight="1" x14ac:dyDescent="0.25">
      <c r="A8" s="189"/>
      <c r="B8" s="40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2"/>
      <c r="T8" s="72"/>
      <c r="U8" s="215"/>
      <c r="V8" s="169"/>
    </row>
    <row r="9" spans="1:22" x14ac:dyDescent="0.25">
      <c r="A9" s="48" t="s">
        <v>259</v>
      </c>
      <c r="B9" s="48"/>
      <c r="D9" s="128">
        <f t="shared" ref="D9:V9" si="2">+SUM(D6:D7)</f>
        <v>3521520</v>
      </c>
      <c r="E9" s="128">
        <f t="shared" si="2"/>
        <v>3591950.4</v>
      </c>
      <c r="F9" s="128">
        <f t="shared" si="2"/>
        <v>3663789.4079999998</v>
      </c>
      <c r="G9" s="128">
        <f t="shared" si="2"/>
        <v>3737065.1961599998</v>
      </c>
      <c r="H9" s="128">
        <f t="shared" si="2"/>
        <v>3811806.5000831997</v>
      </c>
      <c r="I9" s="128">
        <f t="shared" si="2"/>
        <v>3888042.6300848639</v>
      </c>
      <c r="J9" s="128">
        <f t="shared" si="2"/>
        <v>3965803.4826865611</v>
      </c>
      <c r="K9" s="128">
        <f t="shared" si="2"/>
        <v>4045119.5523402924</v>
      </c>
      <c r="L9" s="128">
        <f t="shared" si="2"/>
        <v>4126021.9433870981</v>
      </c>
      <c r="M9" s="128">
        <f t="shared" si="2"/>
        <v>4208542.3822548399</v>
      </c>
      <c r="N9" s="128">
        <f t="shared" si="2"/>
        <v>4292713.2298999364</v>
      </c>
      <c r="O9" s="128">
        <f t="shared" si="2"/>
        <v>4378567.4944979353</v>
      </c>
      <c r="P9" s="128">
        <f t="shared" si="2"/>
        <v>4466138.8443878936</v>
      </c>
      <c r="Q9" s="128">
        <f t="shared" si="2"/>
        <v>4555461.6212756522</v>
      </c>
      <c r="R9" s="128">
        <f t="shared" si="2"/>
        <v>4646570.8537011649</v>
      </c>
      <c r="S9" s="128">
        <f t="shared" si="2"/>
        <v>4739502.2707751887</v>
      </c>
      <c r="T9" s="128">
        <f t="shared" si="2"/>
        <v>4834292.3161906926</v>
      </c>
      <c r="U9" s="217">
        <f t="shared" si="2"/>
        <v>31913246.630728468</v>
      </c>
      <c r="V9" s="176">
        <f t="shared" si="2"/>
        <v>70472908.125725314</v>
      </c>
    </row>
    <row r="10" spans="1:22" x14ac:dyDescent="0.25">
      <c r="A10" s="185" t="s">
        <v>46</v>
      </c>
      <c r="B10" s="40"/>
      <c r="D10" s="127">
        <f>+'Lease-Up Period'!P10</f>
        <v>-1297931.6571428571</v>
      </c>
      <c r="E10" s="127">
        <f>-'NOI Calc'!$D$11*'17-year Pro Forma'!E9</f>
        <v>-251436.52800000002</v>
      </c>
      <c r="F10" s="127">
        <f>-'NOI Calc'!$D$11*'17-year Pro Forma'!F9</f>
        <v>-256465.25856000002</v>
      </c>
      <c r="G10" s="127">
        <f>-'NOI Calc'!$D$11*'17-year Pro Forma'!G9</f>
        <v>-261594.5637312</v>
      </c>
      <c r="H10" s="127">
        <f>-'NOI Calc'!$D$11*'17-year Pro Forma'!H9</f>
        <v>-266826.45500582398</v>
      </c>
      <c r="I10" s="127">
        <f>-'NOI Calc'!$D$11*'17-year Pro Forma'!I9</f>
        <v>-272162.9841059405</v>
      </c>
      <c r="J10" s="127">
        <f>-'NOI Calc'!$D$11*'17-year Pro Forma'!J9</f>
        <v>-277606.24378805928</v>
      </c>
      <c r="K10" s="127">
        <f>-'NOI Calc'!$D$11*'17-year Pro Forma'!K9</f>
        <v>-283158.3686638205</v>
      </c>
      <c r="L10" s="127">
        <f>-'NOI Calc'!$D$11*'17-year Pro Forma'!L9</f>
        <v>-288821.53603709687</v>
      </c>
      <c r="M10" s="127">
        <f>-'NOI Calc'!$D$11*'17-year Pro Forma'!M9</f>
        <v>-294597.96675783885</v>
      </c>
      <c r="N10" s="127">
        <f>-'NOI Calc'!$D$11*'17-year Pro Forma'!N9</f>
        <v>-300489.92609299556</v>
      </c>
      <c r="O10" s="127">
        <f>-'NOI Calc'!$D$11*'17-year Pro Forma'!O9</f>
        <v>-306499.72461485548</v>
      </c>
      <c r="P10" s="127">
        <f>-'NOI Calc'!$D$11*'17-year Pro Forma'!P9</f>
        <v>-312629.7191071526</v>
      </c>
      <c r="Q10" s="127">
        <f>-'NOI Calc'!$D$11*'17-year Pro Forma'!Q9</f>
        <v>-318882.31348929566</v>
      </c>
      <c r="R10" s="127">
        <f>-'NOI Calc'!$D$11*'17-year Pro Forma'!R9</f>
        <v>-325259.9597590816</v>
      </c>
      <c r="S10" s="127">
        <f>-'NOI Calc'!$D$11*'17-year Pro Forma'!S9</f>
        <v>-331765.15895426326</v>
      </c>
      <c r="T10" s="127">
        <f>-'NOI Calc'!$D$11*'17-year Pro Forma'!T9</f>
        <v>-338400.46213334851</v>
      </c>
      <c r="U10" s="216">
        <f>+SUM(N10:T10)</f>
        <v>-2233927.2641509925</v>
      </c>
      <c r="V10" s="171">
        <f>+SUM(D10:M10,U10)</f>
        <v>-5984528.8259436302</v>
      </c>
    </row>
    <row r="11" spans="1:22" ht="4.5" customHeight="1" x14ac:dyDescent="0.25">
      <c r="A11" s="189"/>
      <c r="B11" s="40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215"/>
      <c r="V11" s="169"/>
    </row>
    <row r="12" spans="1:22" s="47" customFormat="1" x14ac:dyDescent="0.25">
      <c r="A12" s="48" t="s">
        <v>258</v>
      </c>
      <c r="B12" s="48"/>
      <c r="D12" s="128">
        <f t="shared" ref="D12:V12" si="3">+D9+D10</f>
        <v>2223588.3428571429</v>
      </c>
      <c r="E12" s="128">
        <f t="shared" si="3"/>
        <v>3340513.872</v>
      </c>
      <c r="F12" s="128">
        <f t="shared" si="3"/>
        <v>3407324.1494399998</v>
      </c>
      <c r="G12" s="128">
        <f t="shared" si="3"/>
        <v>3475470.6324287998</v>
      </c>
      <c r="H12" s="128">
        <f t="shared" si="3"/>
        <v>3544980.0450773756</v>
      </c>
      <c r="I12" s="128">
        <f t="shared" si="3"/>
        <v>3615879.6459789234</v>
      </c>
      <c r="J12" s="128">
        <f t="shared" si="3"/>
        <v>3688197.2388985017</v>
      </c>
      <c r="K12" s="128">
        <f t="shared" si="3"/>
        <v>3761961.1836764719</v>
      </c>
      <c r="L12" s="128">
        <f t="shared" si="3"/>
        <v>3837200.4073500014</v>
      </c>
      <c r="M12" s="128">
        <f t="shared" si="3"/>
        <v>3913944.4154970013</v>
      </c>
      <c r="N12" s="128">
        <f t="shared" si="3"/>
        <v>3992223.303806941</v>
      </c>
      <c r="O12" s="128">
        <f t="shared" si="3"/>
        <v>4072067.7698830799</v>
      </c>
      <c r="P12" s="128">
        <f t="shared" si="3"/>
        <v>4153509.1252807411</v>
      </c>
      <c r="Q12" s="128">
        <f t="shared" si="3"/>
        <v>4236579.3077863567</v>
      </c>
      <c r="R12" s="128">
        <f t="shared" si="3"/>
        <v>4321310.8939420832</v>
      </c>
      <c r="S12" s="128">
        <f t="shared" si="3"/>
        <v>4407737.111820925</v>
      </c>
      <c r="T12" s="128">
        <f t="shared" si="3"/>
        <v>4495891.8540573437</v>
      </c>
      <c r="U12" s="217">
        <f t="shared" si="3"/>
        <v>29679319.366577476</v>
      </c>
      <c r="V12" s="176">
        <f t="shared" si="3"/>
        <v>64488379.29978168</v>
      </c>
    </row>
    <row r="13" spans="1:22" ht="7.5" customHeight="1" x14ac:dyDescent="0.25">
      <c r="A13" s="40"/>
      <c r="B13" s="40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169"/>
      <c r="V13" s="169"/>
    </row>
    <row r="14" spans="1:22" x14ac:dyDescent="0.25">
      <c r="A14" s="40" t="s">
        <v>48</v>
      </c>
      <c r="B14" s="40"/>
      <c r="U14" s="166"/>
      <c r="V14" s="166"/>
    </row>
    <row r="15" spans="1:22" ht="4.5" customHeight="1" x14ac:dyDescent="0.25">
      <c r="A15" s="40"/>
      <c r="B15" s="40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169"/>
      <c r="V15" s="169"/>
    </row>
    <row r="16" spans="1:22" ht="15" customHeight="1" x14ac:dyDescent="0.25">
      <c r="A16" s="185"/>
      <c r="B16" s="40" t="s">
        <v>49</v>
      </c>
      <c r="D16" s="72">
        <f>+'Lease-Up Period'!P16</f>
        <v>77825.592000000004</v>
      </c>
      <c r="E16" s="72">
        <f>+E12*'NOI Calc'!$D$16</f>
        <v>116917.98552000002</v>
      </c>
      <c r="F16" s="72">
        <f>+F12*'NOI Calc'!$D$16</f>
        <v>119256.34523040001</v>
      </c>
      <c r="G16" s="72">
        <f>+G12*'NOI Calc'!$D$16</f>
        <v>121641.47213500801</v>
      </c>
      <c r="H16" s="72">
        <f>+H12*'NOI Calc'!$D$16</f>
        <v>124074.30157770816</v>
      </c>
      <c r="I16" s="72">
        <f>+I12*'NOI Calc'!$D$16</f>
        <v>126555.78760926233</v>
      </c>
      <c r="J16" s="72">
        <f>+J12*'NOI Calc'!$D$16</f>
        <v>129086.90336144758</v>
      </c>
      <c r="K16" s="72">
        <f>+K12*'NOI Calc'!$D$16</f>
        <v>131668.64142867652</v>
      </c>
      <c r="L16" s="72">
        <f>+L12*'NOI Calc'!$D$16</f>
        <v>134302.01425725006</v>
      </c>
      <c r="M16" s="72">
        <f>+M12*'NOI Calc'!$D$16</f>
        <v>136988.05454239505</v>
      </c>
      <c r="N16" s="72">
        <f>+N12*'NOI Calc'!$D$16</f>
        <v>139727.81563324295</v>
      </c>
      <c r="O16" s="72">
        <f>+O12*'NOI Calc'!$D$16</f>
        <v>142522.3719459078</v>
      </c>
      <c r="P16" s="72">
        <f>+P12*'NOI Calc'!$D$16</f>
        <v>145372.81938482594</v>
      </c>
      <c r="Q16" s="72">
        <f>+Q12*'NOI Calc'!$D$16</f>
        <v>148280.27577252249</v>
      </c>
      <c r="R16" s="72">
        <f>+R12*'NOI Calc'!$D$16</f>
        <v>151245.88128797294</v>
      </c>
      <c r="S16" s="72">
        <f>+S12*'NOI Calc'!$D$16</f>
        <v>154270.7989137324</v>
      </c>
      <c r="T16" s="72">
        <f>+T12*'NOI Calc'!$D$16</f>
        <v>157356.21489200703</v>
      </c>
      <c r="U16" s="169">
        <f t="shared" ref="U16:U22" si="4">+SUM(N16:T16)</f>
        <v>1038776.1778302116</v>
      </c>
      <c r="V16" s="169">
        <f t="shared" ref="V16:V22" si="5">+SUM(D16:M16,U16)</f>
        <v>2257093.2754923594</v>
      </c>
    </row>
    <row r="17" spans="1:22" ht="15" customHeight="1" x14ac:dyDescent="0.25">
      <c r="A17" s="185"/>
      <c r="B17" s="40" t="s">
        <v>261</v>
      </c>
      <c r="D17" s="72">
        <f>+'Lease-Up Period'!P17</f>
        <v>187615.99999999997</v>
      </c>
      <c r="E17" s="72">
        <f t="shared" ref="E17:T17" si="6">+D17*(1+$D$49)</f>
        <v>193244.47999999998</v>
      </c>
      <c r="F17" s="72">
        <f t="shared" si="6"/>
        <v>199041.81439999997</v>
      </c>
      <c r="G17" s="72">
        <f t="shared" si="6"/>
        <v>205013.06883199999</v>
      </c>
      <c r="H17" s="72">
        <f t="shared" si="6"/>
        <v>211163.46089695999</v>
      </c>
      <c r="I17" s="72">
        <f t="shared" si="6"/>
        <v>217498.36472386881</v>
      </c>
      <c r="J17" s="72">
        <f t="shared" si="6"/>
        <v>224023.31566558487</v>
      </c>
      <c r="K17" s="72">
        <f t="shared" si="6"/>
        <v>230744.01513555241</v>
      </c>
      <c r="L17" s="72">
        <f t="shared" si="6"/>
        <v>237666.335589619</v>
      </c>
      <c r="M17" s="72">
        <f t="shared" si="6"/>
        <v>244796.32565730758</v>
      </c>
      <c r="N17" s="72">
        <f t="shared" si="6"/>
        <v>252140.21542702682</v>
      </c>
      <c r="O17" s="72">
        <f t="shared" si="6"/>
        <v>259704.42188983763</v>
      </c>
      <c r="P17" s="72">
        <f t="shared" si="6"/>
        <v>267495.55454653275</v>
      </c>
      <c r="Q17" s="72">
        <f t="shared" si="6"/>
        <v>275520.42118292872</v>
      </c>
      <c r="R17" s="72">
        <f t="shared" si="6"/>
        <v>283786.03381841659</v>
      </c>
      <c r="S17" s="72">
        <f t="shared" si="6"/>
        <v>292299.61483296909</v>
      </c>
      <c r="T17" s="72">
        <f t="shared" si="6"/>
        <v>301068.60327795817</v>
      </c>
      <c r="U17" s="169">
        <f t="shared" si="4"/>
        <v>1932014.8649756697</v>
      </c>
      <c r="V17" s="169">
        <f t="shared" si="5"/>
        <v>4082822.0458765626</v>
      </c>
    </row>
    <row r="18" spans="1:22" ht="15" customHeight="1" x14ac:dyDescent="0.25">
      <c r="A18" s="185"/>
      <c r="B18" s="40" t="s">
        <v>225</v>
      </c>
      <c r="D18" s="72">
        <f>+'Lease-Up Period'!P18</f>
        <v>138700</v>
      </c>
      <c r="E18" s="72">
        <f>+'NOI Calc'!J18*(1+$D$49)</f>
        <v>219184</v>
      </c>
      <c r="F18" s="72">
        <f t="shared" ref="F18:T18" si="7">+E18*(1+$D$49)</f>
        <v>225759.52000000002</v>
      </c>
      <c r="G18" s="72">
        <f t="shared" si="7"/>
        <v>232532.30560000002</v>
      </c>
      <c r="H18" s="72">
        <f t="shared" si="7"/>
        <v>239508.27476800003</v>
      </c>
      <c r="I18" s="72">
        <f t="shared" si="7"/>
        <v>246693.52301104003</v>
      </c>
      <c r="J18" s="72">
        <f t="shared" si="7"/>
        <v>254094.32870137124</v>
      </c>
      <c r="K18" s="72">
        <f t="shared" si="7"/>
        <v>261717.1585624124</v>
      </c>
      <c r="L18" s="72">
        <f t="shared" si="7"/>
        <v>269568.6733192848</v>
      </c>
      <c r="M18" s="72">
        <f t="shared" si="7"/>
        <v>277655.73351886333</v>
      </c>
      <c r="N18" s="72">
        <f t="shared" si="7"/>
        <v>285985.40552442922</v>
      </c>
      <c r="O18" s="72">
        <f t="shared" si="7"/>
        <v>294564.96769016213</v>
      </c>
      <c r="P18" s="72">
        <f t="shared" si="7"/>
        <v>303401.91672086698</v>
      </c>
      <c r="Q18" s="72">
        <f t="shared" si="7"/>
        <v>312503.97422249301</v>
      </c>
      <c r="R18" s="72">
        <f t="shared" si="7"/>
        <v>321879.09344916779</v>
      </c>
      <c r="S18" s="72">
        <f t="shared" si="7"/>
        <v>331535.46625264286</v>
      </c>
      <c r="T18" s="72">
        <f t="shared" si="7"/>
        <v>341481.53024022217</v>
      </c>
      <c r="U18" s="169">
        <f t="shared" si="4"/>
        <v>2191352.3540999843</v>
      </c>
      <c r="V18" s="169">
        <f t="shared" si="5"/>
        <v>4556765.8715809565</v>
      </c>
    </row>
    <row r="19" spans="1:22" ht="15" customHeight="1" x14ac:dyDescent="0.25">
      <c r="A19" s="185"/>
      <c r="B19" s="40" t="s">
        <v>51</v>
      </c>
      <c r="D19" s="72">
        <f>+'Lease-Up Period'!P19</f>
        <v>191828.30357142858</v>
      </c>
      <c r="E19" s="72">
        <f>+'NOI Calc'!J19*(1+$D$49)</f>
        <v>216423.6</v>
      </c>
      <c r="F19" s="72">
        <f t="shared" ref="F19:T19" si="8">+E19*(1+$D$49)</f>
        <v>222916.30800000002</v>
      </c>
      <c r="G19" s="72">
        <f t="shared" si="8"/>
        <v>229603.79724000001</v>
      </c>
      <c r="H19" s="72">
        <f t="shared" si="8"/>
        <v>236491.91115720003</v>
      </c>
      <c r="I19" s="72">
        <f t="shared" si="8"/>
        <v>243586.66849191603</v>
      </c>
      <c r="J19" s="72">
        <f t="shared" si="8"/>
        <v>250894.26854667353</v>
      </c>
      <c r="K19" s="72">
        <f t="shared" si="8"/>
        <v>258421.09660307373</v>
      </c>
      <c r="L19" s="72">
        <f t="shared" si="8"/>
        <v>266173.72950116597</v>
      </c>
      <c r="M19" s="72">
        <f t="shared" si="8"/>
        <v>274158.94138620095</v>
      </c>
      <c r="N19" s="72">
        <f t="shared" si="8"/>
        <v>282383.709627787</v>
      </c>
      <c r="O19" s="72">
        <f t="shared" si="8"/>
        <v>290855.22091662063</v>
      </c>
      <c r="P19" s="72">
        <f t="shared" si="8"/>
        <v>299580.87754411926</v>
      </c>
      <c r="Q19" s="72">
        <f t="shared" si="8"/>
        <v>308568.30387044285</v>
      </c>
      <c r="R19" s="72">
        <f t="shared" si="8"/>
        <v>317825.35298655613</v>
      </c>
      <c r="S19" s="72">
        <f t="shared" si="8"/>
        <v>327360.11357615283</v>
      </c>
      <c r="T19" s="72">
        <f t="shared" si="8"/>
        <v>337180.91698343743</v>
      </c>
      <c r="U19" s="169">
        <f t="shared" si="4"/>
        <v>2163754.4955051159</v>
      </c>
      <c r="V19" s="169">
        <f t="shared" si="5"/>
        <v>4554253.1200027745</v>
      </c>
    </row>
    <row r="20" spans="1:22" ht="15" customHeight="1" x14ac:dyDescent="0.25">
      <c r="A20" s="185"/>
      <c r="B20" s="40" t="s">
        <v>260</v>
      </c>
      <c r="D20" s="72">
        <f>+'Lease-Up Period'!P20</f>
        <v>100599.99999999999</v>
      </c>
      <c r="E20" s="72">
        <f>+D20*(1+$D$49)</f>
        <v>103617.99999999999</v>
      </c>
      <c r="F20" s="72">
        <f t="shared" ref="F20:T20" si="9">+E20*(1+$D$49)</f>
        <v>106726.54</v>
      </c>
      <c r="G20" s="72">
        <f t="shared" si="9"/>
        <v>109928.33619999999</v>
      </c>
      <c r="H20" s="72">
        <f t="shared" si="9"/>
        <v>113226.186286</v>
      </c>
      <c r="I20" s="72">
        <f t="shared" si="9"/>
        <v>116622.97187458001</v>
      </c>
      <c r="J20" s="72">
        <f t="shared" si="9"/>
        <v>120121.66103081741</v>
      </c>
      <c r="K20" s="72">
        <f t="shared" si="9"/>
        <v>123725.31086174193</v>
      </c>
      <c r="L20" s="72">
        <f t="shared" si="9"/>
        <v>127437.0701875942</v>
      </c>
      <c r="M20" s="72">
        <f t="shared" si="9"/>
        <v>131260.18229322202</v>
      </c>
      <c r="N20" s="72">
        <f t="shared" si="9"/>
        <v>135197.98776201869</v>
      </c>
      <c r="O20" s="72">
        <f t="shared" si="9"/>
        <v>139253.92739487925</v>
      </c>
      <c r="P20" s="72">
        <f t="shared" si="9"/>
        <v>143431.54521672564</v>
      </c>
      <c r="Q20" s="72">
        <f t="shared" si="9"/>
        <v>147734.49157322742</v>
      </c>
      <c r="R20" s="72">
        <f t="shared" si="9"/>
        <v>152166.52632042425</v>
      </c>
      <c r="S20" s="72">
        <f t="shared" si="9"/>
        <v>156731.52211003698</v>
      </c>
      <c r="T20" s="72">
        <f t="shared" si="9"/>
        <v>161433.46777333808</v>
      </c>
      <c r="U20" s="169">
        <f t="shared" si="4"/>
        <v>1035949.4681506504</v>
      </c>
      <c r="V20" s="169">
        <f t="shared" si="5"/>
        <v>2189215.7268846058</v>
      </c>
    </row>
    <row r="21" spans="1:22" ht="15" customHeight="1" x14ac:dyDescent="0.25">
      <c r="A21" s="185"/>
      <c r="B21" s="40" t="s">
        <v>215</v>
      </c>
      <c r="D21" s="72">
        <f>+'Lease-Up Period'!P21</f>
        <v>420000</v>
      </c>
      <c r="E21" s="72">
        <f>+D21*(1+$D$49)</f>
        <v>432600</v>
      </c>
      <c r="F21" s="72">
        <f t="shared" ref="F21:T21" si="10">+E21*(1+$D$49)</f>
        <v>445578</v>
      </c>
      <c r="G21" s="72">
        <f t="shared" si="10"/>
        <v>458945.34</v>
      </c>
      <c r="H21" s="72">
        <f t="shared" si="10"/>
        <v>472713.70020000002</v>
      </c>
      <c r="I21" s="72">
        <f t="shared" si="10"/>
        <v>486895.11120600003</v>
      </c>
      <c r="J21" s="72">
        <f t="shared" si="10"/>
        <v>501501.96454218007</v>
      </c>
      <c r="K21" s="72">
        <f t="shared" si="10"/>
        <v>516547.02347844548</v>
      </c>
      <c r="L21" s="72">
        <f t="shared" si="10"/>
        <v>532043.43418279884</v>
      </c>
      <c r="M21" s="72">
        <f t="shared" si="10"/>
        <v>548004.73720828281</v>
      </c>
      <c r="N21" s="72">
        <f t="shared" si="10"/>
        <v>564444.8793245313</v>
      </c>
      <c r="O21" s="72">
        <f t="shared" si="10"/>
        <v>581378.22570426727</v>
      </c>
      <c r="P21" s="72">
        <f t="shared" si="10"/>
        <v>598819.57247539528</v>
      </c>
      <c r="Q21" s="72">
        <f t="shared" si="10"/>
        <v>616784.1596496572</v>
      </c>
      <c r="R21" s="72">
        <f t="shared" si="10"/>
        <v>635287.68443914689</v>
      </c>
      <c r="S21" s="72">
        <f t="shared" si="10"/>
        <v>654346.31497232127</v>
      </c>
      <c r="T21" s="72">
        <f t="shared" si="10"/>
        <v>673976.7044214909</v>
      </c>
      <c r="U21" s="169">
        <f t="shared" si="4"/>
        <v>4325037.5409868099</v>
      </c>
      <c r="V21" s="169">
        <f t="shared" si="5"/>
        <v>9139866.8518045172</v>
      </c>
    </row>
    <row r="22" spans="1:22" ht="15" customHeight="1" x14ac:dyDescent="0.25">
      <c r="A22" s="185"/>
      <c r="B22" s="40" t="s">
        <v>179</v>
      </c>
      <c r="D22" s="127">
        <f>+'Lease-Up Period'!P22</f>
        <v>49999.999999999993</v>
      </c>
      <c r="E22" s="127">
        <f t="shared" ref="E22:M22" si="11">$D$22</f>
        <v>49999.999999999993</v>
      </c>
      <c r="F22" s="127">
        <f t="shared" si="11"/>
        <v>49999.999999999993</v>
      </c>
      <c r="G22" s="127">
        <f t="shared" si="11"/>
        <v>49999.999999999993</v>
      </c>
      <c r="H22" s="127">
        <f t="shared" si="11"/>
        <v>49999.999999999993</v>
      </c>
      <c r="I22" s="127">
        <f t="shared" si="11"/>
        <v>49999.999999999993</v>
      </c>
      <c r="J22" s="127">
        <f t="shared" si="11"/>
        <v>49999.999999999993</v>
      </c>
      <c r="K22" s="127">
        <f t="shared" si="11"/>
        <v>49999.999999999993</v>
      </c>
      <c r="L22" s="127">
        <f t="shared" si="11"/>
        <v>49999.999999999993</v>
      </c>
      <c r="M22" s="127">
        <f t="shared" si="11"/>
        <v>49999.999999999993</v>
      </c>
      <c r="N22" s="127">
        <f>+'NOI Calc'!J24</f>
        <v>50000</v>
      </c>
      <c r="O22" s="127">
        <f t="shared" ref="O22:T22" si="12">N22*(1+$D$49)</f>
        <v>51500</v>
      </c>
      <c r="P22" s="127">
        <f t="shared" si="12"/>
        <v>53045</v>
      </c>
      <c r="Q22" s="127">
        <f t="shared" si="12"/>
        <v>54636.35</v>
      </c>
      <c r="R22" s="127">
        <f t="shared" si="12"/>
        <v>56275.440499999997</v>
      </c>
      <c r="S22" s="127">
        <f t="shared" si="12"/>
        <v>57963.703714999996</v>
      </c>
      <c r="T22" s="127">
        <f t="shared" si="12"/>
        <v>59702.614826450001</v>
      </c>
      <c r="U22" s="171">
        <f t="shared" si="4"/>
        <v>383123.10904145002</v>
      </c>
      <c r="V22" s="171">
        <f t="shared" si="5"/>
        <v>883123.10904144996</v>
      </c>
    </row>
    <row r="23" spans="1:22" ht="4.5" customHeight="1" x14ac:dyDescent="0.25">
      <c r="A23" s="40"/>
      <c r="B23" s="40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215"/>
      <c r="V23" s="169"/>
    </row>
    <row r="24" spans="1:22" ht="15" customHeight="1" x14ac:dyDescent="0.25">
      <c r="A24" s="40" t="s">
        <v>53</v>
      </c>
      <c r="B24" s="40"/>
      <c r="D24" s="72">
        <f t="shared" ref="D24:V24" si="13">+SUM(D16:D23)</f>
        <v>1166569.8955714286</v>
      </c>
      <c r="E24" s="72">
        <f t="shared" si="13"/>
        <v>1331988.0655199999</v>
      </c>
      <c r="F24" s="72">
        <f t="shared" si="13"/>
        <v>1369278.5276304001</v>
      </c>
      <c r="G24" s="72">
        <f t="shared" si="13"/>
        <v>1407664.320007008</v>
      </c>
      <c r="H24" s="72">
        <f t="shared" si="13"/>
        <v>1447177.8348858682</v>
      </c>
      <c r="I24" s="72">
        <f t="shared" si="13"/>
        <v>1487852.4269166673</v>
      </c>
      <c r="J24" s="72">
        <f t="shared" si="13"/>
        <v>1529722.4418480746</v>
      </c>
      <c r="K24" s="72">
        <f t="shared" si="13"/>
        <v>1572823.2460699026</v>
      </c>
      <c r="L24" s="72">
        <f t="shared" si="13"/>
        <v>1617191.2570377127</v>
      </c>
      <c r="M24" s="72">
        <f t="shared" si="13"/>
        <v>1662863.9746062718</v>
      </c>
      <c r="N24" s="72">
        <f t="shared" si="13"/>
        <v>1709880.0132990358</v>
      </c>
      <c r="O24" s="72">
        <f t="shared" si="13"/>
        <v>1759779.1355416747</v>
      </c>
      <c r="P24" s="72">
        <f t="shared" si="13"/>
        <v>1811147.2858884661</v>
      </c>
      <c r="Q24" s="72">
        <f t="shared" si="13"/>
        <v>1864027.9762712717</v>
      </c>
      <c r="R24" s="72">
        <f t="shared" si="13"/>
        <v>1918466.0128016847</v>
      </c>
      <c r="S24" s="72">
        <f t="shared" si="13"/>
        <v>1974507.5343728554</v>
      </c>
      <c r="T24" s="72">
        <f t="shared" si="13"/>
        <v>2032200.0524149037</v>
      </c>
      <c r="U24" s="215">
        <f t="shared" si="13"/>
        <v>13070008.010589892</v>
      </c>
      <c r="V24" s="169">
        <f t="shared" si="13"/>
        <v>27663140.000683226</v>
      </c>
    </row>
    <row r="25" spans="1:22" ht="4.5" customHeight="1" x14ac:dyDescent="0.25">
      <c r="A25" s="40"/>
      <c r="B25" s="40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215"/>
      <c r="V25" s="169"/>
    </row>
    <row r="26" spans="1:22" s="47" customFormat="1" x14ac:dyDescent="0.25">
      <c r="A26" s="48" t="s">
        <v>55</v>
      </c>
      <c r="B26" s="48"/>
      <c r="D26" s="128">
        <f t="shared" ref="D26:V26" si="14">+D12-D24</f>
        <v>1057018.4472857143</v>
      </c>
      <c r="E26" s="128">
        <f t="shared" si="14"/>
        <v>2008525.80648</v>
      </c>
      <c r="F26" s="128">
        <f t="shared" si="14"/>
        <v>2038045.6218095997</v>
      </c>
      <c r="G26" s="128">
        <f t="shared" si="14"/>
        <v>2067806.3124217917</v>
      </c>
      <c r="H26" s="128">
        <f t="shared" si="14"/>
        <v>2097802.2101915074</v>
      </c>
      <c r="I26" s="128">
        <f t="shared" si="14"/>
        <v>2128027.2190622562</v>
      </c>
      <c r="J26" s="128">
        <f t="shared" si="14"/>
        <v>2158474.7970504272</v>
      </c>
      <c r="K26" s="128">
        <f t="shared" si="14"/>
        <v>2189137.9376065694</v>
      </c>
      <c r="L26" s="128">
        <f t="shared" si="14"/>
        <v>2220009.1503122887</v>
      </c>
      <c r="M26" s="128">
        <f t="shared" si="14"/>
        <v>2251080.4408907294</v>
      </c>
      <c r="N26" s="128">
        <f t="shared" si="14"/>
        <v>2282343.2905079052</v>
      </c>
      <c r="O26" s="128">
        <f t="shared" si="14"/>
        <v>2312288.6343414052</v>
      </c>
      <c r="P26" s="128">
        <f t="shared" si="14"/>
        <v>2342361.8393922751</v>
      </c>
      <c r="Q26" s="128">
        <f t="shared" si="14"/>
        <v>2372551.331515085</v>
      </c>
      <c r="R26" s="128">
        <f t="shared" si="14"/>
        <v>2402844.8811403988</v>
      </c>
      <c r="S26" s="128">
        <f t="shared" si="14"/>
        <v>2433229.5774480696</v>
      </c>
      <c r="T26" s="128">
        <f t="shared" si="14"/>
        <v>2463691.8016424403</v>
      </c>
      <c r="U26" s="217">
        <f t="shared" si="14"/>
        <v>16609311.355987584</v>
      </c>
      <c r="V26" s="176">
        <f t="shared" si="14"/>
        <v>36825239.299098454</v>
      </c>
    </row>
    <row r="27" spans="1:22" ht="6.75" customHeight="1" x14ac:dyDescent="0.25"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215"/>
      <c r="V27" s="169"/>
    </row>
    <row r="28" spans="1:22" ht="15" customHeight="1" x14ac:dyDescent="0.25">
      <c r="A28" t="s">
        <v>52</v>
      </c>
      <c r="D28" s="72">
        <f>+'Lease-Up Period'!P28</f>
        <v>140000.00000000003</v>
      </c>
      <c r="E28" s="72">
        <f t="shared" ref="E28:T28" si="15">+D28*(1+$D$49)</f>
        <v>144200.00000000003</v>
      </c>
      <c r="F28" s="72">
        <f t="shared" si="15"/>
        <v>148526.00000000003</v>
      </c>
      <c r="G28" s="72">
        <f t="shared" si="15"/>
        <v>152981.78000000003</v>
      </c>
      <c r="H28" s="72">
        <f t="shared" si="15"/>
        <v>157571.23340000003</v>
      </c>
      <c r="I28" s="72">
        <f t="shared" si="15"/>
        <v>162298.37040200003</v>
      </c>
      <c r="J28" s="72">
        <f t="shared" si="15"/>
        <v>167167.32151406002</v>
      </c>
      <c r="K28" s="72">
        <f t="shared" si="15"/>
        <v>172182.34115948182</v>
      </c>
      <c r="L28" s="72">
        <f t="shared" si="15"/>
        <v>177347.81139426629</v>
      </c>
      <c r="M28" s="72">
        <f t="shared" si="15"/>
        <v>182668.24573609428</v>
      </c>
      <c r="N28" s="72">
        <f t="shared" si="15"/>
        <v>188148.29310817711</v>
      </c>
      <c r="O28" s="72">
        <f t="shared" si="15"/>
        <v>193792.74190142241</v>
      </c>
      <c r="P28" s="72">
        <f t="shared" si="15"/>
        <v>199606.52415846509</v>
      </c>
      <c r="Q28" s="72">
        <f t="shared" si="15"/>
        <v>205594.71988321905</v>
      </c>
      <c r="R28" s="72">
        <f t="shared" si="15"/>
        <v>211762.56147971563</v>
      </c>
      <c r="S28" s="72">
        <f t="shared" si="15"/>
        <v>218115.43832410712</v>
      </c>
      <c r="T28" s="72">
        <f t="shared" si="15"/>
        <v>224658.90147383034</v>
      </c>
      <c r="U28" s="169">
        <f>+SUM(N28:T28)</f>
        <v>1441679.1803289368</v>
      </c>
      <c r="V28" s="169">
        <f>+SUM(D28:M28,U28)</f>
        <v>3046622.2839348391</v>
      </c>
    </row>
    <row r="29" spans="1:22" ht="3" customHeight="1" x14ac:dyDescent="0.25"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215"/>
      <c r="V29" s="169"/>
    </row>
    <row r="30" spans="1:22" x14ac:dyDescent="0.25">
      <c r="B30" s="95" t="s">
        <v>111</v>
      </c>
      <c r="D30" s="72">
        <f ca="1">+'Lease-Up Period'!P30</f>
        <v>1464622.7027766493</v>
      </c>
      <c r="E30" s="72">
        <f ca="1">+'Loan Amortization'!D35</f>
        <v>1464622.702776344</v>
      </c>
      <c r="F30" s="72">
        <f ca="1">+'Loan Amortization'!E35</f>
        <v>1464622.702776626</v>
      </c>
      <c r="G30" s="72">
        <f ca="1">+'Loan Amortization'!F35</f>
        <v>1464622.7027770439</v>
      </c>
      <c r="H30" s="72">
        <f ca="1">+'Loan Amortization'!G35</f>
        <v>1453901.161699211</v>
      </c>
      <c r="I30" s="72">
        <f ca="1">+'Loan Amortization'!H35</f>
        <v>1442589.9358615214</v>
      </c>
      <c r="J30" s="72">
        <f ca="1">+'Loan Amortization'!I35</f>
        <v>1430656.5926021738</v>
      </c>
      <c r="K30" s="72">
        <f ca="1">+'Loan Amortization'!J35</f>
        <v>1418066.9154636436</v>
      </c>
      <c r="L30" s="72">
        <f ca="1">+'Loan Amortization'!K35</f>
        <v>1404784.8060838536</v>
      </c>
      <c r="M30" s="72">
        <f ca="1">+'Loan Amortization'!L35</f>
        <v>1390772.1806907617</v>
      </c>
      <c r="N30" s="72">
        <f ca="1">+'Loan Amortization'!M35</f>
        <v>1375988.860903526</v>
      </c>
      <c r="O30" s="72">
        <f ca="1">+'Loan Amortization'!N35</f>
        <v>1360392.4585277704</v>
      </c>
      <c r="P30" s="72">
        <f ca="1">+'Loan Amortization'!O35</f>
        <v>1343938.2540158096</v>
      </c>
      <c r="Q30" s="72">
        <f ca="1">+'Loan Amortization'!P35</f>
        <v>1326579.0682442265</v>
      </c>
      <c r="R30" s="72">
        <f ca="1">+'Loan Amortization'!Q35</f>
        <v>1308265.1272415926</v>
      </c>
      <c r="S30" s="72">
        <f ca="1">+'Loan Amortization'!R35</f>
        <v>1288943.9194773945</v>
      </c>
      <c r="T30" s="72">
        <f ca="1">+'Loan Amortization'!S35</f>
        <v>1268560.0452986839</v>
      </c>
      <c r="U30" s="215">
        <f ca="1">+SUM(N30:T30)</f>
        <v>9272667.7337090038</v>
      </c>
      <c r="V30" s="169">
        <f ca="1">+SUM(D30:M30,U30)</f>
        <v>23671930.137216836</v>
      </c>
    </row>
    <row r="31" spans="1:22" x14ac:dyDescent="0.25">
      <c r="B31" s="95" t="s">
        <v>112</v>
      </c>
      <c r="D31" s="127">
        <f>+'Lease-Up Period'!P31</f>
        <v>0</v>
      </c>
      <c r="E31" s="127">
        <f ca="1">+'Loan Amortization'!D36</f>
        <v>3.0500814318656921E-7</v>
      </c>
      <c r="F31" s="127">
        <f ca="1">+'Loan Amortization'!E36</f>
        <v>4.2980536818504333E-7</v>
      </c>
      <c r="G31" s="127">
        <f ca="1">+'Loan Amortization'!F36</f>
        <v>194937.11051036185</v>
      </c>
      <c r="H31" s="127">
        <f ca="1">+'Loan Amortization'!G36</f>
        <v>205658.65158819477</v>
      </c>
      <c r="I31" s="127">
        <f ca="1">+'Loan Amortization'!H36</f>
        <v>216969.87742588436</v>
      </c>
      <c r="J31" s="127">
        <f ca="1">+'Loan Amortization'!I36</f>
        <v>228903.22068523197</v>
      </c>
      <c r="K31" s="127">
        <f ca="1">+'Loan Amortization'!J36</f>
        <v>241492.89782376215</v>
      </c>
      <c r="L31" s="127">
        <f ca="1">+'Loan Amortization'!K36</f>
        <v>254775.00720355217</v>
      </c>
      <c r="M31" s="127">
        <f ca="1">+'Loan Amortization'!L36</f>
        <v>268787.63259664411</v>
      </c>
      <c r="N31" s="127">
        <f ca="1">+'Loan Amortization'!M36</f>
        <v>283570.9523838798</v>
      </c>
      <c r="O31" s="127">
        <f ca="1">+'Loan Amortization'!N36</f>
        <v>299167.3547596354</v>
      </c>
      <c r="P31" s="127">
        <f ca="1">+'Loan Amortization'!O36</f>
        <v>315621.55927159614</v>
      </c>
      <c r="Q31" s="127">
        <f ca="1">+'Loan Amortization'!P36</f>
        <v>332980.74504317925</v>
      </c>
      <c r="R31" s="127">
        <f ca="1">+'Loan Amortization'!Q36</f>
        <v>351294.68604581314</v>
      </c>
      <c r="S31" s="127">
        <f ca="1">+'Loan Amortization'!R36</f>
        <v>370615.89381001121</v>
      </c>
      <c r="T31" s="127">
        <f ca="1">+'Loan Amortization'!S36</f>
        <v>390999.76798872184</v>
      </c>
      <c r="U31" s="216">
        <f ca="1">+SUM(N31:T31)</f>
        <v>2344250.959302837</v>
      </c>
      <c r="V31" s="171">
        <f ca="1">+SUM(D31:M31,U31)</f>
        <v>3955775.3571372032</v>
      </c>
    </row>
    <row r="32" spans="1:22" ht="4.5" customHeight="1" x14ac:dyDescent="0.25"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215"/>
      <c r="V32" s="169"/>
    </row>
    <row r="33" spans="1:22" x14ac:dyDescent="0.25">
      <c r="A33" t="s">
        <v>114</v>
      </c>
      <c r="D33" s="125">
        <f t="shared" ref="D33:V33" ca="1" si="16">+D26-D28-D30-D31</f>
        <v>-547604.25549093494</v>
      </c>
      <c r="E33" s="125">
        <f t="shared" ca="1" si="16"/>
        <v>399703.10370335099</v>
      </c>
      <c r="F33" s="125">
        <f t="shared" ca="1" si="16"/>
        <v>424896.9190325439</v>
      </c>
      <c r="G33" s="125">
        <f t="shared" ca="1" si="16"/>
        <v>255264.71913438593</v>
      </c>
      <c r="H33" s="125">
        <f t="shared" ca="1" si="16"/>
        <v>280671.16350410157</v>
      </c>
      <c r="I33" s="125">
        <f t="shared" ca="1" si="16"/>
        <v>306169.03537285049</v>
      </c>
      <c r="J33" s="125">
        <f t="shared" ca="1" si="16"/>
        <v>331747.66224896139</v>
      </c>
      <c r="K33" s="125">
        <f t="shared" ca="1" si="16"/>
        <v>357395.78315968183</v>
      </c>
      <c r="L33" s="125">
        <f t="shared" ca="1" si="16"/>
        <v>383101.52563061658</v>
      </c>
      <c r="M33" s="125">
        <f t="shared" ca="1" si="16"/>
        <v>408852.38186722947</v>
      </c>
      <c r="N33" s="125">
        <f t="shared" ca="1" si="16"/>
        <v>434635.18411232228</v>
      </c>
      <c r="O33" s="125">
        <f t="shared" ca="1" si="16"/>
        <v>458936.07915257709</v>
      </c>
      <c r="P33" s="125">
        <f t="shared" ca="1" si="16"/>
        <v>483195.50194640411</v>
      </c>
      <c r="Q33" s="125">
        <f t="shared" ca="1" si="16"/>
        <v>507396.79834446032</v>
      </c>
      <c r="R33" s="125">
        <f t="shared" ca="1" si="16"/>
        <v>531522.5063732774</v>
      </c>
      <c r="S33" s="125">
        <f t="shared" ca="1" si="16"/>
        <v>555554.3258365565</v>
      </c>
      <c r="T33" s="125">
        <f t="shared" ca="1" si="16"/>
        <v>579473.08688120404</v>
      </c>
      <c r="U33" s="218">
        <f t="shared" ca="1" si="16"/>
        <v>3550713.4826468062</v>
      </c>
      <c r="V33" s="172">
        <f t="shared" ca="1" si="16"/>
        <v>6150911.5208095759</v>
      </c>
    </row>
    <row r="34" spans="1:22" ht="6.75" customHeight="1" x14ac:dyDescent="0.25"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215"/>
      <c r="V34" s="169"/>
    </row>
    <row r="35" spans="1:22" x14ac:dyDescent="0.25">
      <c r="B35" s="41" t="s">
        <v>109</v>
      </c>
      <c r="D35" s="72">
        <f ca="1">+'Lease-Up Period'!P36</f>
        <v>53259.007373696331</v>
      </c>
      <c r="E35" s="72">
        <f ca="1">+'Loan Amortization'!D38</f>
        <v>53259.007373685236</v>
      </c>
      <c r="F35" s="72">
        <f ca="1">+'Loan Amortization'!E38</f>
        <v>53259.007373695495</v>
      </c>
      <c r="G35" s="72">
        <f ca="1">+'Loan Amortization'!F38</f>
        <v>53259.007373710687</v>
      </c>
      <c r="H35" s="72">
        <f ca="1">+'Loan Amortization'!G38</f>
        <v>52869.133152698581</v>
      </c>
      <c r="I35" s="72">
        <f ca="1">+'Loan Amortization'!H38</f>
        <v>52457.815849509869</v>
      </c>
      <c r="J35" s="72">
        <f ca="1">+'Loan Amortization'!I38</f>
        <v>52023.876094624502</v>
      </c>
      <c r="K35" s="72">
        <f ca="1">+'Loan Amortization'!J38</f>
        <v>51566.069653223407</v>
      </c>
      <c r="L35" s="72">
        <f ca="1">+'Loan Amortization'!K38</f>
        <v>51083.083857594676</v>
      </c>
      <c r="M35" s="72">
        <f ca="1">+'Loan Amortization'!L38</f>
        <v>50573.533843300429</v>
      </c>
      <c r="N35" s="72">
        <f ca="1">+'Loan Amortization'!M38</f>
        <v>50035.958578310034</v>
      </c>
      <c r="O35" s="72">
        <f ca="1">+'Loan Amortization'!N38</f>
        <v>49468.816673737099</v>
      </c>
      <c r="P35" s="72">
        <f ca="1">+'Loan Amortization'!O38</f>
        <v>48870.481964211263</v>
      </c>
      <c r="Q35" s="72">
        <f ca="1">+'Loan Amortization'!P38</f>
        <v>48239.238845244603</v>
      </c>
      <c r="R35" s="72">
        <f ca="1">+'Loan Amortization'!Q38</f>
        <v>47573.277354239734</v>
      </c>
      <c r="S35" s="72">
        <f ca="1">+'Loan Amortization'!R38</f>
        <v>46870.687980996168</v>
      </c>
      <c r="T35" s="72">
        <f ca="1">+'Loan Amortization'!S38</f>
        <v>46129.456192679412</v>
      </c>
      <c r="U35" s="169">
        <f ca="1">+SUM(N35:T35)</f>
        <v>337187.9175894183</v>
      </c>
      <c r="V35" s="169">
        <f ca="1">+SUM(D35:M35,U35)</f>
        <v>860797.45953515754</v>
      </c>
    </row>
    <row r="36" spans="1:22" x14ac:dyDescent="0.25">
      <c r="B36" s="41" t="s">
        <v>110</v>
      </c>
      <c r="D36" s="72">
        <f>+'Lease-Up Period'!P37</f>
        <v>5000</v>
      </c>
      <c r="E36" s="72">
        <f>+'Loan Amortization'!D39</f>
        <v>5000</v>
      </c>
      <c r="F36" s="72">
        <f>+'Loan Amortization'!E39</f>
        <v>5000</v>
      </c>
      <c r="G36" s="72">
        <f>+'Loan Amortization'!F39</f>
        <v>5000</v>
      </c>
      <c r="H36" s="72">
        <f>+'Loan Amortization'!G39</f>
        <v>5000</v>
      </c>
      <c r="I36" s="72">
        <f>+'Loan Amortization'!H39</f>
        <v>5000</v>
      </c>
      <c r="J36" s="72">
        <f>+'Loan Amortization'!I39</f>
        <v>5000</v>
      </c>
      <c r="K36" s="72">
        <f>+'Loan Amortization'!J39</f>
        <v>5000</v>
      </c>
      <c r="L36" s="72">
        <f>+'Loan Amortization'!K39</f>
        <v>5000</v>
      </c>
      <c r="M36" s="72">
        <f>+'Loan Amortization'!L39</f>
        <v>5000</v>
      </c>
      <c r="N36" s="72">
        <f>+'Loan Amortization'!M39</f>
        <v>5000</v>
      </c>
      <c r="O36" s="72">
        <f>+'Loan Amortization'!N39</f>
        <v>5000</v>
      </c>
      <c r="P36" s="72">
        <f>+'Loan Amortization'!O39</f>
        <v>5000</v>
      </c>
      <c r="Q36" s="72">
        <f>+'Loan Amortization'!P39</f>
        <v>5000</v>
      </c>
      <c r="R36" s="72">
        <f>+'Loan Amortization'!Q39</f>
        <v>5000</v>
      </c>
      <c r="S36" s="72">
        <f>+'Loan Amortization'!R39</f>
        <v>5000</v>
      </c>
      <c r="T36" s="72">
        <f>+'Loan Amortization'!S39</f>
        <v>5000</v>
      </c>
      <c r="U36" s="169">
        <f>+SUM(N36:T36)</f>
        <v>35000</v>
      </c>
      <c r="V36" s="169">
        <f>+SUM(D36:M36,U36)</f>
        <v>85000</v>
      </c>
    </row>
    <row r="37" spans="1:22" x14ac:dyDescent="0.25">
      <c r="B37" s="95" t="s">
        <v>115</v>
      </c>
      <c r="D37" s="72">
        <f ca="1">+'Lease-Up Period'!P38</f>
        <v>26629.503686848166</v>
      </c>
      <c r="E37" s="72">
        <f ca="1">+'Loan Amortization'!D40</f>
        <v>26629.503686842618</v>
      </c>
      <c r="F37" s="72">
        <f ca="1">+'Loan Amortization'!E40</f>
        <v>26629.503686847747</v>
      </c>
      <c r="G37" s="72">
        <f ca="1">+'Loan Amortization'!F40</f>
        <v>26629.503686855343</v>
      </c>
      <c r="H37" s="72">
        <f ca="1">+'Loan Amortization'!G40</f>
        <v>26434.566576349291</v>
      </c>
      <c r="I37" s="72">
        <f ca="1">+'Loan Amortization'!H40</f>
        <v>26228.907924754934</v>
      </c>
      <c r="J37" s="72">
        <f ca="1">+'Loan Amortization'!I40</f>
        <v>26011.938047312251</v>
      </c>
      <c r="K37" s="72">
        <f ca="1">+'Loan Amortization'!J40</f>
        <v>25783.034826611703</v>
      </c>
      <c r="L37" s="72">
        <f ca="1">+'Loan Amortization'!K40</f>
        <v>25541.541928797338</v>
      </c>
      <c r="M37" s="72">
        <f ca="1">+'Loan Amortization'!L40</f>
        <v>25286.766921650214</v>
      </c>
      <c r="N37" s="72">
        <f ca="1">+'Loan Amortization'!M40</f>
        <v>25017.979289155017</v>
      </c>
      <c r="O37" s="72">
        <f ca="1">+'Loan Amortization'!N40</f>
        <v>24734.40833686855</v>
      </c>
      <c r="P37" s="72">
        <f ca="1">+'Loan Amortization'!O40</f>
        <v>24435.240982105632</v>
      </c>
      <c r="Q37" s="72">
        <f ca="1">+'Loan Amortization'!P40</f>
        <v>24119.619422622301</v>
      </c>
      <c r="R37" s="72">
        <f ca="1">+'Loan Amortization'!Q40</f>
        <v>23786.638677119867</v>
      </c>
      <c r="S37" s="72">
        <f ca="1">+'Loan Amortization'!R40</f>
        <v>23435.343990498084</v>
      </c>
      <c r="T37" s="72">
        <f ca="1">+'Loan Amortization'!S40</f>
        <v>23064.728096339706</v>
      </c>
      <c r="U37" s="215">
        <f ca="1">+SUM(N37:T37)</f>
        <v>168593.95879470915</v>
      </c>
      <c r="V37" s="72">
        <f ca="1">+SUM(D37:M37,U37)</f>
        <v>430398.72976757877</v>
      </c>
    </row>
    <row r="38" spans="1:22" x14ac:dyDescent="0.25">
      <c r="B38" s="95" t="s">
        <v>176</v>
      </c>
      <c r="D38" s="127">
        <f ca="1">+'Lease-Up Period'!P39</f>
        <v>13941.162112877719</v>
      </c>
      <c r="E38" s="127">
        <f t="shared" ref="E38:T38" ca="1" si="17">IF((0.1*E33)&lt;=0,0,0.1*E33)</f>
        <v>39970.310370335101</v>
      </c>
      <c r="F38" s="127">
        <f t="shared" ca="1" si="17"/>
        <v>42489.691903254396</v>
      </c>
      <c r="G38" s="127">
        <f t="shared" ca="1" si="17"/>
        <v>25526.471913438596</v>
      </c>
      <c r="H38" s="127">
        <f t="shared" ca="1" si="17"/>
        <v>28067.116350410157</v>
      </c>
      <c r="I38" s="127">
        <f t="shared" ca="1" si="17"/>
        <v>30616.903537285049</v>
      </c>
      <c r="J38" s="127">
        <f t="shared" ca="1" si="17"/>
        <v>33174.766224896142</v>
      </c>
      <c r="K38" s="127">
        <f t="shared" ca="1" si="17"/>
        <v>35739.578315968181</v>
      </c>
      <c r="L38" s="127">
        <f t="shared" ca="1" si="17"/>
        <v>38310.15256306166</v>
      </c>
      <c r="M38" s="127">
        <f t="shared" ca="1" si="17"/>
        <v>40885.238186722949</v>
      </c>
      <c r="N38" s="127">
        <f t="shared" ca="1" si="17"/>
        <v>43463.518411232231</v>
      </c>
      <c r="O38" s="127">
        <f t="shared" ca="1" si="17"/>
        <v>45893.607915257715</v>
      </c>
      <c r="P38" s="127">
        <f t="shared" ca="1" si="17"/>
        <v>48319.550194640411</v>
      </c>
      <c r="Q38" s="127">
        <f t="shared" ca="1" si="17"/>
        <v>50739.679834446033</v>
      </c>
      <c r="R38" s="127">
        <f t="shared" ca="1" si="17"/>
        <v>53152.250637327743</v>
      </c>
      <c r="S38" s="127">
        <f t="shared" ca="1" si="17"/>
        <v>55555.432583655653</v>
      </c>
      <c r="T38" s="127">
        <f t="shared" ca="1" si="17"/>
        <v>57947.308688120407</v>
      </c>
      <c r="U38" s="216">
        <f ca="1">+SUM(N38:T38)</f>
        <v>355071.34826468019</v>
      </c>
      <c r="V38" s="171">
        <f ca="1">+SUM(D38:M38,U38)</f>
        <v>683792.73974293016</v>
      </c>
    </row>
    <row r="39" spans="1:22" ht="4.5" customHeight="1" x14ac:dyDescent="0.25"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215"/>
      <c r="V39" s="169"/>
    </row>
    <row r="40" spans="1:22" s="47" customFormat="1" x14ac:dyDescent="0.25">
      <c r="A40" s="47" t="s">
        <v>116</v>
      </c>
      <c r="D40" s="128">
        <f t="shared" ref="D40:V40" ca="1" si="18">+D33-SUM(D35:D39)</f>
        <v>-646433.92866435717</v>
      </c>
      <c r="E40" s="128">
        <f t="shared" ca="1" si="18"/>
        <v>274844.28227248805</v>
      </c>
      <c r="F40" s="128">
        <f t="shared" ca="1" si="18"/>
        <v>297518.71606874629</v>
      </c>
      <c r="G40" s="128">
        <f t="shared" ca="1" si="18"/>
        <v>144849.73616038129</v>
      </c>
      <c r="H40" s="128">
        <f t="shared" ca="1" si="18"/>
        <v>168300.34742464352</v>
      </c>
      <c r="I40" s="128">
        <f t="shared" ca="1" si="18"/>
        <v>191865.40806130064</v>
      </c>
      <c r="J40" s="128">
        <f t="shared" ca="1" si="18"/>
        <v>215537.08188212849</v>
      </c>
      <c r="K40" s="128">
        <f t="shared" ca="1" si="18"/>
        <v>239307.10036387853</v>
      </c>
      <c r="L40" s="128">
        <f t="shared" ca="1" si="18"/>
        <v>263166.74728116288</v>
      </c>
      <c r="M40" s="128">
        <f t="shared" ca="1" si="18"/>
        <v>287106.84291555587</v>
      </c>
      <c r="N40" s="128">
        <f t="shared" ca="1" si="18"/>
        <v>311117.72783362499</v>
      </c>
      <c r="O40" s="128">
        <f t="shared" ca="1" si="18"/>
        <v>333839.24622671376</v>
      </c>
      <c r="P40" s="128">
        <f t="shared" ca="1" si="18"/>
        <v>356570.22880544682</v>
      </c>
      <c r="Q40" s="128">
        <f t="shared" ca="1" si="18"/>
        <v>379298.26024214737</v>
      </c>
      <c r="R40" s="128">
        <f t="shared" ca="1" si="18"/>
        <v>402010.33970459003</v>
      </c>
      <c r="S40" s="128">
        <f t="shared" ca="1" si="18"/>
        <v>424692.8612814066</v>
      </c>
      <c r="T40" s="128">
        <f t="shared" ca="1" si="18"/>
        <v>447331.5939040645</v>
      </c>
      <c r="U40" s="217">
        <f t="shared" ca="1" si="18"/>
        <v>2654860.2579979985</v>
      </c>
      <c r="V40" s="176">
        <f t="shared" ca="1" si="18"/>
        <v>4090922.5917639094</v>
      </c>
    </row>
    <row r="41" spans="1:22" ht="15" customHeight="1" x14ac:dyDescent="0.25"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215"/>
      <c r="V41" s="169"/>
    </row>
    <row r="42" spans="1:22" x14ac:dyDescent="0.25">
      <c r="A42" s="56" t="s">
        <v>360</v>
      </c>
      <c r="B42" s="95"/>
      <c r="D42" s="98"/>
      <c r="E42" s="98"/>
      <c r="F42" s="98"/>
      <c r="G42" s="98"/>
      <c r="H42" s="98"/>
      <c r="I42" s="98"/>
      <c r="J42" s="98"/>
      <c r="K42" s="98"/>
      <c r="L42" s="98"/>
      <c r="M42" s="98"/>
      <c r="N42" s="98"/>
      <c r="O42" s="98"/>
      <c r="P42" s="98"/>
      <c r="Q42" s="98"/>
      <c r="R42" s="98"/>
      <c r="S42" s="98"/>
      <c r="T42" s="98"/>
      <c r="U42" s="215"/>
      <c r="V42" s="169"/>
    </row>
    <row r="43" spans="1:22" x14ac:dyDescent="0.25"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215"/>
      <c r="V43" s="169"/>
    </row>
    <row r="44" spans="1:22" x14ac:dyDescent="0.25">
      <c r="A44" s="200" t="s">
        <v>117</v>
      </c>
      <c r="B44" s="201"/>
      <c r="C44" s="201"/>
      <c r="D44" s="202"/>
      <c r="E44" s="202"/>
      <c r="F44" s="202"/>
      <c r="G44" s="202"/>
      <c r="H44" s="202"/>
      <c r="I44" s="202"/>
      <c r="J44" s="202"/>
      <c r="K44" s="202"/>
      <c r="L44" s="202"/>
      <c r="M44" s="202"/>
      <c r="N44" s="202"/>
      <c r="O44" s="202"/>
      <c r="P44" s="202"/>
      <c r="Q44" s="202"/>
      <c r="R44" s="202"/>
      <c r="S44" s="202"/>
      <c r="T44" s="202"/>
      <c r="U44" s="65"/>
      <c r="V44" s="65"/>
    </row>
    <row r="45" spans="1:22" ht="7.5" customHeight="1" x14ac:dyDescent="0.25">
      <c r="A45" s="166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215"/>
      <c r="V45" s="215"/>
    </row>
    <row r="46" spans="1:22" s="56" customFormat="1" x14ac:dyDescent="0.25">
      <c r="A46" s="203" t="s">
        <v>113</v>
      </c>
      <c r="D46" s="117" t="s">
        <v>322</v>
      </c>
      <c r="E46" s="204">
        <f t="shared" ref="E46:V46" ca="1" si="19">+E26/(E30+E31)</f>
        <v>1.3713605576864356</v>
      </c>
      <c r="F46" s="204">
        <f t="shared" ca="1" si="19"/>
        <v>1.3915157930744093</v>
      </c>
      <c r="G46" s="204">
        <f t="shared" ca="1" si="19"/>
        <v>1.2459968576400355</v>
      </c>
      <c r="H46" s="204">
        <f t="shared" ca="1" si="19"/>
        <v>1.2640714684672869</v>
      </c>
      <c r="I46" s="204">
        <f t="shared" ca="1" si="19"/>
        <v>1.2822841346386111</v>
      </c>
      <c r="J46" s="204">
        <f t="shared" ca="1" si="19"/>
        <v>1.3006309141547152</v>
      </c>
      <c r="K46" s="204">
        <f t="shared" ca="1" si="19"/>
        <v>1.3191075850831357</v>
      </c>
      <c r="L46" s="204">
        <f t="shared" ca="1" si="19"/>
        <v>1.3377096339267787</v>
      </c>
      <c r="M46" s="204">
        <f t="shared" ca="1" si="19"/>
        <v>1.3564322435788476</v>
      </c>
      <c r="N46" s="204">
        <f t="shared" ca="1" si="19"/>
        <v>1.3752702808504587</v>
      </c>
      <c r="O46" s="204">
        <f t="shared" ca="1" si="19"/>
        <v>1.3933144294215074</v>
      </c>
      <c r="P46" s="204">
        <f t="shared" ca="1" si="19"/>
        <v>1.4114356232525982</v>
      </c>
      <c r="Q46" s="204">
        <f t="shared" ca="1" si="19"/>
        <v>1.4296268881175915</v>
      </c>
      <c r="R46" s="204">
        <f t="shared" ca="1" si="19"/>
        <v>1.447880854851882</v>
      </c>
      <c r="S46" s="204">
        <f t="shared" ca="1" si="19"/>
        <v>1.4661897437900169</v>
      </c>
      <c r="T46" s="204">
        <f t="shared" ca="1" si="19"/>
        <v>1.4845453486621476</v>
      </c>
      <c r="U46" s="219">
        <f t="shared" ca="1" si="19"/>
        <v>1.4297518812780292</v>
      </c>
      <c r="V46" s="219">
        <f t="shared" ca="1" si="19"/>
        <v>1.332909796169067</v>
      </c>
    </row>
    <row r="47" spans="1:22" ht="7.5" customHeight="1" x14ac:dyDescent="0.25">
      <c r="A47" s="205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215"/>
      <c r="V47" s="215"/>
    </row>
    <row r="48" spans="1:22" x14ac:dyDescent="0.25">
      <c r="A48" s="205" t="s">
        <v>108</v>
      </c>
      <c r="D48" s="350">
        <v>0.02</v>
      </c>
      <c r="E48" s="14">
        <f t="shared" ref="E48:S48" si="20">E12/D12-1</f>
        <v>0.50230769230769234</v>
      </c>
      <c r="F48" s="14">
        <f t="shared" si="20"/>
        <v>2.0000000000000018E-2</v>
      </c>
      <c r="G48" s="14">
        <f t="shared" si="20"/>
        <v>2.0000000000000018E-2</v>
      </c>
      <c r="H48" s="14">
        <f t="shared" si="20"/>
        <v>2.0000000000000018E-2</v>
      </c>
      <c r="I48" s="14">
        <f t="shared" si="20"/>
        <v>2.0000000000000018E-2</v>
      </c>
      <c r="J48" s="14">
        <f t="shared" si="20"/>
        <v>2.0000000000000018E-2</v>
      </c>
      <c r="K48" s="14">
        <f t="shared" si="20"/>
        <v>2.0000000000000018E-2</v>
      </c>
      <c r="L48" s="14">
        <f t="shared" si="20"/>
        <v>2.0000000000000018E-2</v>
      </c>
      <c r="M48" s="14">
        <f t="shared" si="20"/>
        <v>2.0000000000000018E-2</v>
      </c>
      <c r="N48" s="14">
        <f t="shared" si="20"/>
        <v>2.0000000000000018E-2</v>
      </c>
      <c r="O48" s="14">
        <f t="shared" si="20"/>
        <v>2.0000000000000018E-2</v>
      </c>
      <c r="P48" s="14">
        <f t="shared" si="20"/>
        <v>1.9999999999999796E-2</v>
      </c>
      <c r="Q48" s="14">
        <f t="shared" si="20"/>
        <v>2.000000000000024E-2</v>
      </c>
      <c r="R48" s="14">
        <f t="shared" si="20"/>
        <v>1.9999999999999796E-2</v>
      </c>
      <c r="S48" s="14">
        <f t="shared" si="20"/>
        <v>2.0000000000000018E-2</v>
      </c>
      <c r="T48" s="14">
        <f t="shared" ref="T48" si="21">T12/S12-1</f>
        <v>2.0000000000000018E-2</v>
      </c>
      <c r="U48" s="220" t="s">
        <v>322</v>
      </c>
      <c r="V48" s="220" t="s">
        <v>322</v>
      </c>
    </row>
    <row r="49" spans="1:22" x14ac:dyDescent="0.25">
      <c r="A49" s="205" t="s">
        <v>107</v>
      </c>
      <c r="D49" s="350">
        <v>0.03</v>
      </c>
      <c r="E49" s="14">
        <f>E24/D24-1</f>
        <v>0.14179876454598839</v>
      </c>
      <c r="F49" s="14">
        <f t="shared" ref="F49:T49" si="22">F24/E24-1</f>
        <v>2.7996093265176603E-2</v>
      </c>
      <c r="G49" s="14">
        <f t="shared" si="22"/>
        <v>2.803358966202163E-2</v>
      </c>
      <c r="H49" s="14">
        <f t="shared" si="22"/>
        <v>2.8070268115244712E-2</v>
      </c>
      <c r="I49" s="14">
        <f t="shared" si="22"/>
        <v>2.8106146356233319E-2</v>
      </c>
      <c r="J49" s="14">
        <f t="shared" si="22"/>
        <v>2.8141241815343276E-2</v>
      </c>
      <c r="K49" s="14">
        <f t="shared" si="22"/>
        <v>2.8175571621841033E-2</v>
      </c>
      <c r="L49" s="14">
        <f t="shared" si="22"/>
        <v>2.8209152604194321E-2</v>
      </c>
      <c r="M49" s="14">
        <f t="shared" si="22"/>
        <v>2.8242001290694541E-2</v>
      </c>
      <c r="N49" s="14">
        <f t="shared" si="22"/>
        <v>2.8274133910379806E-2</v>
      </c>
      <c r="O49" s="14">
        <f t="shared" si="22"/>
        <v>2.9182820931606512E-2</v>
      </c>
      <c r="P49" s="14">
        <f t="shared" si="22"/>
        <v>2.9190112161989967E-2</v>
      </c>
      <c r="Q49" s="14">
        <f t="shared" si="22"/>
        <v>2.9197344023219385E-2</v>
      </c>
      <c r="R49" s="14">
        <f t="shared" si="22"/>
        <v>2.9204516897492372E-2</v>
      </c>
      <c r="S49" s="14">
        <f t="shared" si="22"/>
        <v>2.9211631166365493E-2</v>
      </c>
      <c r="T49" s="14">
        <f t="shared" si="22"/>
        <v>2.9218687210718963E-2</v>
      </c>
      <c r="U49" s="220" t="s">
        <v>322</v>
      </c>
      <c r="V49" s="220" t="s">
        <v>322</v>
      </c>
    </row>
    <row r="50" spans="1:22" x14ac:dyDescent="0.25">
      <c r="A50" s="205" t="s">
        <v>54</v>
      </c>
      <c r="B50" s="198"/>
      <c r="D50" s="207">
        <f>D24/D9</f>
        <v>0.33126885423664459</v>
      </c>
      <c r="E50" s="207">
        <f t="shared" ref="E50:V50" si="23">E24/E9</f>
        <v>0.3708258514705548</v>
      </c>
      <c r="F50" s="207">
        <f t="shared" si="23"/>
        <v>0.37373286920927751</v>
      </c>
      <c r="G50" s="207">
        <f t="shared" si="23"/>
        <v>0.37667641481166708</v>
      </c>
      <c r="H50" s="207">
        <f t="shared" si="23"/>
        <v>0.37965668898835264</v>
      </c>
      <c r="I50" s="207">
        <f t="shared" si="23"/>
        <v>0.38267389750410019</v>
      </c>
      <c r="J50" s="207">
        <f t="shared" si="23"/>
        <v>0.385728251166846</v>
      </c>
      <c r="K50" s="207">
        <f t="shared" si="23"/>
        <v>0.38881996581780881</v>
      </c>
      <c r="L50" s="207">
        <f t="shared" si="23"/>
        <v>0.39194926232266764</v>
      </c>
      <c r="M50" s="207">
        <f t="shared" si="23"/>
        <v>0.39511636656379534</v>
      </c>
      <c r="N50" s="207">
        <f t="shared" si="23"/>
        <v>0.39832150943353217</v>
      </c>
      <c r="O50" s="207">
        <f t="shared" si="23"/>
        <v>0.401907504624057</v>
      </c>
      <c r="P50" s="207">
        <f t="shared" si="23"/>
        <v>0.40552865663017529</v>
      </c>
      <c r="Q50" s="207">
        <f t="shared" si="23"/>
        <v>0.40918531012654952</v>
      </c>
      <c r="R50" s="207">
        <f t="shared" si="23"/>
        <v>0.41287781316700589</v>
      </c>
      <c r="S50" s="207">
        <f t="shared" si="23"/>
        <v>0.41660651721766279</v>
      </c>
      <c r="T50" s="207">
        <f t="shared" si="23"/>
        <v>0.42037177719038493</v>
      </c>
      <c r="U50" s="221">
        <f t="shared" si="23"/>
        <v>0.40954805262605615</v>
      </c>
      <c r="V50" s="221">
        <f t="shared" si="23"/>
        <v>0.39253580895699008</v>
      </c>
    </row>
    <row r="51" spans="1:22" x14ac:dyDescent="0.25">
      <c r="A51" s="208" t="s">
        <v>106</v>
      </c>
      <c r="B51" s="209"/>
      <c r="C51" s="210"/>
      <c r="D51" s="211">
        <f t="shared" ref="D51:V51" si="24">+D26/D9</f>
        <v>0.30015971719192686</v>
      </c>
      <c r="E51" s="211">
        <f t="shared" si="24"/>
        <v>0.55917414852944525</v>
      </c>
      <c r="F51" s="211">
        <f t="shared" si="24"/>
        <v>0.55626713079072254</v>
      </c>
      <c r="G51" s="211">
        <f t="shared" si="24"/>
        <v>0.55332358518833291</v>
      </c>
      <c r="H51" s="211">
        <f t="shared" si="24"/>
        <v>0.55034331101164735</v>
      </c>
      <c r="I51" s="211">
        <f t="shared" si="24"/>
        <v>0.54732610249589986</v>
      </c>
      <c r="J51" s="211">
        <f t="shared" si="24"/>
        <v>0.54427174883315399</v>
      </c>
      <c r="K51" s="211">
        <f t="shared" si="24"/>
        <v>0.54118003418219118</v>
      </c>
      <c r="L51" s="211">
        <f t="shared" si="24"/>
        <v>0.53805073767733236</v>
      </c>
      <c r="M51" s="211">
        <f t="shared" si="24"/>
        <v>0.53488363343620471</v>
      </c>
      <c r="N51" s="211">
        <f t="shared" si="24"/>
        <v>0.53167849056646788</v>
      </c>
      <c r="O51" s="211">
        <f t="shared" si="24"/>
        <v>0.52809249537594305</v>
      </c>
      <c r="P51" s="211">
        <f t="shared" si="24"/>
        <v>0.52447134336982471</v>
      </c>
      <c r="Q51" s="211">
        <f t="shared" si="24"/>
        <v>0.52081468987345048</v>
      </c>
      <c r="R51" s="211">
        <f t="shared" si="24"/>
        <v>0.51712218683299416</v>
      </c>
      <c r="S51" s="211">
        <f t="shared" si="24"/>
        <v>0.5133934827823371</v>
      </c>
      <c r="T51" s="211">
        <f t="shared" si="24"/>
        <v>0.50962822280961506</v>
      </c>
      <c r="U51" s="222">
        <f t="shared" si="24"/>
        <v>0.52045194737394385</v>
      </c>
      <c r="V51" s="222">
        <f t="shared" si="24"/>
        <v>0.52254462428883119</v>
      </c>
    </row>
  </sheetData>
  <phoneticPr fontId="17" type="noConversion"/>
  <conditionalFormatting sqref="E46:V46">
    <cfRule type="cellIs" dxfId="4" priority="1" operator="lessThan">
      <formula>1.15</formula>
    </cfRule>
    <cfRule type="cellIs" dxfId="3" priority="2" operator="greaterThan">
      <formula>1.4</formula>
    </cfRule>
  </conditionalFormatting>
  <pageMargins left="0.5" right="0.5" top="0.5" bottom="0.5" header="0.3" footer="0.3"/>
  <pageSetup scale="68" fitToWidth="0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236AF-58A3-4B13-9059-982486FD6519}">
  <dimension ref="A1:R48"/>
  <sheetViews>
    <sheetView topLeftCell="A19" zoomScale="80" zoomScaleNormal="80" workbookViewId="0">
      <selection activeCell="A53" sqref="A53"/>
    </sheetView>
  </sheetViews>
  <sheetFormatPr defaultRowHeight="15" x14ac:dyDescent="0.25"/>
  <cols>
    <col min="1" max="1" width="43.85546875" customWidth="1"/>
    <col min="2" max="18" width="13.28515625" customWidth="1"/>
    <col min="19" max="19" width="11.42578125" customWidth="1"/>
    <col min="20" max="20" width="11.85546875" bestFit="1" customWidth="1"/>
  </cols>
  <sheetData>
    <row r="1" spans="1:18" ht="18.75" x14ac:dyDescent="0.3">
      <c r="A1" s="13" t="s">
        <v>363</v>
      </c>
    </row>
    <row r="3" spans="1:18" x14ac:dyDescent="0.25">
      <c r="B3" s="67" t="str">
        <f t="shared" ref="B3:R3" si="0">"Yr "&amp;(COLUMN()-1)</f>
        <v>Yr 1</v>
      </c>
      <c r="C3" s="67" t="str">
        <f t="shared" si="0"/>
        <v>Yr 2</v>
      </c>
      <c r="D3" s="67" t="str">
        <f t="shared" si="0"/>
        <v>Yr 3</v>
      </c>
      <c r="E3" s="67" t="str">
        <f t="shared" si="0"/>
        <v>Yr 4</v>
      </c>
      <c r="F3" s="67" t="str">
        <f t="shared" si="0"/>
        <v>Yr 5</v>
      </c>
      <c r="G3" s="67" t="str">
        <f t="shared" si="0"/>
        <v>Yr 6</v>
      </c>
      <c r="H3" s="67" t="str">
        <f t="shared" si="0"/>
        <v>Yr 7</v>
      </c>
      <c r="I3" s="67" t="str">
        <f t="shared" si="0"/>
        <v>Yr 8</v>
      </c>
      <c r="J3" s="67" t="str">
        <f t="shared" si="0"/>
        <v>Yr 9</v>
      </c>
      <c r="K3" s="67" t="str">
        <f t="shared" si="0"/>
        <v>Yr 10</v>
      </c>
      <c r="L3" s="67" t="str">
        <f t="shared" si="0"/>
        <v>Yr 11</v>
      </c>
      <c r="M3" s="67" t="str">
        <f t="shared" si="0"/>
        <v>Yr 12</v>
      </c>
      <c r="N3" s="67" t="str">
        <f t="shared" si="0"/>
        <v>Yr 13</v>
      </c>
      <c r="O3" s="67" t="str">
        <f t="shared" si="0"/>
        <v>Yr 14</v>
      </c>
      <c r="P3" s="67" t="str">
        <f t="shared" si="0"/>
        <v>Yr 15</v>
      </c>
      <c r="Q3" s="67" t="str">
        <f t="shared" si="0"/>
        <v>Yr 16</v>
      </c>
      <c r="R3" s="67" t="str">
        <f t="shared" si="0"/>
        <v>Yr 17</v>
      </c>
    </row>
    <row r="4" spans="1:18" ht="3" customHeight="1" x14ac:dyDescent="0.25">
      <c r="A4" s="223"/>
      <c r="B4" s="223"/>
      <c r="C4" s="223"/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</row>
    <row r="5" spans="1:18" s="47" customFormat="1" x14ac:dyDescent="0.25">
      <c r="A5" s="47" t="s">
        <v>382</v>
      </c>
      <c r="B5" s="224">
        <f ca="1">'17-year Pro Forma'!D40</f>
        <v>-646433.92866435717</v>
      </c>
      <c r="C5" s="224">
        <f ca="1">'17-year Pro Forma'!E40</f>
        <v>274844.28227248805</v>
      </c>
      <c r="D5" s="224">
        <f ca="1">'17-year Pro Forma'!F40</f>
        <v>297518.71606874629</v>
      </c>
      <c r="E5" s="224">
        <f ca="1">'17-year Pro Forma'!G40</f>
        <v>144849.73616038129</v>
      </c>
      <c r="F5" s="224">
        <f ca="1">'17-year Pro Forma'!H40</f>
        <v>168300.34742464352</v>
      </c>
      <c r="G5" s="224">
        <f ca="1">'17-year Pro Forma'!I40</f>
        <v>191865.40806130064</v>
      </c>
      <c r="H5" s="224">
        <f ca="1">'17-year Pro Forma'!J40</f>
        <v>215537.08188212849</v>
      </c>
      <c r="I5" s="224">
        <f ca="1">'17-year Pro Forma'!K40</f>
        <v>239307.10036387853</v>
      </c>
      <c r="J5" s="224">
        <f ca="1">'17-year Pro Forma'!L40</f>
        <v>263166.74728116288</v>
      </c>
      <c r="K5" s="224">
        <f ca="1">'17-year Pro Forma'!M40</f>
        <v>287106.84291555587</v>
      </c>
      <c r="L5" s="224">
        <f ca="1">'17-year Pro Forma'!N40</f>
        <v>311117.72783362499</v>
      </c>
      <c r="M5" s="224">
        <f ca="1">'17-year Pro Forma'!O40</f>
        <v>333839.24622671376</v>
      </c>
      <c r="N5" s="224">
        <f ca="1">'17-year Pro Forma'!P40</f>
        <v>356570.22880544682</v>
      </c>
      <c r="O5" s="224">
        <f ca="1">'17-year Pro Forma'!Q40</f>
        <v>379298.26024214737</v>
      </c>
      <c r="P5" s="224">
        <f ca="1">'17-year Pro Forma'!R40</f>
        <v>402010.33970459003</v>
      </c>
      <c r="Q5" s="224">
        <f ca="1">'17-year Pro Forma'!S40</f>
        <v>424692.8612814066</v>
      </c>
      <c r="R5" s="224">
        <f ca="1">'17-year Pro Forma'!T40</f>
        <v>447331.5939040645</v>
      </c>
    </row>
    <row r="6" spans="1:18" s="47" customFormat="1" ht="6.75" customHeight="1" x14ac:dyDescent="0.25">
      <c r="B6" s="224"/>
      <c r="C6" s="224"/>
      <c r="D6" s="224"/>
      <c r="E6" s="224"/>
      <c r="F6" s="224"/>
      <c r="G6" s="224"/>
      <c r="H6" s="224"/>
      <c r="I6" s="224"/>
      <c r="J6" s="224"/>
      <c r="K6" s="224"/>
      <c r="L6" s="224"/>
      <c r="M6" s="224"/>
      <c r="N6" s="224"/>
      <c r="O6" s="224"/>
      <c r="P6" s="224"/>
      <c r="Q6" s="224"/>
      <c r="R6" s="224"/>
    </row>
    <row r="7" spans="1:18" ht="15" customHeight="1" x14ac:dyDescent="0.25">
      <c r="A7" s="225" t="s">
        <v>364</v>
      </c>
      <c r="B7" s="226">
        <f t="shared" ref="B7:R7" ca="1" si="1">MIN(B17,MAX(0,B5))</f>
        <v>0</v>
      </c>
      <c r="C7" s="226">
        <f t="shared" ca="1" si="1"/>
        <v>274844.28227248805</v>
      </c>
      <c r="D7" s="226">
        <f t="shared" ca="1" si="1"/>
        <v>297518.71606874629</v>
      </c>
      <c r="E7" s="226">
        <f t="shared" ca="1" si="1"/>
        <v>144849.73616038129</v>
      </c>
      <c r="F7" s="226">
        <f t="shared" ca="1" si="1"/>
        <v>168300.34742464352</v>
      </c>
      <c r="G7" s="226">
        <f t="shared" ca="1" si="1"/>
        <v>191865.40806130064</v>
      </c>
      <c r="H7" s="226">
        <f t="shared" ca="1" si="1"/>
        <v>215537.08188212849</v>
      </c>
      <c r="I7" s="226">
        <f t="shared" ca="1" si="1"/>
        <v>239307.10036387853</v>
      </c>
      <c r="J7" s="226">
        <f t="shared" ca="1" si="1"/>
        <v>263166.74728116288</v>
      </c>
      <c r="K7" s="226">
        <f t="shared" ca="1" si="1"/>
        <v>287106.84291555587</v>
      </c>
      <c r="L7" s="226">
        <f t="shared" ca="1" si="1"/>
        <v>49316.813770415843</v>
      </c>
      <c r="M7" s="226">
        <f t="shared" ca="1" si="1"/>
        <v>1.8204154912382364E-5</v>
      </c>
      <c r="N7" s="226">
        <f t="shared" ca="1" si="1"/>
        <v>5.2610412240028381E-6</v>
      </c>
      <c r="O7" s="226">
        <f t="shared" ca="1" si="1"/>
        <v>-1.4406919945031404E-5</v>
      </c>
      <c r="P7" s="226">
        <f t="shared" ca="1" si="1"/>
        <v>-2.4449080228805542E-5</v>
      </c>
      <c r="Q7" s="226">
        <f t="shared" ca="1" si="1"/>
        <v>-1.5113968402147293E-5</v>
      </c>
      <c r="R7" s="226">
        <f t="shared" ca="1" si="1"/>
        <v>6.6490028984844685E-6</v>
      </c>
    </row>
    <row r="8" spans="1:18" x14ac:dyDescent="0.25">
      <c r="A8" s="225" t="s">
        <v>366</v>
      </c>
      <c r="B8" s="226">
        <f t="shared" ref="B8:R8" ca="1" si="2">MIN(B23,MAX(0,B5)-B7)</f>
        <v>0</v>
      </c>
      <c r="C8" s="226">
        <f t="shared" ca="1" si="2"/>
        <v>0</v>
      </c>
      <c r="D8" s="226">
        <f t="shared" ca="1" si="2"/>
        <v>0</v>
      </c>
      <c r="E8" s="226">
        <f t="shared" ca="1" si="2"/>
        <v>0</v>
      </c>
      <c r="F8" s="226">
        <f t="shared" ca="1" si="2"/>
        <v>0</v>
      </c>
      <c r="G8" s="226">
        <f t="shared" ca="1" si="2"/>
        <v>0</v>
      </c>
      <c r="H8" s="226">
        <f t="shared" ca="1" si="2"/>
        <v>0</v>
      </c>
      <c r="I8" s="226">
        <f t="shared" ca="1" si="2"/>
        <v>0</v>
      </c>
      <c r="J8" s="226">
        <f t="shared" ca="1" si="2"/>
        <v>0</v>
      </c>
      <c r="K8" s="226">
        <f t="shared" ca="1" si="2"/>
        <v>0</v>
      </c>
      <c r="L8" s="226">
        <f t="shared" ca="1" si="2"/>
        <v>261800.91406320914</v>
      </c>
      <c r="M8" s="226">
        <f t="shared" ca="1" si="2"/>
        <v>333839.2462085096</v>
      </c>
      <c r="N8" s="226">
        <f t="shared" ca="1" si="2"/>
        <v>356570.22880018578</v>
      </c>
      <c r="O8" s="226">
        <f t="shared" ca="1" si="2"/>
        <v>379298.26025655429</v>
      </c>
      <c r="P8" s="226">
        <f t="shared" ca="1" si="2"/>
        <v>402010.33972903911</v>
      </c>
      <c r="Q8" s="226">
        <f t="shared" ca="1" si="2"/>
        <v>424692.86129652057</v>
      </c>
      <c r="R8" s="226">
        <f t="shared" ca="1" si="2"/>
        <v>447331.5938974155</v>
      </c>
    </row>
    <row r="9" spans="1:18" ht="15" customHeight="1" x14ac:dyDescent="0.25">
      <c r="A9" s="225" t="s">
        <v>365</v>
      </c>
      <c r="B9" s="227">
        <f t="shared" ref="B9:R9" ca="1" si="3">MIN(MAX(0,B33-(B29-B31)),MAX(0,B5)-B7-B8)</f>
        <v>0</v>
      </c>
      <c r="C9" s="227">
        <f t="shared" ca="1" si="3"/>
        <v>0</v>
      </c>
      <c r="D9" s="227">
        <f t="shared" ca="1" si="3"/>
        <v>0</v>
      </c>
      <c r="E9" s="227">
        <f t="shared" ca="1" si="3"/>
        <v>0</v>
      </c>
      <c r="F9" s="227">
        <f t="shared" ca="1" si="3"/>
        <v>0</v>
      </c>
      <c r="G9" s="227">
        <f t="shared" ca="1" si="3"/>
        <v>0</v>
      </c>
      <c r="H9" s="227">
        <f t="shared" ca="1" si="3"/>
        <v>0</v>
      </c>
      <c r="I9" s="227">
        <f t="shared" ca="1" si="3"/>
        <v>0</v>
      </c>
      <c r="J9" s="227">
        <f t="shared" ca="1" si="3"/>
        <v>0</v>
      </c>
      <c r="K9" s="227">
        <f t="shared" ca="1" si="3"/>
        <v>0</v>
      </c>
      <c r="L9" s="227">
        <f t="shared" ca="1" si="3"/>
        <v>0</v>
      </c>
      <c r="M9" s="227">
        <f t="shared" ca="1" si="3"/>
        <v>0</v>
      </c>
      <c r="N9" s="227">
        <f t="shared" ca="1" si="3"/>
        <v>0</v>
      </c>
      <c r="O9" s="227">
        <f t="shared" ca="1" si="3"/>
        <v>0</v>
      </c>
      <c r="P9" s="227">
        <f t="shared" ca="1" si="3"/>
        <v>0</v>
      </c>
      <c r="Q9" s="227">
        <f t="shared" ca="1" si="3"/>
        <v>0</v>
      </c>
      <c r="R9" s="227">
        <f t="shared" ca="1" si="3"/>
        <v>0</v>
      </c>
    </row>
    <row r="10" spans="1:18" ht="3.75" customHeight="1" x14ac:dyDescent="0.25">
      <c r="A10" s="225"/>
      <c r="B10" s="226"/>
      <c r="C10" s="226"/>
      <c r="D10" s="226"/>
      <c r="E10" s="226"/>
      <c r="F10" s="226"/>
      <c r="G10" s="226"/>
      <c r="H10" s="226"/>
      <c r="I10" s="226"/>
      <c r="J10" s="226"/>
      <c r="K10" s="226"/>
      <c r="L10" s="226"/>
      <c r="M10" s="226"/>
      <c r="N10" s="226"/>
      <c r="O10" s="226"/>
      <c r="P10" s="226"/>
      <c r="Q10" s="226"/>
      <c r="R10" s="226"/>
    </row>
    <row r="11" spans="1:18" x14ac:dyDescent="0.25">
      <c r="A11" t="s">
        <v>367</v>
      </c>
      <c r="B11" s="227">
        <f t="shared" ref="B11:R11" ca="1" si="4">B7+B8+B9</f>
        <v>0</v>
      </c>
      <c r="C11" s="227">
        <f t="shared" ca="1" si="4"/>
        <v>274844.28227248805</v>
      </c>
      <c r="D11" s="227">
        <f t="shared" ca="1" si="4"/>
        <v>297518.71606874629</v>
      </c>
      <c r="E11" s="227">
        <f t="shared" ca="1" si="4"/>
        <v>144849.73616038129</v>
      </c>
      <c r="F11" s="227">
        <f t="shared" ca="1" si="4"/>
        <v>168300.34742464352</v>
      </c>
      <c r="G11" s="227">
        <f t="shared" ca="1" si="4"/>
        <v>191865.40806130064</v>
      </c>
      <c r="H11" s="227">
        <f t="shared" ca="1" si="4"/>
        <v>215537.08188212849</v>
      </c>
      <c r="I11" s="227">
        <f t="shared" ca="1" si="4"/>
        <v>239307.10036387853</v>
      </c>
      <c r="J11" s="227">
        <f t="shared" ca="1" si="4"/>
        <v>263166.74728116288</v>
      </c>
      <c r="K11" s="227">
        <f t="shared" ca="1" si="4"/>
        <v>287106.84291555587</v>
      </c>
      <c r="L11" s="227">
        <f t="shared" ca="1" si="4"/>
        <v>311117.72783362499</v>
      </c>
      <c r="M11" s="227">
        <f t="shared" ca="1" si="4"/>
        <v>333839.24622671376</v>
      </c>
      <c r="N11" s="227">
        <f t="shared" ca="1" si="4"/>
        <v>356570.22880544682</v>
      </c>
      <c r="O11" s="227">
        <f t="shared" ca="1" si="4"/>
        <v>379298.26024214737</v>
      </c>
      <c r="P11" s="227">
        <f t="shared" ca="1" si="4"/>
        <v>402010.33970459003</v>
      </c>
      <c r="Q11" s="227">
        <f t="shared" ca="1" si="4"/>
        <v>424692.8612814066</v>
      </c>
      <c r="R11" s="227">
        <f t="shared" ca="1" si="4"/>
        <v>447331.5939040645</v>
      </c>
    </row>
    <row r="12" spans="1:18" ht="3" customHeight="1" x14ac:dyDescent="0.25">
      <c r="A12" s="47"/>
      <c r="B12" s="224"/>
      <c r="C12" s="224"/>
      <c r="D12" s="224"/>
      <c r="E12" s="224"/>
      <c r="F12" s="224"/>
      <c r="G12" s="224"/>
      <c r="H12" s="224"/>
      <c r="I12" s="224"/>
      <c r="J12" s="224"/>
      <c r="K12" s="224"/>
      <c r="L12" s="224"/>
      <c r="M12" s="224"/>
      <c r="N12" s="224"/>
      <c r="O12" s="224"/>
      <c r="P12" s="224"/>
      <c r="Q12" s="224"/>
      <c r="R12" s="224"/>
    </row>
    <row r="13" spans="1:18" x14ac:dyDescent="0.25">
      <c r="A13" s="47" t="s">
        <v>368</v>
      </c>
      <c r="B13" s="224">
        <f t="shared" ref="B13:R13" ca="1" si="5">B5-B11</f>
        <v>-646433.92866435717</v>
      </c>
      <c r="C13" s="224">
        <f t="shared" ca="1" si="5"/>
        <v>0</v>
      </c>
      <c r="D13" s="224">
        <f t="shared" ca="1" si="5"/>
        <v>0</v>
      </c>
      <c r="E13" s="224">
        <f t="shared" ca="1" si="5"/>
        <v>0</v>
      </c>
      <c r="F13" s="224">
        <f t="shared" ca="1" si="5"/>
        <v>0</v>
      </c>
      <c r="G13" s="224">
        <f t="shared" ca="1" si="5"/>
        <v>0</v>
      </c>
      <c r="H13" s="224">
        <f t="shared" ca="1" si="5"/>
        <v>0</v>
      </c>
      <c r="I13" s="224">
        <f t="shared" ca="1" si="5"/>
        <v>0</v>
      </c>
      <c r="J13" s="224">
        <f t="shared" ca="1" si="5"/>
        <v>0</v>
      </c>
      <c r="K13" s="224">
        <f t="shared" ca="1" si="5"/>
        <v>0</v>
      </c>
      <c r="L13" s="224">
        <f t="shared" ca="1" si="5"/>
        <v>0</v>
      </c>
      <c r="M13" s="224">
        <f t="shared" ca="1" si="5"/>
        <v>0</v>
      </c>
      <c r="N13" s="224">
        <f t="shared" ca="1" si="5"/>
        <v>0</v>
      </c>
      <c r="O13" s="224">
        <f t="shared" ca="1" si="5"/>
        <v>0</v>
      </c>
      <c r="P13" s="224">
        <f t="shared" ca="1" si="5"/>
        <v>0</v>
      </c>
      <c r="Q13" s="224">
        <f t="shared" ca="1" si="5"/>
        <v>0</v>
      </c>
      <c r="R13" s="224">
        <f t="shared" ca="1" si="5"/>
        <v>0</v>
      </c>
    </row>
    <row r="16" spans="1:18" s="48" customFormat="1" ht="15.75" customHeight="1" x14ac:dyDescent="0.25">
      <c r="A16" s="48" t="s">
        <v>369</v>
      </c>
      <c r="B16" s="67" t="str">
        <f t="shared" ref="B16:R16" si="6">"Yr "&amp;(COLUMN()-1)</f>
        <v>Yr 1</v>
      </c>
      <c r="C16" s="67" t="str">
        <f t="shared" si="6"/>
        <v>Yr 2</v>
      </c>
      <c r="D16" s="67" t="str">
        <f t="shared" si="6"/>
        <v>Yr 3</v>
      </c>
      <c r="E16" s="67" t="str">
        <f t="shared" si="6"/>
        <v>Yr 4</v>
      </c>
      <c r="F16" s="67" t="str">
        <f t="shared" si="6"/>
        <v>Yr 5</v>
      </c>
      <c r="G16" s="67" t="str">
        <f t="shared" si="6"/>
        <v>Yr 6</v>
      </c>
      <c r="H16" s="67" t="str">
        <f t="shared" si="6"/>
        <v>Yr 7</v>
      </c>
      <c r="I16" s="67" t="str">
        <f t="shared" si="6"/>
        <v>Yr 8</v>
      </c>
      <c r="J16" s="67" t="str">
        <f t="shared" si="6"/>
        <v>Yr 9</v>
      </c>
      <c r="K16" s="67" t="str">
        <f t="shared" si="6"/>
        <v>Yr 10</v>
      </c>
      <c r="L16" s="67" t="str">
        <f t="shared" si="6"/>
        <v>Yr 11</v>
      </c>
      <c r="M16" s="67" t="str">
        <f t="shared" si="6"/>
        <v>Yr 12</v>
      </c>
      <c r="N16" s="67" t="str">
        <f t="shared" si="6"/>
        <v>Yr 13</v>
      </c>
      <c r="O16" s="67" t="str">
        <f t="shared" si="6"/>
        <v>Yr 14</v>
      </c>
      <c r="P16" s="67" t="str">
        <f t="shared" si="6"/>
        <v>Yr 15</v>
      </c>
      <c r="Q16" s="67" t="str">
        <f t="shared" si="6"/>
        <v>Yr 16</v>
      </c>
      <c r="R16" s="67" t="str">
        <f t="shared" si="6"/>
        <v>Yr 17</v>
      </c>
    </row>
    <row r="17" spans="1:18" x14ac:dyDescent="0.25">
      <c r="A17" t="s">
        <v>311</v>
      </c>
      <c r="B17" s="226">
        <f ca="1">'Sources &amp; Uses'!I24</f>
        <v>2131813.0761794765</v>
      </c>
      <c r="C17" s="226">
        <f t="shared" ref="C17:R17" ca="1" si="7">B19</f>
        <v>2131813.0761792511</v>
      </c>
      <c r="D17" s="226">
        <f t="shared" ca="1" si="7"/>
        <v>1856968.7939071597</v>
      </c>
      <c r="E17" s="226">
        <f t="shared" ca="1" si="7"/>
        <v>1559450.0778391785</v>
      </c>
      <c r="F17" s="226">
        <f t="shared" ca="1" si="7"/>
        <v>1414600.3416793002</v>
      </c>
      <c r="G17" s="226">
        <f t="shared" ca="1" si="7"/>
        <v>1246299.9942548648</v>
      </c>
      <c r="H17" s="226">
        <f t="shared" ca="1" si="7"/>
        <v>1054434.586193898</v>
      </c>
      <c r="I17" s="226">
        <f t="shared" ca="1" si="7"/>
        <v>838897.50431314553</v>
      </c>
      <c r="J17" s="226">
        <f t="shared" ca="1" si="7"/>
        <v>599590.40395272034</v>
      </c>
      <c r="K17" s="226">
        <f t="shared" ca="1" si="7"/>
        <v>336423.6566773135</v>
      </c>
      <c r="L17" s="226">
        <f t="shared" ca="1" si="7"/>
        <v>49316.81376811245</v>
      </c>
      <c r="M17" s="226">
        <f t="shared" ca="1" si="7"/>
        <v>6.7852670326828957E-6</v>
      </c>
      <c r="N17" s="226">
        <f t="shared" ca="1" si="7"/>
        <v>-7.1167014539241791E-6</v>
      </c>
      <c r="O17" s="226">
        <f t="shared" ca="1" si="7"/>
        <v>-1.7302518244832754E-5</v>
      </c>
      <c r="P17" s="226">
        <f t="shared" ca="1" si="7"/>
        <v>-1.4902499970048666E-5</v>
      </c>
      <c r="Q17" s="226">
        <f t="shared" ca="1" si="7"/>
        <v>-2.3918109945952892E-6</v>
      </c>
      <c r="R17" s="226">
        <f t="shared" ca="1" si="7"/>
        <v>1.3893819414079189E-5</v>
      </c>
    </row>
    <row r="18" spans="1:18" x14ac:dyDescent="0.25">
      <c r="A18" s="225" t="s">
        <v>370</v>
      </c>
      <c r="B18" s="227">
        <f t="shared" ref="B18:R18" ca="1" si="8">B7</f>
        <v>0</v>
      </c>
      <c r="C18" s="227">
        <f t="shared" ca="1" si="8"/>
        <v>274844.28227248805</v>
      </c>
      <c r="D18" s="227">
        <f t="shared" ca="1" si="8"/>
        <v>297518.71606874629</v>
      </c>
      <c r="E18" s="227">
        <f t="shared" ca="1" si="8"/>
        <v>144849.73616038129</v>
      </c>
      <c r="F18" s="227">
        <f t="shared" ca="1" si="8"/>
        <v>168300.34742464352</v>
      </c>
      <c r="G18" s="227">
        <f t="shared" ca="1" si="8"/>
        <v>191865.40806130064</v>
      </c>
      <c r="H18" s="227">
        <f t="shared" ca="1" si="8"/>
        <v>215537.08188212849</v>
      </c>
      <c r="I18" s="227">
        <f t="shared" ca="1" si="8"/>
        <v>239307.10036387853</v>
      </c>
      <c r="J18" s="227">
        <f t="shared" ca="1" si="8"/>
        <v>263166.74728116288</v>
      </c>
      <c r="K18" s="227">
        <f t="shared" ca="1" si="8"/>
        <v>287106.84291555587</v>
      </c>
      <c r="L18" s="227">
        <f t="shared" ca="1" si="8"/>
        <v>49316.813770415843</v>
      </c>
      <c r="M18" s="227">
        <f t="shared" ca="1" si="8"/>
        <v>1.8204154912382364E-5</v>
      </c>
      <c r="N18" s="227">
        <f t="shared" ca="1" si="8"/>
        <v>5.2610412240028381E-6</v>
      </c>
      <c r="O18" s="227">
        <f t="shared" ca="1" si="8"/>
        <v>-1.4406919945031404E-5</v>
      </c>
      <c r="P18" s="227">
        <f t="shared" ca="1" si="8"/>
        <v>-2.4449080228805542E-5</v>
      </c>
      <c r="Q18" s="227">
        <f t="shared" ca="1" si="8"/>
        <v>-1.5113968402147293E-5</v>
      </c>
      <c r="R18" s="227">
        <f t="shared" ca="1" si="8"/>
        <v>6.6490028984844685E-6</v>
      </c>
    </row>
    <row r="19" spans="1:18" x14ac:dyDescent="0.25">
      <c r="A19" s="47" t="s">
        <v>312</v>
      </c>
      <c r="B19" s="224">
        <f t="shared" ref="B19:R19" ca="1" si="9">B17-B18</f>
        <v>2131813.0761794765</v>
      </c>
      <c r="C19" s="224">
        <f t="shared" ca="1" si="9"/>
        <v>1856968.793906763</v>
      </c>
      <c r="D19" s="224">
        <f t="shared" ca="1" si="9"/>
        <v>1559450.0778384134</v>
      </c>
      <c r="E19" s="224">
        <f t="shared" ca="1" si="9"/>
        <v>1414600.3416787973</v>
      </c>
      <c r="F19" s="224">
        <f t="shared" ca="1" si="9"/>
        <v>1246299.9942546566</v>
      </c>
      <c r="G19" s="224">
        <f t="shared" ca="1" si="9"/>
        <v>1054434.5861935641</v>
      </c>
      <c r="H19" s="224">
        <f t="shared" ca="1" si="9"/>
        <v>838897.5043117695</v>
      </c>
      <c r="I19" s="224">
        <f t="shared" ca="1" si="9"/>
        <v>599590.403949267</v>
      </c>
      <c r="J19" s="224">
        <f t="shared" ca="1" si="9"/>
        <v>336423.65667155746</v>
      </c>
      <c r="K19" s="224">
        <f t="shared" ca="1" si="9"/>
        <v>49316.813761757629</v>
      </c>
      <c r="L19" s="224">
        <f t="shared" ca="1" si="9"/>
        <v>-2.3033935576677322E-6</v>
      </c>
      <c r="M19" s="224">
        <f t="shared" ca="1" si="9"/>
        <v>-1.1418887879699469E-5</v>
      </c>
      <c r="N19" s="224">
        <f t="shared" ca="1" si="9"/>
        <v>-1.2377742677927017E-5</v>
      </c>
      <c r="O19" s="224">
        <f t="shared" ca="1" si="9"/>
        <v>-2.8955982998013496E-6</v>
      </c>
      <c r="P19" s="224">
        <f t="shared" ca="1" si="9"/>
        <v>9.546580258756876E-6</v>
      </c>
      <c r="Q19" s="224">
        <f t="shared" ca="1" si="9"/>
        <v>1.2722157407552004E-5</v>
      </c>
      <c r="R19" s="224">
        <f t="shared" ca="1" si="9"/>
        <v>7.2448165155947208E-6</v>
      </c>
    </row>
    <row r="22" spans="1:18" s="48" customFormat="1" x14ac:dyDescent="0.25">
      <c r="A22" s="48" t="s">
        <v>371</v>
      </c>
      <c r="B22" s="228" t="str">
        <f t="shared" ref="B22:R22" si="10">"Yr "&amp;(COLUMN()-1)</f>
        <v>Yr 1</v>
      </c>
      <c r="C22" s="228" t="str">
        <f t="shared" si="10"/>
        <v>Yr 2</v>
      </c>
      <c r="D22" s="228" t="str">
        <f t="shared" si="10"/>
        <v>Yr 3</v>
      </c>
      <c r="E22" s="228" t="str">
        <f t="shared" si="10"/>
        <v>Yr 4</v>
      </c>
      <c r="F22" s="228" t="str">
        <f t="shared" si="10"/>
        <v>Yr 5</v>
      </c>
      <c r="G22" s="228" t="str">
        <f t="shared" si="10"/>
        <v>Yr 6</v>
      </c>
      <c r="H22" s="228" t="str">
        <f t="shared" si="10"/>
        <v>Yr 7</v>
      </c>
      <c r="I22" s="228" t="str">
        <f t="shared" si="10"/>
        <v>Yr 8</v>
      </c>
      <c r="J22" s="228" t="str">
        <f t="shared" si="10"/>
        <v>Yr 9</v>
      </c>
      <c r="K22" s="228" t="str">
        <f t="shared" si="10"/>
        <v>Yr 10</v>
      </c>
      <c r="L22" s="228" t="str">
        <f t="shared" si="10"/>
        <v>Yr 11</v>
      </c>
      <c r="M22" s="228" t="str">
        <f t="shared" si="10"/>
        <v>Yr 12</v>
      </c>
      <c r="N22" s="228" t="str">
        <f t="shared" si="10"/>
        <v>Yr 13</v>
      </c>
      <c r="O22" s="228" t="str">
        <f t="shared" si="10"/>
        <v>Yr 14</v>
      </c>
      <c r="P22" s="228" t="str">
        <f t="shared" si="10"/>
        <v>Yr 15</v>
      </c>
      <c r="Q22" s="228" t="str">
        <f t="shared" si="10"/>
        <v>Yr 16</v>
      </c>
      <c r="R22" s="228" t="str">
        <f t="shared" si="10"/>
        <v>Yr 17</v>
      </c>
    </row>
    <row r="23" spans="1:18" x14ac:dyDescent="0.25">
      <c r="A23" t="s">
        <v>311</v>
      </c>
      <c r="B23" s="226">
        <f>'Sources &amp; Uses'!I16</f>
        <v>7500000</v>
      </c>
      <c r="C23" s="226">
        <f t="shared" ref="C23:R23" ca="1" si="11">B25</f>
        <v>7500000</v>
      </c>
      <c r="D23" s="226">
        <f t="shared" ca="1" si="11"/>
        <v>7500000</v>
      </c>
      <c r="E23" s="226">
        <f t="shared" ca="1" si="11"/>
        <v>7500000</v>
      </c>
      <c r="F23" s="226">
        <f t="shared" ca="1" si="11"/>
        <v>7500000</v>
      </c>
      <c r="G23" s="226">
        <f t="shared" ca="1" si="11"/>
        <v>7500000</v>
      </c>
      <c r="H23" s="226">
        <f t="shared" ca="1" si="11"/>
        <v>7500000</v>
      </c>
      <c r="I23" s="226">
        <f t="shared" ca="1" si="11"/>
        <v>7500000</v>
      </c>
      <c r="J23" s="226">
        <f t="shared" ca="1" si="11"/>
        <v>7500000</v>
      </c>
      <c r="K23" s="226">
        <f t="shared" ca="1" si="11"/>
        <v>7500000</v>
      </c>
      <c r="L23" s="226">
        <f t="shared" ca="1" si="11"/>
        <v>7500000</v>
      </c>
      <c r="M23" s="226">
        <f t="shared" ca="1" si="11"/>
        <v>7238199.0859305942</v>
      </c>
      <c r="N23" s="226">
        <f t="shared" ca="1" si="11"/>
        <v>6904359.8397117183</v>
      </c>
      <c r="O23" s="226">
        <f t="shared" ca="1" si="11"/>
        <v>6547789.6108974731</v>
      </c>
      <c r="P23" s="226">
        <f t="shared" ca="1" si="11"/>
        <v>6168491.3506233953</v>
      </c>
      <c r="Q23" s="226">
        <f t="shared" ca="1" si="11"/>
        <v>5766481.0108787427</v>
      </c>
      <c r="R23" s="226">
        <f t="shared" ca="1" si="11"/>
        <v>5341788.1495776772</v>
      </c>
    </row>
    <row r="24" spans="1:18" x14ac:dyDescent="0.25">
      <c r="A24" s="225" t="s">
        <v>370</v>
      </c>
      <c r="B24" s="227">
        <f t="shared" ref="B24:R24" ca="1" si="12">B8</f>
        <v>0</v>
      </c>
      <c r="C24" s="227">
        <f t="shared" ca="1" si="12"/>
        <v>0</v>
      </c>
      <c r="D24" s="227">
        <f t="shared" ca="1" si="12"/>
        <v>0</v>
      </c>
      <c r="E24" s="227">
        <f t="shared" ca="1" si="12"/>
        <v>0</v>
      </c>
      <c r="F24" s="227">
        <f t="shared" ca="1" si="12"/>
        <v>0</v>
      </c>
      <c r="G24" s="227">
        <f t="shared" ca="1" si="12"/>
        <v>0</v>
      </c>
      <c r="H24" s="227">
        <f t="shared" ca="1" si="12"/>
        <v>0</v>
      </c>
      <c r="I24" s="227">
        <f t="shared" ca="1" si="12"/>
        <v>0</v>
      </c>
      <c r="J24" s="227">
        <f t="shared" ca="1" si="12"/>
        <v>0</v>
      </c>
      <c r="K24" s="227">
        <f t="shared" ca="1" si="12"/>
        <v>0</v>
      </c>
      <c r="L24" s="227">
        <f t="shared" ca="1" si="12"/>
        <v>261800.91406320914</v>
      </c>
      <c r="M24" s="227">
        <f t="shared" ca="1" si="12"/>
        <v>333839.2462085096</v>
      </c>
      <c r="N24" s="227">
        <f t="shared" ca="1" si="12"/>
        <v>356570.22880018578</v>
      </c>
      <c r="O24" s="227">
        <f t="shared" ca="1" si="12"/>
        <v>379298.26025655429</v>
      </c>
      <c r="P24" s="227">
        <f t="shared" ca="1" si="12"/>
        <v>402010.33972903911</v>
      </c>
      <c r="Q24" s="227">
        <f t="shared" ca="1" si="12"/>
        <v>424692.86129652057</v>
      </c>
      <c r="R24" s="227">
        <f t="shared" ca="1" si="12"/>
        <v>447331.5938974155</v>
      </c>
    </row>
    <row r="25" spans="1:18" x14ac:dyDescent="0.25">
      <c r="A25" s="47" t="s">
        <v>312</v>
      </c>
      <c r="B25" s="224">
        <f t="shared" ref="B25:R25" ca="1" si="13">B23-B24</f>
        <v>7500000</v>
      </c>
      <c r="C25" s="224">
        <f t="shared" ca="1" si="13"/>
        <v>7500000</v>
      </c>
      <c r="D25" s="224">
        <f t="shared" ca="1" si="13"/>
        <v>7500000</v>
      </c>
      <c r="E25" s="224">
        <f t="shared" ca="1" si="13"/>
        <v>7500000</v>
      </c>
      <c r="F25" s="224">
        <f t="shared" ca="1" si="13"/>
        <v>7500000</v>
      </c>
      <c r="G25" s="224">
        <f t="shared" ca="1" si="13"/>
        <v>7500000</v>
      </c>
      <c r="H25" s="224">
        <f t="shared" ca="1" si="13"/>
        <v>7500000</v>
      </c>
      <c r="I25" s="224">
        <f t="shared" ca="1" si="13"/>
        <v>7500000</v>
      </c>
      <c r="J25" s="224">
        <f t="shared" ca="1" si="13"/>
        <v>7500000</v>
      </c>
      <c r="K25" s="224">
        <f t="shared" ca="1" si="13"/>
        <v>7500000</v>
      </c>
      <c r="L25" s="224">
        <f t="shared" ca="1" si="13"/>
        <v>7238199.0859367913</v>
      </c>
      <c r="M25" s="224">
        <f t="shared" ca="1" si="13"/>
        <v>6904359.8397220848</v>
      </c>
      <c r="N25" s="224">
        <f t="shared" ca="1" si="13"/>
        <v>6547789.6109115323</v>
      </c>
      <c r="O25" s="224">
        <f t="shared" ca="1" si="13"/>
        <v>6168491.3506409191</v>
      </c>
      <c r="P25" s="224">
        <f t="shared" ca="1" si="13"/>
        <v>5766481.0108943563</v>
      </c>
      <c r="Q25" s="224">
        <f t="shared" ca="1" si="13"/>
        <v>5341788.1495822221</v>
      </c>
      <c r="R25" s="224">
        <f t="shared" ca="1" si="13"/>
        <v>4894456.5556802619</v>
      </c>
    </row>
    <row r="28" spans="1:18" s="47" customFormat="1" x14ac:dyDescent="0.25">
      <c r="A28" s="48" t="s">
        <v>372</v>
      </c>
      <c r="B28" s="67" t="str">
        <f t="shared" ref="B28:R28" si="14">"Yr "&amp;(COLUMN()-1)</f>
        <v>Yr 1</v>
      </c>
      <c r="C28" s="67" t="str">
        <f t="shared" si="14"/>
        <v>Yr 2</v>
      </c>
      <c r="D28" s="67" t="str">
        <f t="shared" si="14"/>
        <v>Yr 3</v>
      </c>
      <c r="E28" s="67" t="str">
        <f t="shared" si="14"/>
        <v>Yr 4</v>
      </c>
      <c r="F28" s="67" t="str">
        <f t="shared" si="14"/>
        <v>Yr 5</v>
      </c>
      <c r="G28" s="67" t="str">
        <f t="shared" si="14"/>
        <v>Yr 6</v>
      </c>
      <c r="H28" s="67" t="str">
        <f t="shared" si="14"/>
        <v>Yr 7</v>
      </c>
      <c r="I28" s="67" t="str">
        <f t="shared" si="14"/>
        <v>Yr 8</v>
      </c>
      <c r="J28" s="67" t="str">
        <f t="shared" si="14"/>
        <v>Yr 9</v>
      </c>
      <c r="K28" s="67" t="str">
        <f t="shared" si="14"/>
        <v>Yr 10</v>
      </c>
      <c r="L28" s="67" t="str">
        <f t="shared" si="14"/>
        <v>Yr 11</v>
      </c>
      <c r="M28" s="67" t="str">
        <f t="shared" si="14"/>
        <v>Yr 12</v>
      </c>
      <c r="N28" s="67" t="str">
        <f t="shared" si="14"/>
        <v>Yr 13</v>
      </c>
      <c r="O28" s="67" t="str">
        <f t="shared" si="14"/>
        <v>Yr 14</v>
      </c>
      <c r="P28" s="67" t="str">
        <f t="shared" si="14"/>
        <v>Yr 15</v>
      </c>
      <c r="Q28" s="67" t="str">
        <f t="shared" si="14"/>
        <v>Yr 16</v>
      </c>
      <c r="R28" s="67" t="str">
        <f t="shared" si="14"/>
        <v>Yr 17</v>
      </c>
    </row>
    <row r="29" spans="1:18" x14ac:dyDescent="0.25">
      <c r="A29" t="s">
        <v>311</v>
      </c>
      <c r="B29" s="226">
        <f ca="1">B48</f>
        <v>1398305.3841483246</v>
      </c>
      <c r="C29" s="226">
        <f t="shared" ref="C29:R29" ca="1" si="15">B32</f>
        <v>751871.4554837537</v>
      </c>
      <c r="D29" s="226">
        <f t="shared" ca="1" si="15"/>
        <v>751871.45548365742</v>
      </c>
      <c r="E29" s="226">
        <f t="shared" ca="1" si="15"/>
        <v>751871.45548381645</v>
      </c>
      <c r="F29" s="226">
        <f t="shared" ca="1" si="15"/>
        <v>751871.45548418479</v>
      </c>
      <c r="G29" s="226">
        <f t="shared" ca="1" si="15"/>
        <v>751871.45548445673</v>
      </c>
      <c r="H29" s="226">
        <f t="shared" ca="1" si="15"/>
        <v>751871.45548415952</v>
      </c>
      <c r="I29" s="226">
        <f t="shared" ca="1" si="15"/>
        <v>751871.45548294554</v>
      </c>
      <c r="J29" s="226">
        <f t="shared" ca="1" si="15"/>
        <v>751871.45548100933</v>
      </c>
      <c r="K29" s="226">
        <f t="shared" ca="1" si="15"/>
        <v>751871.45547935565</v>
      </c>
      <c r="L29" s="226">
        <f t="shared" ca="1" si="15"/>
        <v>751871.45547960477</v>
      </c>
      <c r="M29" s="226">
        <f t="shared" ca="1" si="15"/>
        <v>751871.45548322226</v>
      </c>
      <c r="N29" s="226">
        <f t="shared" ca="1" si="15"/>
        <v>751871.45549030311</v>
      </c>
      <c r="O29" s="226">
        <f t="shared" ca="1" si="15"/>
        <v>751871.45549842867</v>
      </c>
      <c r="P29" s="226">
        <f t="shared" ca="1" si="15"/>
        <v>751871.45550269436</v>
      </c>
      <c r="Q29" s="226">
        <f t="shared" ca="1" si="15"/>
        <v>751871.45549741061</v>
      </c>
      <c r="R29" s="226">
        <f t="shared" ca="1" si="15"/>
        <v>751871.45547932223</v>
      </c>
    </row>
    <row r="30" spans="1:18" x14ac:dyDescent="0.25">
      <c r="A30" s="225" t="s">
        <v>373</v>
      </c>
      <c r="B30" s="226">
        <f t="shared" ref="B30:R30" ca="1" si="16">B9</f>
        <v>0</v>
      </c>
      <c r="C30" s="226">
        <f t="shared" ca="1" si="16"/>
        <v>0</v>
      </c>
      <c r="D30" s="226">
        <f t="shared" ca="1" si="16"/>
        <v>0</v>
      </c>
      <c r="E30" s="226">
        <f t="shared" ca="1" si="16"/>
        <v>0</v>
      </c>
      <c r="F30" s="226">
        <f t="shared" ca="1" si="16"/>
        <v>0</v>
      </c>
      <c r="G30" s="226">
        <f t="shared" ca="1" si="16"/>
        <v>0</v>
      </c>
      <c r="H30" s="226">
        <f t="shared" ca="1" si="16"/>
        <v>0</v>
      </c>
      <c r="I30" s="226">
        <f t="shared" ca="1" si="16"/>
        <v>0</v>
      </c>
      <c r="J30" s="226">
        <f t="shared" ca="1" si="16"/>
        <v>0</v>
      </c>
      <c r="K30" s="226">
        <f t="shared" ca="1" si="16"/>
        <v>0</v>
      </c>
      <c r="L30" s="226">
        <f t="shared" ca="1" si="16"/>
        <v>0</v>
      </c>
      <c r="M30" s="226">
        <f t="shared" ca="1" si="16"/>
        <v>0</v>
      </c>
      <c r="N30" s="226">
        <f t="shared" ca="1" si="16"/>
        <v>0</v>
      </c>
      <c r="O30" s="226">
        <f t="shared" ca="1" si="16"/>
        <v>0</v>
      </c>
      <c r="P30" s="226">
        <f t="shared" ca="1" si="16"/>
        <v>0</v>
      </c>
      <c r="Q30" s="226">
        <f t="shared" ca="1" si="16"/>
        <v>0</v>
      </c>
      <c r="R30" s="226">
        <f t="shared" ca="1" si="16"/>
        <v>0</v>
      </c>
    </row>
    <row r="31" spans="1:18" x14ac:dyDescent="0.25">
      <c r="A31" s="225" t="s">
        <v>374</v>
      </c>
      <c r="B31" s="227">
        <f t="shared" ref="B31:R31" ca="1" si="17">MIN(B29,MAX(0,-B5))</f>
        <v>646433.92866435717</v>
      </c>
      <c r="C31" s="227">
        <f t="shared" ca="1" si="17"/>
        <v>0</v>
      </c>
      <c r="D31" s="227">
        <f t="shared" ca="1" si="17"/>
        <v>0</v>
      </c>
      <c r="E31" s="227">
        <f t="shared" ca="1" si="17"/>
        <v>0</v>
      </c>
      <c r="F31" s="227">
        <f t="shared" ca="1" si="17"/>
        <v>0</v>
      </c>
      <c r="G31" s="227">
        <f t="shared" ca="1" si="17"/>
        <v>0</v>
      </c>
      <c r="H31" s="227">
        <f t="shared" ca="1" si="17"/>
        <v>0</v>
      </c>
      <c r="I31" s="227">
        <f t="shared" ca="1" si="17"/>
        <v>0</v>
      </c>
      <c r="J31" s="227">
        <f t="shared" ca="1" si="17"/>
        <v>0</v>
      </c>
      <c r="K31" s="227">
        <f t="shared" ca="1" si="17"/>
        <v>0</v>
      </c>
      <c r="L31" s="227">
        <f t="shared" ca="1" si="17"/>
        <v>0</v>
      </c>
      <c r="M31" s="227">
        <f t="shared" ca="1" si="17"/>
        <v>0</v>
      </c>
      <c r="N31" s="227">
        <f t="shared" ca="1" si="17"/>
        <v>0</v>
      </c>
      <c r="O31" s="227">
        <f t="shared" ca="1" si="17"/>
        <v>0</v>
      </c>
      <c r="P31" s="227">
        <f t="shared" ca="1" si="17"/>
        <v>0</v>
      </c>
      <c r="Q31" s="227">
        <f t="shared" ca="1" si="17"/>
        <v>0</v>
      </c>
      <c r="R31" s="227">
        <f t="shared" ca="1" si="17"/>
        <v>0</v>
      </c>
    </row>
    <row r="32" spans="1:18" x14ac:dyDescent="0.25">
      <c r="A32" s="47" t="s">
        <v>312</v>
      </c>
      <c r="B32" s="224">
        <f t="shared" ref="B32:R32" ca="1" si="18">B29+B30-B31</f>
        <v>751871.45548396744</v>
      </c>
      <c r="C32" s="224">
        <f t="shared" ca="1" si="18"/>
        <v>751871.4554837537</v>
      </c>
      <c r="D32" s="224">
        <f t="shared" ca="1" si="18"/>
        <v>751871.45548365742</v>
      </c>
      <c r="E32" s="224">
        <f t="shared" ca="1" si="18"/>
        <v>751871.45548381645</v>
      </c>
      <c r="F32" s="224">
        <f t="shared" ca="1" si="18"/>
        <v>751871.45548418479</v>
      </c>
      <c r="G32" s="224">
        <f t="shared" ca="1" si="18"/>
        <v>751871.45548445673</v>
      </c>
      <c r="H32" s="224">
        <f t="shared" ca="1" si="18"/>
        <v>751871.45548415952</v>
      </c>
      <c r="I32" s="224">
        <f t="shared" ca="1" si="18"/>
        <v>751871.45548294554</v>
      </c>
      <c r="J32" s="224">
        <f t="shared" ca="1" si="18"/>
        <v>751871.45548100933</v>
      </c>
      <c r="K32" s="224">
        <f t="shared" ca="1" si="18"/>
        <v>751871.45547935565</v>
      </c>
      <c r="L32" s="224">
        <f t="shared" ca="1" si="18"/>
        <v>751871.45547960477</v>
      </c>
      <c r="M32" s="224">
        <f t="shared" ca="1" si="18"/>
        <v>751871.45548322226</v>
      </c>
      <c r="N32" s="224">
        <f t="shared" ca="1" si="18"/>
        <v>751871.45549030311</v>
      </c>
      <c r="O32" s="224">
        <f t="shared" ca="1" si="18"/>
        <v>751871.45549842867</v>
      </c>
      <c r="P32" s="224">
        <f t="shared" ca="1" si="18"/>
        <v>751871.45550269436</v>
      </c>
      <c r="Q32" s="224">
        <f t="shared" ca="1" si="18"/>
        <v>751871.45549741061</v>
      </c>
      <c r="R32" s="224">
        <f t="shared" ca="1" si="18"/>
        <v>751871.45547932223</v>
      </c>
    </row>
    <row r="33" spans="1:18" x14ac:dyDescent="0.25">
      <c r="A33" t="s">
        <v>362</v>
      </c>
      <c r="B33" s="226">
        <f t="shared" ref="B33:R33" ca="1" si="19">$B$48</f>
        <v>1398305.3841483246</v>
      </c>
      <c r="C33" s="226">
        <f t="shared" ca="1" si="19"/>
        <v>1398305.3841483246</v>
      </c>
      <c r="D33" s="226">
        <f t="shared" ca="1" si="19"/>
        <v>1398305.3841483246</v>
      </c>
      <c r="E33" s="226">
        <f t="shared" ca="1" si="19"/>
        <v>1398305.3841483246</v>
      </c>
      <c r="F33" s="226">
        <f t="shared" ca="1" si="19"/>
        <v>1398305.3841483246</v>
      </c>
      <c r="G33" s="226">
        <f t="shared" ca="1" si="19"/>
        <v>1398305.3841483246</v>
      </c>
      <c r="H33" s="226">
        <f t="shared" ca="1" si="19"/>
        <v>1398305.3841483246</v>
      </c>
      <c r="I33" s="226">
        <f t="shared" ca="1" si="19"/>
        <v>1398305.3841483246</v>
      </c>
      <c r="J33" s="226">
        <f t="shared" ca="1" si="19"/>
        <v>1398305.3841483246</v>
      </c>
      <c r="K33" s="226">
        <f t="shared" ca="1" si="19"/>
        <v>1398305.3841483246</v>
      </c>
      <c r="L33" s="226">
        <f t="shared" ca="1" si="19"/>
        <v>1398305.3841483246</v>
      </c>
      <c r="M33" s="226">
        <f t="shared" ca="1" si="19"/>
        <v>1398305.3841483246</v>
      </c>
      <c r="N33" s="226">
        <f t="shared" ca="1" si="19"/>
        <v>1398305.3841483246</v>
      </c>
      <c r="O33" s="226">
        <f t="shared" ca="1" si="19"/>
        <v>1398305.3841483246</v>
      </c>
      <c r="P33" s="226">
        <f t="shared" ca="1" si="19"/>
        <v>1398305.3841483246</v>
      </c>
      <c r="Q33" s="226">
        <f t="shared" ca="1" si="19"/>
        <v>1398305.3841483246</v>
      </c>
      <c r="R33" s="226">
        <f t="shared" ca="1" si="19"/>
        <v>1398305.3841483246</v>
      </c>
    </row>
    <row r="35" spans="1:18" s="48" customFormat="1" x14ac:dyDescent="0.25"/>
    <row r="36" spans="1:18" x14ac:dyDescent="0.25">
      <c r="A36" s="48" t="s">
        <v>377</v>
      </c>
      <c r="B36" s="67" t="str">
        <f t="shared" ref="B36:M36" si="20">"Mo "&amp;(COLUMN()-1)</f>
        <v>Mo 1</v>
      </c>
      <c r="C36" s="67" t="str">
        <f t="shared" si="20"/>
        <v>Mo 2</v>
      </c>
      <c r="D36" s="67" t="str">
        <f t="shared" si="20"/>
        <v>Mo 3</v>
      </c>
      <c r="E36" s="67" t="str">
        <f t="shared" si="20"/>
        <v>Mo 4</v>
      </c>
      <c r="F36" s="67" t="str">
        <f t="shared" si="20"/>
        <v>Mo 5</v>
      </c>
      <c r="G36" s="67" t="str">
        <f t="shared" si="20"/>
        <v>Mo 6</v>
      </c>
      <c r="H36" s="67" t="str">
        <f t="shared" si="20"/>
        <v>Mo 7</v>
      </c>
      <c r="I36" s="67" t="str">
        <f t="shared" si="20"/>
        <v>Mo 8</v>
      </c>
      <c r="J36" s="67" t="str">
        <f t="shared" si="20"/>
        <v>Mo 9</v>
      </c>
      <c r="K36" s="67" t="str">
        <f t="shared" si="20"/>
        <v>Mo 10</v>
      </c>
      <c r="L36" s="67" t="str">
        <f t="shared" si="20"/>
        <v>Mo 11</v>
      </c>
      <c r="M36" s="67" t="str">
        <f t="shared" si="20"/>
        <v>Mo 12</v>
      </c>
      <c r="N36" s="67" t="s">
        <v>29</v>
      </c>
    </row>
    <row r="37" spans="1:18" x14ac:dyDescent="0.25">
      <c r="A37" t="s">
        <v>361</v>
      </c>
      <c r="B37" s="226">
        <f ca="1">'Lease-Up Period'!D41</f>
        <v>-189137.11781973933</v>
      </c>
      <c r="C37" s="226">
        <f ca="1">'Lease-Up Period'!E41</f>
        <v>-161164.46781973934</v>
      </c>
      <c r="D37" s="226">
        <f ca="1">'Lease-Up Period'!F41</f>
        <v>-133191.81781973934</v>
      </c>
      <c r="E37" s="226">
        <f ca="1">'Lease-Up Period'!G41</f>
        <v>-105219.1678197393</v>
      </c>
      <c r="F37" s="226">
        <f ca="1">'Lease-Up Period'!H41</f>
        <v>-77246.51781973934</v>
      </c>
      <c r="G37" s="226">
        <f ca="1">'Lease-Up Period'!I41</f>
        <v>-49273.867819739309</v>
      </c>
      <c r="H37" s="226">
        <f ca="1">'Lease-Up Period'!J41</f>
        <v>-21301.217819739344</v>
      </c>
      <c r="I37" s="226">
        <f ca="1">'Lease-Up Period'!K41</f>
        <v>5296.8847033968777</v>
      </c>
      <c r="J37" s="226">
        <f ca="1">'Lease-Up Period'!L41</f>
        <v>21733.869360539724</v>
      </c>
      <c r="K37" s="226">
        <f ca="1">'Lease-Up Period'!M41</f>
        <v>21023.16400339688</v>
      </c>
      <c r="L37" s="226">
        <f ca="1">'Lease-Up Period'!N41</f>
        <v>21023.16400339688</v>
      </c>
      <c r="M37" s="226">
        <f ca="1">'Lease-Up Period'!O41</f>
        <v>21023.16400339688</v>
      </c>
      <c r="N37" s="226">
        <f ca="1">SUM(B37:M37)</f>
        <v>-646433.92866404809</v>
      </c>
    </row>
    <row r="38" spans="1:18" x14ac:dyDescent="0.25">
      <c r="A38" s="101" t="s">
        <v>379</v>
      </c>
      <c r="B38" s="227">
        <f ca="1">'Lease-Up Period'!D30+'Lease-Up Period'!D31</f>
        <v>122051.89189802867</v>
      </c>
      <c r="C38" s="227">
        <f ca="1">'Lease-Up Period'!E30+'Lease-Up Period'!E31</f>
        <v>122051.89189802867</v>
      </c>
      <c r="D38" s="227">
        <f ca="1">'Lease-Up Period'!F30+'Lease-Up Period'!F31</f>
        <v>122051.89189802867</v>
      </c>
      <c r="E38" s="227">
        <f ca="1">'Lease-Up Period'!G30+'Lease-Up Period'!G31</f>
        <v>122051.89189802867</v>
      </c>
      <c r="F38" s="227">
        <f ca="1">'Lease-Up Period'!H30+'Lease-Up Period'!H31</f>
        <v>122051.89189802867</v>
      </c>
      <c r="G38" s="227">
        <f ca="1">'Lease-Up Period'!I30+'Lease-Up Period'!I31</f>
        <v>122051.89189802867</v>
      </c>
      <c r="H38" s="227">
        <f ca="1">'Lease-Up Period'!J30+'Lease-Up Period'!J31</f>
        <v>122051.89189802867</v>
      </c>
      <c r="I38" s="227">
        <f ca="1">'Lease-Up Period'!K30+'Lease-Up Period'!K31</f>
        <v>122051.89189802867</v>
      </c>
      <c r="J38" s="227">
        <f ca="1">'Lease-Up Period'!L30+'Lease-Up Period'!L31</f>
        <v>122051.89189802867</v>
      </c>
      <c r="K38" s="227">
        <f ca="1">'Lease-Up Period'!M30+'Lease-Up Period'!M31</f>
        <v>122051.89189802867</v>
      </c>
      <c r="L38" s="227">
        <f ca="1">'Lease-Up Period'!N30+'Lease-Up Period'!N31</f>
        <v>122051.89189802867</v>
      </c>
      <c r="M38" s="227">
        <f ca="1">'Lease-Up Period'!O30+'Lease-Up Period'!O31</f>
        <v>122051.89189802867</v>
      </c>
      <c r="N38" s="227">
        <f ca="1">SUM(B38:M38)</f>
        <v>1464622.7027763436</v>
      </c>
    </row>
    <row r="39" spans="1:18" x14ac:dyDescent="0.25">
      <c r="A39" t="s">
        <v>375</v>
      </c>
      <c r="B39" s="226">
        <f t="shared" ref="B39:M39" ca="1" si="21">B37+B38</f>
        <v>-67085.225921710662</v>
      </c>
      <c r="C39" s="226">
        <f t="shared" ca="1" si="21"/>
        <v>-39112.575921710668</v>
      </c>
      <c r="D39" s="226">
        <f t="shared" ca="1" si="21"/>
        <v>-11139.925921710674</v>
      </c>
      <c r="E39" s="226">
        <f t="shared" ca="1" si="21"/>
        <v>16832.724078289364</v>
      </c>
      <c r="F39" s="226">
        <f t="shared" ca="1" si="21"/>
        <v>44805.374078289329</v>
      </c>
      <c r="G39" s="226">
        <f t="shared" ca="1" si="21"/>
        <v>72778.024078289367</v>
      </c>
      <c r="H39" s="226">
        <f t="shared" ca="1" si="21"/>
        <v>100750.67407828933</v>
      </c>
      <c r="I39" s="226">
        <f t="shared" ca="1" si="21"/>
        <v>127348.77660142555</v>
      </c>
      <c r="J39" s="226">
        <f t="shared" ca="1" si="21"/>
        <v>143785.76125856838</v>
      </c>
      <c r="K39" s="226">
        <f t="shared" ca="1" si="21"/>
        <v>143075.05590142554</v>
      </c>
      <c r="L39" s="226">
        <f t="shared" ca="1" si="21"/>
        <v>143075.05590142554</v>
      </c>
      <c r="M39" s="226">
        <f t="shared" ca="1" si="21"/>
        <v>143075.05590142554</v>
      </c>
      <c r="N39" s="226">
        <f ca="1">SUM(B39:M39)</f>
        <v>818188.77411229594</v>
      </c>
    </row>
    <row r="40" spans="1:18" x14ac:dyDescent="0.25">
      <c r="A40" t="s">
        <v>356</v>
      </c>
      <c r="B40" s="227">
        <f t="shared" ref="B40:M40" ca="1" si="22">MAX(0,-B39)</f>
        <v>67085.225921710662</v>
      </c>
      <c r="C40" s="227">
        <f t="shared" ca="1" si="22"/>
        <v>39112.575921710668</v>
      </c>
      <c r="D40" s="227">
        <f t="shared" ca="1" si="22"/>
        <v>11139.925921710674</v>
      </c>
      <c r="E40" s="227">
        <f t="shared" ca="1" si="22"/>
        <v>0</v>
      </c>
      <c r="F40" s="227">
        <f t="shared" ca="1" si="22"/>
        <v>0</v>
      </c>
      <c r="G40" s="227">
        <f t="shared" ca="1" si="22"/>
        <v>0</v>
      </c>
      <c r="H40" s="227">
        <f t="shared" ca="1" si="22"/>
        <v>0</v>
      </c>
      <c r="I40" s="227">
        <f t="shared" ca="1" si="22"/>
        <v>0</v>
      </c>
      <c r="J40" s="227">
        <f t="shared" ca="1" si="22"/>
        <v>0</v>
      </c>
      <c r="K40" s="227">
        <f t="shared" ca="1" si="22"/>
        <v>0</v>
      </c>
      <c r="L40" s="227">
        <f t="shared" ca="1" si="22"/>
        <v>0</v>
      </c>
      <c r="M40" s="227">
        <f t="shared" ca="1" si="22"/>
        <v>0</v>
      </c>
      <c r="N40" s="227">
        <f ca="1">SUM(B40:M40)</f>
        <v>117337.727765132</v>
      </c>
    </row>
    <row r="41" spans="1:18" x14ac:dyDescent="0.25">
      <c r="A41" t="s">
        <v>380</v>
      </c>
      <c r="B41" s="226">
        <f t="shared" ref="B41:N41" ca="1" si="23">B39+B40</f>
        <v>0</v>
      </c>
      <c r="C41" s="226">
        <f t="shared" ca="1" si="23"/>
        <v>0</v>
      </c>
      <c r="D41" s="226">
        <f t="shared" ca="1" si="23"/>
        <v>0</v>
      </c>
      <c r="E41" s="226">
        <f t="shared" ca="1" si="23"/>
        <v>16832.724078289364</v>
      </c>
      <c r="F41" s="226">
        <f t="shared" ca="1" si="23"/>
        <v>44805.374078289329</v>
      </c>
      <c r="G41" s="226">
        <f t="shared" ca="1" si="23"/>
        <v>72778.024078289367</v>
      </c>
      <c r="H41" s="226">
        <f t="shared" ca="1" si="23"/>
        <v>100750.67407828933</v>
      </c>
      <c r="I41" s="226">
        <f t="shared" ca="1" si="23"/>
        <v>127348.77660142555</v>
      </c>
      <c r="J41" s="226">
        <f t="shared" ca="1" si="23"/>
        <v>143785.76125856838</v>
      </c>
      <c r="K41" s="226">
        <f t="shared" ca="1" si="23"/>
        <v>143075.05590142554</v>
      </c>
      <c r="L41" s="226">
        <f t="shared" ca="1" si="23"/>
        <v>143075.05590142554</v>
      </c>
      <c r="M41" s="226">
        <f t="shared" ca="1" si="23"/>
        <v>143075.05590142554</v>
      </c>
      <c r="N41" s="226">
        <f t="shared" ca="1" si="23"/>
        <v>935526.50187742792</v>
      </c>
    </row>
    <row r="42" spans="1:18" x14ac:dyDescent="0.25">
      <c r="A42" t="s">
        <v>378</v>
      </c>
      <c r="B42" s="226">
        <f t="shared" ref="B42:N42" ca="1" si="24">-B38</f>
        <v>-122051.89189802867</v>
      </c>
      <c r="C42" s="226">
        <f t="shared" ca="1" si="24"/>
        <v>-122051.89189802867</v>
      </c>
      <c r="D42" s="226">
        <f t="shared" ca="1" si="24"/>
        <v>-122051.89189802867</v>
      </c>
      <c r="E42" s="226">
        <f t="shared" ca="1" si="24"/>
        <v>-122051.89189802867</v>
      </c>
      <c r="F42" s="226">
        <f t="shared" ca="1" si="24"/>
        <v>-122051.89189802867</v>
      </c>
      <c r="G42" s="226">
        <f t="shared" ca="1" si="24"/>
        <v>-122051.89189802867</v>
      </c>
      <c r="H42" s="226">
        <f t="shared" ca="1" si="24"/>
        <v>-122051.89189802867</v>
      </c>
      <c r="I42" s="226">
        <f t="shared" ca="1" si="24"/>
        <v>-122051.89189802867</v>
      </c>
      <c r="J42" s="226">
        <f t="shared" ca="1" si="24"/>
        <v>-122051.89189802867</v>
      </c>
      <c r="K42" s="226">
        <f t="shared" ca="1" si="24"/>
        <v>-122051.89189802867</v>
      </c>
      <c r="L42" s="226">
        <f t="shared" ca="1" si="24"/>
        <v>-122051.89189802867</v>
      </c>
      <c r="M42" s="226">
        <f t="shared" ca="1" si="24"/>
        <v>-122051.89189802867</v>
      </c>
      <c r="N42" s="226">
        <f t="shared" ca="1" si="24"/>
        <v>-1464622.7027763436</v>
      </c>
    </row>
    <row r="43" spans="1:18" x14ac:dyDescent="0.25">
      <c r="A43" t="s">
        <v>381</v>
      </c>
      <c r="B43" s="226">
        <f t="shared" ref="B43:M43" ca="1" si="25">IF((B41+B42)&lt;0,(B41+B42),0)</f>
        <v>-122051.89189802867</v>
      </c>
      <c r="C43" s="226">
        <f t="shared" ca="1" si="25"/>
        <v>-122051.89189802867</v>
      </c>
      <c r="D43" s="226">
        <f t="shared" ca="1" si="25"/>
        <v>-122051.89189802867</v>
      </c>
      <c r="E43" s="226">
        <f t="shared" ca="1" si="25"/>
        <v>-105219.1678197393</v>
      </c>
      <c r="F43" s="226">
        <f t="shared" ca="1" si="25"/>
        <v>-77246.51781973934</v>
      </c>
      <c r="G43" s="226">
        <f t="shared" ca="1" si="25"/>
        <v>-49273.867819739302</v>
      </c>
      <c r="H43" s="226">
        <f t="shared" ca="1" si="25"/>
        <v>-21301.217819739337</v>
      </c>
      <c r="I43" s="226">
        <f t="shared" ca="1" si="25"/>
        <v>0</v>
      </c>
      <c r="J43" s="226">
        <f t="shared" ca="1" si="25"/>
        <v>0</v>
      </c>
      <c r="K43" s="226">
        <f t="shared" ca="1" si="25"/>
        <v>0</v>
      </c>
      <c r="L43" s="226">
        <f t="shared" ca="1" si="25"/>
        <v>0</v>
      </c>
      <c r="M43" s="226">
        <f t="shared" ca="1" si="25"/>
        <v>0</v>
      </c>
      <c r="N43" s="226">
        <f ca="1">SUM(B43:M43)</f>
        <v>-619196.44697304326</v>
      </c>
    </row>
    <row r="44" spans="1:18" x14ac:dyDescent="0.25">
      <c r="A44" t="s">
        <v>357</v>
      </c>
      <c r="B44" s="226">
        <f t="shared" ref="B44:M44" ca="1" si="26">-B43</f>
        <v>122051.89189802867</v>
      </c>
      <c r="C44" s="226">
        <f t="shared" ca="1" si="26"/>
        <v>122051.89189802867</v>
      </c>
      <c r="D44" s="226">
        <f t="shared" ca="1" si="26"/>
        <v>122051.89189802867</v>
      </c>
      <c r="E44" s="226">
        <f t="shared" ca="1" si="26"/>
        <v>105219.1678197393</v>
      </c>
      <c r="F44" s="226">
        <f t="shared" ca="1" si="26"/>
        <v>77246.51781973934</v>
      </c>
      <c r="G44" s="226">
        <f t="shared" ca="1" si="26"/>
        <v>49273.867819739302</v>
      </c>
      <c r="H44" s="226">
        <f t="shared" ca="1" si="26"/>
        <v>21301.217819739337</v>
      </c>
      <c r="I44" s="226">
        <f t="shared" ca="1" si="26"/>
        <v>0</v>
      </c>
      <c r="J44" s="226">
        <f t="shared" ca="1" si="26"/>
        <v>0</v>
      </c>
      <c r="K44" s="226">
        <f t="shared" ca="1" si="26"/>
        <v>0</v>
      </c>
      <c r="L44" s="226">
        <f t="shared" ca="1" si="26"/>
        <v>0</v>
      </c>
      <c r="M44" s="226">
        <f t="shared" ca="1" si="26"/>
        <v>0</v>
      </c>
      <c r="N44" s="226">
        <f ca="1">SUM(B44:M44)</f>
        <v>619196.44697304326</v>
      </c>
    </row>
    <row r="46" spans="1:18" x14ac:dyDescent="0.25">
      <c r="A46" t="s">
        <v>358</v>
      </c>
      <c r="B46" s="226">
        <f ca="1">MAX(N40,0.5*'17-year Pro Forma'!E24)</f>
        <v>665994.03275999997</v>
      </c>
    </row>
    <row r="47" spans="1:18" x14ac:dyDescent="0.25">
      <c r="A47" t="s">
        <v>359</v>
      </c>
      <c r="B47" s="226">
        <f ca="1">MAX(N42,0.5*'Lease-Up Period'!P30)</f>
        <v>732311.35138817178</v>
      </c>
    </row>
    <row r="48" spans="1:18" x14ac:dyDescent="0.25">
      <c r="A48" s="47" t="s">
        <v>376</v>
      </c>
      <c r="B48" s="229">
        <f ca="1">B46+B47</f>
        <v>1398305.3841481716</v>
      </c>
    </row>
  </sheetData>
  <phoneticPr fontId="17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7BE36-6F2C-4E5D-B2BA-218AF0D0EC4D}">
  <dimension ref="A1:H41"/>
  <sheetViews>
    <sheetView zoomScale="80" zoomScaleNormal="80" workbookViewId="0">
      <selection activeCell="V43" sqref="V43"/>
    </sheetView>
  </sheetViews>
  <sheetFormatPr defaultRowHeight="15" x14ac:dyDescent="0.25"/>
  <cols>
    <col min="1" max="1" width="1.42578125" customWidth="1"/>
    <col min="2" max="5" width="15.7109375" customWidth="1"/>
    <col min="6" max="6" width="15.5703125" customWidth="1"/>
  </cols>
  <sheetData>
    <row r="1" spans="1:6" ht="22.5" customHeight="1" x14ac:dyDescent="0.25">
      <c r="A1" s="38" t="s">
        <v>65</v>
      </c>
    </row>
    <row r="2" spans="1:6" ht="12" customHeight="1" x14ac:dyDescent="0.25">
      <c r="A2" s="31"/>
      <c r="C2" s="31"/>
    </row>
    <row r="4" spans="1:6" x14ac:dyDescent="0.25">
      <c r="A4" s="95" t="s">
        <v>68</v>
      </c>
      <c r="B4" s="47"/>
      <c r="C4" s="47"/>
      <c r="F4" s="351">
        <v>0.8</v>
      </c>
    </row>
    <row r="5" spans="1:6" x14ac:dyDescent="0.25">
      <c r="A5" s="101"/>
    </row>
    <row r="6" spans="1:6" x14ac:dyDescent="0.25">
      <c r="A6" s="95" t="s">
        <v>66</v>
      </c>
      <c r="F6" s="125">
        <f ca="1">+'Sources &amp; Uses'!I26</f>
        <v>50848028.302783668</v>
      </c>
    </row>
    <row r="7" spans="1:6" x14ac:dyDescent="0.25">
      <c r="A7" s="101" t="s">
        <v>798</v>
      </c>
      <c r="F7" s="72">
        <f>-'Sources &amp; Uses'!I30</f>
        <v>-4000000</v>
      </c>
    </row>
    <row r="8" spans="1:6" x14ac:dyDescent="0.25">
      <c r="A8" s="101" t="s">
        <v>799</v>
      </c>
      <c r="F8" s="336">
        <v>2000000</v>
      </c>
    </row>
    <row r="9" spans="1:6" x14ac:dyDescent="0.25">
      <c r="A9" s="101" t="s">
        <v>262</v>
      </c>
      <c r="F9" s="72">
        <f>-'Sources &amp; Uses'!I37</f>
        <v>-425000</v>
      </c>
    </row>
    <row r="10" spans="1:6" x14ac:dyDescent="0.25">
      <c r="A10" s="101" t="s">
        <v>177</v>
      </c>
      <c r="F10" s="72">
        <v>0</v>
      </c>
    </row>
    <row r="11" spans="1:6" x14ac:dyDescent="0.25">
      <c r="A11" s="101" t="s">
        <v>263</v>
      </c>
      <c r="F11" s="72">
        <f>-'Sources &amp; Uses'!I17</f>
        <v>0</v>
      </c>
    </row>
    <row r="12" spans="1:6" x14ac:dyDescent="0.25">
      <c r="A12" s="101" t="s">
        <v>264</v>
      </c>
      <c r="F12" s="72">
        <f ca="1">-'Sources &amp; Uses'!I72</f>
        <v>-1398305.3841483246</v>
      </c>
    </row>
    <row r="13" spans="1:6" x14ac:dyDescent="0.25">
      <c r="A13" s="101" t="s">
        <v>276</v>
      </c>
      <c r="F13" s="127">
        <f ca="1">-'Sources &amp; Uses'!I76</f>
        <v>-980810.23000448232</v>
      </c>
    </row>
    <row r="14" spans="1:6" ht="4.5" customHeight="1" x14ac:dyDescent="0.25">
      <c r="A14" s="101"/>
    </row>
    <row r="15" spans="1:6" x14ac:dyDescent="0.25">
      <c r="A15" s="95" t="s">
        <v>277</v>
      </c>
      <c r="F15" s="125">
        <f ca="1">+SUM(F6:F14)</f>
        <v>46043912.688630864</v>
      </c>
    </row>
    <row r="16" spans="1:6" x14ac:dyDescent="0.25">
      <c r="A16" s="101"/>
      <c r="B16" t="s">
        <v>174</v>
      </c>
      <c r="F16" s="352">
        <v>1</v>
      </c>
    </row>
    <row r="17" spans="1:8" x14ac:dyDescent="0.25">
      <c r="A17" s="101" t="s">
        <v>70</v>
      </c>
      <c r="F17" s="353">
        <v>0</v>
      </c>
    </row>
    <row r="18" spans="1:8" ht="4.5" customHeight="1" x14ac:dyDescent="0.25">
      <c r="A18" s="101"/>
      <c r="F18" s="230"/>
    </row>
    <row r="19" spans="1:8" x14ac:dyDescent="0.25">
      <c r="A19" s="104" t="s">
        <v>278</v>
      </c>
      <c r="B19" s="47"/>
      <c r="C19" s="47"/>
      <c r="F19" s="128">
        <f ca="1">+(F15*F16)*(1+F17)</f>
        <v>46043912.688630864</v>
      </c>
    </row>
    <row r="20" spans="1:8" x14ac:dyDescent="0.25">
      <c r="A20" s="101" t="s">
        <v>175</v>
      </c>
      <c r="F20" s="354">
        <v>0.04</v>
      </c>
    </row>
    <row r="21" spans="1:8" ht="4.5" customHeight="1" x14ac:dyDescent="0.25">
      <c r="A21" s="101"/>
    </row>
    <row r="22" spans="1:8" x14ac:dyDescent="0.25">
      <c r="A22" s="104" t="s">
        <v>67</v>
      </c>
      <c r="B22" s="47"/>
      <c r="C22" s="47"/>
      <c r="F22" s="231">
        <f ca="1">+F19*F20</f>
        <v>1841756.5075452346</v>
      </c>
    </row>
    <row r="24" spans="1:8" x14ac:dyDescent="0.25">
      <c r="A24" s="47" t="s">
        <v>60</v>
      </c>
    </row>
    <row r="26" spans="1:8" x14ac:dyDescent="0.25">
      <c r="A26" s="393" t="s">
        <v>61</v>
      </c>
      <c r="B26" s="393"/>
      <c r="C26" s="112" t="s">
        <v>62</v>
      </c>
      <c r="D26" s="112" t="s">
        <v>64</v>
      </c>
      <c r="E26" s="112" t="s">
        <v>63</v>
      </c>
      <c r="F26" s="112" t="s">
        <v>69</v>
      </c>
    </row>
    <row r="27" spans="1:8" ht="4.5" customHeight="1" x14ac:dyDescent="0.25">
      <c r="A27" s="71"/>
      <c r="B27" s="71"/>
    </row>
    <row r="28" spans="1:8" x14ac:dyDescent="0.25">
      <c r="A28" s="392" t="s">
        <v>74</v>
      </c>
      <c r="B28" s="392"/>
      <c r="C28" s="103">
        <f ca="1">+F22</f>
        <v>1841756.5075452346</v>
      </c>
      <c r="D28" s="125">
        <f t="shared" ref="D28:D37" ca="1" si="0">+C28*0.01</f>
        <v>18417.565075452349</v>
      </c>
      <c r="E28" s="125">
        <f t="shared" ref="E28:E37" ca="1" si="1">+C28-D28</f>
        <v>1823338.9424697822</v>
      </c>
      <c r="F28" s="125">
        <f t="shared" ref="F28:F37" ca="1" si="2">+E28*$F$4</f>
        <v>1458671.1539758258</v>
      </c>
      <c r="G28" s="125"/>
      <c r="H28" s="125"/>
    </row>
    <row r="29" spans="1:8" x14ac:dyDescent="0.25">
      <c r="A29" s="392" t="s">
        <v>75</v>
      </c>
      <c r="B29" s="392"/>
      <c r="C29" s="72">
        <f ca="1">+C28</f>
        <v>1841756.5075452346</v>
      </c>
      <c r="D29" s="72">
        <f t="shared" ca="1" si="0"/>
        <v>18417.565075452349</v>
      </c>
      <c r="E29" s="72">
        <f t="shared" ca="1" si="1"/>
        <v>1823338.9424697822</v>
      </c>
      <c r="F29" s="72">
        <f t="shared" ca="1" si="2"/>
        <v>1458671.1539758258</v>
      </c>
      <c r="G29" s="125"/>
      <c r="H29" s="125"/>
    </row>
    <row r="30" spans="1:8" x14ac:dyDescent="0.25">
      <c r="A30" s="392" t="s">
        <v>76</v>
      </c>
      <c r="B30" s="392"/>
      <c r="C30" s="72">
        <f t="shared" ref="C30:C37" ca="1" si="3">+$F$22</f>
        <v>1841756.5075452346</v>
      </c>
      <c r="D30" s="72">
        <f t="shared" ca="1" si="0"/>
        <v>18417.565075452349</v>
      </c>
      <c r="E30" s="72">
        <f t="shared" ca="1" si="1"/>
        <v>1823338.9424697822</v>
      </c>
      <c r="F30" s="72">
        <f t="shared" ca="1" si="2"/>
        <v>1458671.1539758258</v>
      </c>
      <c r="G30" s="125"/>
      <c r="H30" s="125"/>
    </row>
    <row r="31" spans="1:8" x14ac:dyDescent="0.25">
      <c r="A31" s="392" t="s">
        <v>77</v>
      </c>
      <c r="B31" s="392"/>
      <c r="C31" s="72">
        <f t="shared" ca="1" si="3"/>
        <v>1841756.5075452346</v>
      </c>
      <c r="D31" s="72">
        <f t="shared" ca="1" si="0"/>
        <v>18417.565075452349</v>
      </c>
      <c r="E31" s="72">
        <f t="shared" ca="1" si="1"/>
        <v>1823338.9424697822</v>
      </c>
      <c r="F31" s="72">
        <f t="shared" ca="1" si="2"/>
        <v>1458671.1539758258</v>
      </c>
      <c r="G31" s="125"/>
      <c r="H31" s="125"/>
    </row>
    <row r="32" spans="1:8" x14ac:dyDescent="0.25">
      <c r="A32" s="392" t="s">
        <v>78</v>
      </c>
      <c r="B32" s="392"/>
      <c r="C32" s="72">
        <f t="shared" ca="1" si="3"/>
        <v>1841756.5075452346</v>
      </c>
      <c r="D32" s="72">
        <f t="shared" ca="1" si="0"/>
        <v>18417.565075452349</v>
      </c>
      <c r="E32" s="72">
        <f t="shared" ca="1" si="1"/>
        <v>1823338.9424697822</v>
      </c>
      <c r="F32" s="72">
        <f t="shared" ca="1" si="2"/>
        <v>1458671.1539758258</v>
      </c>
      <c r="G32" s="125"/>
      <c r="H32" s="125"/>
    </row>
    <row r="33" spans="1:8" x14ac:dyDescent="0.25">
      <c r="A33" s="392" t="s">
        <v>79</v>
      </c>
      <c r="B33" s="392"/>
      <c r="C33" s="72">
        <f t="shared" ca="1" si="3"/>
        <v>1841756.5075452346</v>
      </c>
      <c r="D33" s="72">
        <f t="shared" ca="1" si="0"/>
        <v>18417.565075452349</v>
      </c>
      <c r="E33" s="72">
        <f t="shared" ca="1" si="1"/>
        <v>1823338.9424697822</v>
      </c>
      <c r="F33" s="72">
        <f t="shared" ca="1" si="2"/>
        <v>1458671.1539758258</v>
      </c>
      <c r="G33" s="125"/>
      <c r="H33" s="125"/>
    </row>
    <row r="34" spans="1:8" x14ac:dyDescent="0.25">
      <c r="A34" s="392" t="s">
        <v>80</v>
      </c>
      <c r="B34" s="392"/>
      <c r="C34" s="72">
        <f t="shared" ca="1" si="3"/>
        <v>1841756.5075452346</v>
      </c>
      <c r="D34" s="72">
        <f t="shared" ca="1" si="0"/>
        <v>18417.565075452349</v>
      </c>
      <c r="E34" s="72">
        <f t="shared" ca="1" si="1"/>
        <v>1823338.9424697822</v>
      </c>
      <c r="F34" s="72">
        <f t="shared" ca="1" si="2"/>
        <v>1458671.1539758258</v>
      </c>
      <c r="G34" s="125"/>
      <c r="H34" s="125"/>
    </row>
    <row r="35" spans="1:8" x14ac:dyDescent="0.25">
      <c r="A35" s="392" t="s">
        <v>81</v>
      </c>
      <c r="B35" s="392"/>
      <c r="C35" s="72">
        <f t="shared" ca="1" si="3"/>
        <v>1841756.5075452346</v>
      </c>
      <c r="D35" s="72">
        <f t="shared" ca="1" si="0"/>
        <v>18417.565075452349</v>
      </c>
      <c r="E35" s="72">
        <f t="shared" ca="1" si="1"/>
        <v>1823338.9424697822</v>
      </c>
      <c r="F35" s="72">
        <f t="shared" ca="1" si="2"/>
        <v>1458671.1539758258</v>
      </c>
      <c r="G35" s="125"/>
      <c r="H35" s="125"/>
    </row>
    <row r="36" spans="1:8" x14ac:dyDescent="0.25">
      <c r="A36" s="392" t="s">
        <v>82</v>
      </c>
      <c r="B36" s="392"/>
      <c r="C36" s="72">
        <f t="shared" ca="1" si="3"/>
        <v>1841756.5075452346</v>
      </c>
      <c r="D36" s="72">
        <f t="shared" ca="1" si="0"/>
        <v>18417.565075452349</v>
      </c>
      <c r="E36" s="72">
        <f t="shared" ca="1" si="1"/>
        <v>1823338.9424697822</v>
      </c>
      <c r="F36" s="72">
        <f t="shared" ca="1" si="2"/>
        <v>1458671.1539758258</v>
      </c>
      <c r="G36" s="125"/>
      <c r="H36" s="125"/>
    </row>
    <row r="37" spans="1:8" x14ac:dyDescent="0.25">
      <c r="A37" s="393" t="s">
        <v>83</v>
      </c>
      <c r="B37" s="393"/>
      <c r="C37" s="127">
        <f t="shared" ca="1" si="3"/>
        <v>1841756.5075452346</v>
      </c>
      <c r="D37" s="127">
        <f t="shared" ca="1" si="0"/>
        <v>18417.565075452349</v>
      </c>
      <c r="E37" s="127">
        <f t="shared" ca="1" si="1"/>
        <v>1823338.9424697822</v>
      </c>
      <c r="F37" s="127">
        <f t="shared" ca="1" si="2"/>
        <v>1458671.1539758258</v>
      </c>
      <c r="G37" s="125"/>
      <c r="H37" s="125"/>
    </row>
    <row r="38" spans="1:8" ht="4.5" customHeight="1" x14ac:dyDescent="0.25">
      <c r="A38" s="392"/>
      <c r="B38" s="392"/>
    </row>
    <row r="39" spans="1:8" x14ac:dyDescent="0.25">
      <c r="A39" s="392" t="s">
        <v>29</v>
      </c>
      <c r="B39" s="392"/>
      <c r="C39" s="125">
        <f ca="1">+SUM(C28:C37)</f>
        <v>18417565.075452346</v>
      </c>
      <c r="D39" s="125">
        <f ca="1">+SUM(D28:D37)</f>
        <v>184175.65075452349</v>
      </c>
      <c r="E39" s="125">
        <f ca="1">+SUM(E28:E37)</f>
        <v>18233389.424697828</v>
      </c>
      <c r="F39" s="125">
        <f ca="1">+SUM(F28:F37)</f>
        <v>14586711.539758258</v>
      </c>
    </row>
    <row r="41" spans="1:8" x14ac:dyDescent="0.25">
      <c r="A41" s="47" t="s">
        <v>279</v>
      </c>
      <c r="F41" s="128">
        <f ca="1">+F39</f>
        <v>14586711.539758258</v>
      </c>
    </row>
  </sheetData>
  <mergeCells count="13">
    <mergeCell ref="A33:B33"/>
    <mergeCell ref="A26:B26"/>
    <mergeCell ref="A38:B38"/>
    <mergeCell ref="A39:B39"/>
    <mergeCell ref="A34:B34"/>
    <mergeCell ref="A35:B35"/>
    <mergeCell ref="A36:B36"/>
    <mergeCell ref="A37:B37"/>
    <mergeCell ref="A28:B28"/>
    <mergeCell ref="A29:B29"/>
    <mergeCell ref="A30:B30"/>
    <mergeCell ref="A31:B31"/>
    <mergeCell ref="A32:B32"/>
  </mergeCells>
  <phoneticPr fontId="17" type="noConversion"/>
  <pageMargins left="0.5" right="0.5" top="0.5" bottom="0.5" header="0.3" footer="0.3"/>
  <pageSetup scale="87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C54F6-30E5-4A4F-8E27-3FE3EA4E5D21}">
  <dimension ref="A1:L54"/>
  <sheetViews>
    <sheetView topLeftCell="A4" zoomScale="80" zoomScaleNormal="80" workbookViewId="0">
      <selection activeCell="H35" sqref="H35"/>
    </sheetView>
  </sheetViews>
  <sheetFormatPr defaultColWidth="8.7109375" defaultRowHeight="12.75" x14ac:dyDescent="0.2"/>
  <cols>
    <col min="1" max="1" width="11" style="232" customWidth="1"/>
    <col min="2" max="10" width="15.42578125" style="232" customWidth="1"/>
    <col min="11" max="13" width="16.42578125" style="232" customWidth="1"/>
    <col min="14" max="237" width="8.7109375" style="232"/>
    <col min="238" max="239" width="21.7109375" style="232" customWidth="1"/>
    <col min="240" max="240" width="8.7109375" style="232"/>
    <col min="241" max="241" width="18.140625" style="232" customWidth="1"/>
    <col min="242" max="242" width="20.7109375" style="232" bestFit="1" customWidth="1"/>
    <col min="243" max="243" width="17" style="232" bestFit="1" customWidth="1"/>
    <col min="244" max="244" width="17.140625" style="232" bestFit="1" customWidth="1"/>
    <col min="245" max="245" width="16.140625" style="232" bestFit="1" customWidth="1"/>
    <col min="246" max="246" width="15" style="232" bestFit="1" customWidth="1"/>
    <col min="247" max="247" width="20.140625" style="232" bestFit="1" customWidth="1"/>
    <col min="248" max="248" width="13.28515625" style="232" bestFit="1" customWidth="1"/>
    <col min="249" max="249" width="16.140625" style="232" bestFit="1" customWidth="1"/>
    <col min="250" max="493" width="8.7109375" style="232"/>
    <col min="494" max="495" width="21.7109375" style="232" customWidth="1"/>
    <col min="496" max="496" width="8.7109375" style="232"/>
    <col min="497" max="497" width="18.140625" style="232" customWidth="1"/>
    <col min="498" max="498" width="20.7109375" style="232" bestFit="1" customWidth="1"/>
    <col min="499" max="499" width="17" style="232" bestFit="1" customWidth="1"/>
    <col min="500" max="500" width="17.140625" style="232" bestFit="1" customWidth="1"/>
    <col min="501" max="501" width="16.140625" style="232" bestFit="1" customWidth="1"/>
    <col min="502" max="502" width="15" style="232" bestFit="1" customWidth="1"/>
    <col min="503" max="503" width="20.140625" style="232" bestFit="1" customWidth="1"/>
    <col min="504" max="504" width="13.28515625" style="232" bestFit="1" customWidth="1"/>
    <col min="505" max="505" width="16.140625" style="232" bestFit="1" customWidth="1"/>
    <col min="506" max="749" width="8.7109375" style="232"/>
    <col min="750" max="751" width="21.7109375" style="232" customWidth="1"/>
    <col min="752" max="752" width="8.7109375" style="232"/>
    <col min="753" max="753" width="18.140625" style="232" customWidth="1"/>
    <col min="754" max="754" width="20.7109375" style="232" bestFit="1" customWidth="1"/>
    <col min="755" max="755" width="17" style="232" bestFit="1" customWidth="1"/>
    <col min="756" max="756" width="17.140625" style="232" bestFit="1" customWidth="1"/>
    <col min="757" max="757" width="16.140625" style="232" bestFit="1" customWidth="1"/>
    <col min="758" max="758" width="15" style="232" bestFit="1" customWidth="1"/>
    <col min="759" max="759" width="20.140625" style="232" bestFit="1" customWidth="1"/>
    <col min="760" max="760" width="13.28515625" style="232" bestFit="1" customWidth="1"/>
    <col min="761" max="761" width="16.140625" style="232" bestFit="1" customWidth="1"/>
    <col min="762" max="1005" width="8.7109375" style="232"/>
    <col min="1006" max="1007" width="21.7109375" style="232" customWidth="1"/>
    <col min="1008" max="1008" width="8.7109375" style="232"/>
    <col min="1009" max="1009" width="18.140625" style="232" customWidth="1"/>
    <col min="1010" max="1010" width="20.7109375" style="232" bestFit="1" customWidth="1"/>
    <col min="1011" max="1011" width="17" style="232" bestFit="1" customWidth="1"/>
    <col min="1012" max="1012" width="17.140625" style="232" bestFit="1" customWidth="1"/>
    <col min="1013" max="1013" width="16.140625" style="232" bestFit="1" customWidth="1"/>
    <col min="1014" max="1014" width="15" style="232" bestFit="1" customWidth="1"/>
    <col min="1015" max="1015" width="20.140625" style="232" bestFit="1" customWidth="1"/>
    <col min="1016" max="1016" width="13.28515625" style="232" bestFit="1" customWidth="1"/>
    <col min="1017" max="1017" width="16.140625" style="232" bestFit="1" customWidth="1"/>
    <col min="1018" max="1261" width="8.7109375" style="232"/>
    <col min="1262" max="1263" width="21.7109375" style="232" customWidth="1"/>
    <col min="1264" max="1264" width="8.7109375" style="232"/>
    <col min="1265" max="1265" width="18.140625" style="232" customWidth="1"/>
    <col min="1266" max="1266" width="20.7109375" style="232" bestFit="1" customWidth="1"/>
    <col min="1267" max="1267" width="17" style="232" bestFit="1" customWidth="1"/>
    <col min="1268" max="1268" width="17.140625" style="232" bestFit="1" customWidth="1"/>
    <col min="1269" max="1269" width="16.140625" style="232" bestFit="1" customWidth="1"/>
    <col min="1270" max="1270" width="15" style="232" bestFit="1" customWidth="1"/>
    <col min="1271" max="1271" width="20.140625" style="232" bestFit="1" customWidth="1"/>
    <col min="1272" max="1272" width="13.28515625" style="232" bestFit="1" customWidth="1"/>
    <col min="1273" max="1273" width="16.140625" style="232" bestFit="1" customWidth="1"/>
    <col min="1274" max="1517" width="8.7109375" style="232"/>
    <col min="1518" max="1519" width="21.7109375" style="232" customWidth="1"/>
    <col min="1520" max="1520" width="8.7109375" style="232"/>
    <col min="1521" max="1521" width="18.140625" style="232" customWidth="1"/>
    <col min="1522" max="1522" width="20.7109375" style="232" bestFit="1" customWidth="1"/>
    <col min="1523" max="1523" width="17" style="232" bestFit="1" customWidth="1"/>
    <col min="1524" max="1524" width="17.140625" style="232" bestFit="1" customWidth="1"/>
    <col min="1525" max="1525" width="16.140625" style="232" bestFit="1" customWidth="1"/>
    <col min="1526" max="1526" width="15" style="232" bestFit="1" customWidth="1"/>
    <col min="1527" max="1527" width="20.140625" style="232" bestFit="1" customWidth="1"/>
    <col min="1528" max="1528" width="13.28515625" style="232" bestFit="1" customWidth="1"/>
    <col min="1529" max="1529" width="16.140625" style="232" bestFit="1" customWidth="1"/>
    <col min="1530" max="1773" width="8.7109375" style="232"/>
    <col min="1774" max="1775" width="21.7109375" style="232" customWidth="1"/>
    <col min="1776" max="1776" width="8.7109375" style="232"/>
    <col min="1777" max="1777" width="18.140625" style="232" customWidth="1"/>
    <col min="1778" max="1778" width="20.7109375" style="232" bestFit="1" customWidth="1"/>
    <col min="1779" max="1779" width="17" style="232" bestFit="1" customWidth="1"/>
    <col min="1780" max="1780" width="17.140625" style="232" bestFit="1" customWidth="1"/>
    <col min="1781" max="1781" width="16.140625" style="232" bestFit="1" customWidth="1"/>
    <col min="1782" max="1782" width="15" style="232" bestFit="1" customWidth="1"/>
    <col min="1783" max="1783" width="20.140625" style="232" bestFit="1" customWidth="1"/>
    <col min="1784" max="1784" width="13.28515625" style="232" bestFit="1" customWidth="1"/>
    <col min="1785" max="1785" width="16.140625" style="232" bestFit="1" customWidth="1"/>
    <col min="1786" max="2029" width="8.7109375" style="232"/>
    <col min="2030" max="2031" width="21.7109375" style="232" customWidth="1"/>
    <col min="2032" max="2032" width="8.7109375" style="232"/>
    <col min="2033" max="2033" width="18.140625" style="232" customWidth="1"/>
    <col min="2034" max="2034" width="20.7109375" style="232" bestFit="1" customWidth="1"/>
    <col min="2035" max="2035" width="17" style="232" bestFit="1" customWidth="1"/>
    <col min="2036" max="2036" width="17.140625" style="232" bestFit="1" customWidth="1"/>
    <col min="2037" max="2037" width="16.140625" style="232" bestFit="1" customWidth="1"/>
    <col min="2038" max="2038" width="15" style="232" bestFit="1" customWidth="1"/>
    <col min="2039" max="2039" width="20.140625" style="232" bestFit="1" customWidth="1"/>
    <col min="2040" max="2040" width="13.28515625" style="232" bestFit="1" customWidth="1"/>
    <col min="2041" max="2041" width="16.140625" style="232" bestFit="1" customWidth="1"/>
    <col min="2042" max="2285" width="8.7109375" style="232"/>
    <col min="2286" max="2287" width="21.7109375" style="232" customWidth="1"/>
    <col min="2288" max="2288" width="8.7109375" style="232"/>
    <col min="2289" max="2289" width="18.140625" style="232" customWidth="1"/>
    <col min="2290" max="2290" width="20.7109375" style="232" bestFit="1" customWidth="1"/>
    <col min="2291" max="2291" width="17" style="232" bestFit="1" customWidth="1"/>
    <col min="2292" max="2292" width="17.140625" style="232" bestFit="1" customWidth="1"/>
    <col min="2293" max="2293" width="16.140625" style="232" bestFit="1" customWidth="1"/>
    <col min="2294" max="2294" width="15" style="232" bestFit="1" customWidth="1"/>
    <col min="2295" max="2295" width="20.140625" style="232" bestFit="1" customWidth="1"/>
    <col min="2296" max="2296" width="13.28515625" style="232" bestFit="1" customWidth="1"/>
    <col min="2297" max="2297" width="16.140625" style="232" bestFit="1" customWidth="1"/>
    <col min="2298" max="2541" width="8.7109375" style="232"/>
    <col min="2542" max="2543" width="21.7109375" style="232" customWidth="1"/>
    <col min="2544" max="2544" width="8.7109375" style="232"/>
    <col min="2545" max="2545" width="18.140625" style="232" customWidth="1"/>
    <col min="2546" max="2546" width="20.7109375" style="232" bestFit="1" customWidth="1"/>
    <col min="2547" max="2547" width="17" style="232" bestFit="1" customWidth="1"/>
    <col min="2548" max="2548" width="17.140625" style="232" bestFit="1" customWidth="1"/>
    <col min="2549" max="2549" width="16.140625" style="232" bestFit="1" customWidth="1"/>
    <col min="2550" max="2550" width="15" style="232" bestFit="1" customWidth="1"/>
    <col min="2551" max="2551" width="20.140625" style="232" bestFit="1" customWidth="1"/>
    <col min="2552" max="2552" width="13.28515625" style="232" bestFit="1" customWidth="1"/>
    <col min="2553" max="2553" width="16.140625" style="232" bestFit="1" customWidth="1"/>
    <col min="2554" max="2797" width="8.7109375" style="232"/>
    <col min="2798" max="2799" width="21.7109375" style="232" customWidth="1"/>
    <col min="2800" max="2800" width="8.7109375" style="232"/>
    <col min="2801" max="2801" width="18.140625" style="232" customWidth="1"/>
    <col min="2802" max="2802" width="20.7109375" style="232" bestFit="1" customWidth="1"/>
    <col min="2803" max="2803" width="17" style="232" bestFit="1" customWidth="1"/>
    <col min="2804" max="2804" width="17.140625" style="232" bestFit="1" customWidth="1"/>
    <col min="2805" max="2805" width="16.140625" style="232" bestFit="1" customWidth="1"/>
    <col min="2806" max="2806" width="15" style="232" bestFit="1" customWidth="1"/>
    <col min="2807" max="2807" width="20.140625" style="232" bestFit="1" customWidth="1"/>
    <col min="2808" max="2808" width="13.28515625" style="232" bestFit="1" customWidth="1"/>
    <col min="2809" max="2809" width="16.140625" style="232" bestFit="1" customWidth="1"/>
    <col min="2810" max="3053" width="8.7109375" style="232"/>
    <col min="3054" max="3055" width="21.7109375" style="232" customWidth="1"/>
    <col min="3056" max="3056" width="8.7109375" style="232"/>
    <col min="3057" max="3057" width="18.140625" style="232" customWidth="1"/>
    <col min="3058" max="3058" width="20.7109375" style="232" bestFit="1" customWidth="1"/>
    <col min="3059" max="3059" width="17" style="232" bestFit="1" customWidth="1"/>
    <col min="3060" max="3060" width="17.140625" style="232" bestFit="1" customWidth="1"/>
    <col min="3061" max="3061" width="16.140625" style="232" bestFit="1" customWidth="1"/>
    <col min="3062" max="3062" width="15" style="232" bestFit="1" customWidth="1"/>
    <col min="3063" max="3063" width="20.140625" style="232" bestFit="1" customWidth="1"/>
    <col min="3064" max="3064" width="13.28515625" style="232" bestFit="1" customWidth="1"/>
    <col min="3065" max="3065" width="16.140625" style="232" bestFit="1" customWidth="1"/>
    <col min="3066" max="3309" width="8.7109375" style="232"/>
    <col min="3310" max="3311" width="21.7109375" style="232" customWidth="1"/>
    <col min="3312" max="3312" width="8.7109375" style="232"/>
    <col min="3313" max="3313" width="18.140625" style="232" customWidth="1"/>
    <col min="3314" max="3314" width="20.7109375" style="232" bestFit="1" customWidth="1"/>
    <col min="3315" max="3315" width="17" style="232" bestFit="1" customWidth="1"/>
    <col min="3316" max="3316" width="17.140625" style="232" bestFit="1" customWidth="1"/>
    <col min="3317" max="3317" width="16.140625" style="232" bestFit="1" customWidth="1"/>
    <col min="3318" max="3318" width="15" style="232" bestFit="1" customWidth="1"/>
    <col min="3319" max="3319" width="20.140625" style="232" bestFit="1" customWidth="1"/>
    <col min="3320" max="3320" width="13.28515625" style="232" bestFit="1" customWidth="1"/>
    <col min="3321" max="3321" width="16.140625" style="232" bestFit="1" customWidth="1"/>
    <col min="3322" max="3565" width="8.7109375" style="232"/>
    <col min="3566" max="3567" width="21.7109375" style="232" customWidth="1"/>
    <col min="3568" max="3568" width="8.7109375" style="232"/>
    <col min="3569" max="3569" width="18.140625" style="232" customWidth="1"/>
    <col min="3570" max="3570" width="20.7109375" style="232" bestFit="1" customWidth="1"/>
    <col min="3571" max="3571" width="17" style="232" bestFit="1" customWidth="1"/>
    <col min="3572" max="3572" width="17.140625" style="232" bestFit="1" customWidth="1"/>
    <col min="3573" max="3573" width="16.140625" style="232" bestFit="1" customWidth="1"/>
    <col min="3574" max="3574" width="15" style="232" bestFit="1" customWidth="1"/>
    <col min="3575" max="3575" width="20.140625" style="232" bestFit="1" customWidth="1"/>
    <col min="3576" max="3576" width="13.28515625" style="232" bestFit="1" customWidth="1"/>
    <col min="3577" max="3577" width="16.140625" style="232" bestFit="1" customWidth="1"/>
    <col min="3578" max="3821" width="8.7109375" style="232"/>
    <col min="3822" max="3823" width="21.7109375" style="232" customWidth="1"/>
    <col min="3824" max="3824" width="8.7109375" style="232"/>
    <col min="3825" max="3825" width="18.140625" style="232" customWidth="1"/>
    <col min="3826" max="3826" width="20.7109375" style="232" bestFit="1" customWidth="1"/>
    <col min="3827" max="3827" width="17" style="232" bestFit="1" customWidth="1"/>
    <col min="3828" max="3828" width="17.140625" style="232" bestFit="1" customWidth="1"/>
    <col min="3829" max="3829" width="16.140625" style="232" bestFit="1" customWidth="1"/>
    <col min="3830" max="3830" width="15" style="232" bestFit="1" customWidth="1"/>
    <col min="3831" max="3831" width="20.140625" style="232" bestFit="1" customWidth="1"/>
    <col min="3832" max="3832" width="13.28515625" style="232" bestFit="1" customWidth="1"/>
    <col min="3833" max="3833" width="16.140625" style="232" bestFit="1" customWidth="1"/>
    <col min="3834" max="4077" width="8.7109375" style="232"/>
    <col min="4078" max="4079" width="21.7109375" style="232" customWidth="1"/>
    <col min="4080" max="4080" width="8.7109375" style="232"/>
    <col min="4081" max="4081" width="18.140625" style="232" customWidth="1"/>
    <col min="4082" max="4082" width="20.7109375" style="232" bestFit="1" customWidth="1"/>
    <col min="4083" max="4083" width="17" style="232" bestFit="1" customWidth="1"/>
    <col min="4084" max="4084" width="17.140625" style="232" bestFit="1" customWidth="1"/>
    <col min="4085" max="4085" width="16.140625" style="232" bestFit="1" customWidth="1"/>
    <col min="4086" max="4086" width="15" style="232" bestFit="1" customWidth="1"/>
    <col min="4087" max="4087" width="20.140625" style="232" bestFit="1" customWidth="1"/>
    <col min="4088" max="4088" width="13.28515625" style="232" bestFit="1" customWidth="1"/>
    <col min="4089" max="4089" width="16.140625" style="232" bestFit="1" customWidth="1"/>
    <col min="4090" max="4333" width="8.7109375" style="232"/>
    <col min="4334" max="4335" width="21.7109375" style="232" customWidth="1"/>
    <col min="4336" max="4336" width="8.7109375" style="232"/>
    <col min="4337" max="4337" width="18.140625" style="232" customWidth="1"/>
    <col min="4338" max="4338" width="20.7109375" style="232" bestFit="1" customWidth="1"/>
    <col min="4339" max="4339" width="17" style="232" bestFit="1" customWidth="1"/>
    <col min="4340" max="4340" width="17.140625" style="232" bestFit="1" customWidth="1"/>
    <col min="4341" max="4341" width="16.140625" style="232" bestFit="1" customWidth="1"/>
    <col min="4342" max="4342" width="15" style="232" bestFit="1" customWidth="1"/>
    <col min="4343" max="4343" width="20.140625" style="232" bestFit="1" customWidth="1"/>
    <col min="4344" max="4344" width="13.28515625" style="232" bestFit="1" customWidth="1"/>
    <col min="4345" max="4345" width="16.140625" style="232" bestFit="1" customWidth="1"/>
    <col min="4346" max="4589" width="8.7109375" style="232"/>
    <col min="4590" max="4591" width="21.7109375" style="232" customWidth="1"/>
    <col min="4592" max="4592" width="8.7109375" style="232"/>
    <col min="4593" max="4593" width="18.140625" style="232" customWidth="1"/>
    <col min="4594" max="4594" width="20.7109375" style="232" bestFit="1" customWidth="1"/>
    <col min="4595" max="4595" width="17" style="232" bestFit="1" customWidth="1"/>
    <col min="4596" max="4596" width="17.140625" style="232" bestFit="1" customWidth="1"/>
    <col min="4597" max="4597" width="16.140625" style="232" bestFit="1" customWidth="1"/>
    <col min="4598" max="4598" width="15" style="232" bestFit="1" customWidth="1"/>
    <col min="4599" max="4599" width="20.140625" style="232" bestFit="1" customWidth="1"/>
    <col min="4600" max="4600" width="13.28515625" style="232" bestFit="1" customWidth="1"/>
    <col min="4601" max="4601" width="16.140625" style="232" bestFit="1" customWidth="1"/>
    <col min="4602" max="4845" width="8.7109375" style="232"/>
    <col min="4846" max="4847" width="21.7109375" style="232" customWidth="1"/>
    <col min="4848" max="4848" width="8.7109375" style="232"/>
    <col min="4849" max="4849" width="18.140625" style="232" customWidth="1"/>
    <col min="4850" max="4850" width="20.7109375" style="232" bestFit="1" customWidth="1"/>
    <col min="4851" max="4851" width="17" style="232" bestFit="1" customWidth="1"/>
    <col min="4852" max="4852" width="17.140625" style="232" bestFit="1" customWidth="1"/>
    <col min="4853" max="4853" width="16.140625" style="232" bestFit="1" customWidth="1"/>
    <col min="4854" max="4854" width="15" style="232" bestFit="1" customWidth="1"/>
    <col min="4855" max="4855" width="20.140625" style="232" bestFit="1" customWidth="1"/>
    <col min="4856" max="4856" width="13.28515625" style="232" bestFit="1" customWidth="1"/>
    <col min="4857" max="4857" width="16.140625" style="232" bestFit="1" customWidth="1"/>
    <col min="4858" max="5101" width="8.7109375" style="232"/>
    <col min="5102" max="5103" width="21.7109375" style="232" customWidth="1"/>
    <col min="5104" max="5104" width="8.7109375" style="232"/>
    <col min="5105" max="5105" width="18.140625" style="232" customWidth="1"/>
    <col min="5106" max="5106" width="20.7109375" style="232" bestFit="1" customWidth="1"/>
    <col min="5107" max="5107" width="17" style="232" bestFit="1" customWidth="1"/>
    <col min="5108" max="5108" width="17.140625" style="232" bestFit="1" customWidth="1"/>
    <col min="5109" max="5109" width="16.140625" style="232" bestFit="1" customWidth="1"/>
    <col min="5110" max="5110" width="15" style="232" bestFit="1" customWidth="1"/>
    <col min="5111" max="5111" width="20.140625" style="232" bestFit="1" customWidth="1"/>
    <col min="5112" max="5112" width="13.28515625" style="232" bestFit="1" customWidth="1"/>
    <col min="5113" max="5113" width="16.140625" style="232" bestFit="1" customWidth="1"/>
    <col min="5114" max="5357" width="8.7109375" style="232"/>
    <col min="5358" max="5359" width="21.7109375" style="232" customWidth="1"/>
    <col min="5360" max="5360" width="8.7109375" style="232"/>
    <col min="5361" max="5361" width="18.140625" style="232" customWidth="1"/>
    <col min="5362" max="5362" width="20.7109375" style="232" bestFit="1" customWidth="1"/>
    <col min="5363" max="5363" width="17" style="232" bestFit="1" customWidth="1"/>
    <col min="5364" max="5364" width="17.140625" style="232" bestFit="1" customWidth="1"/>
    <col min="5365" max="5365" width="16.140625" style="232" bestFit="1" customWidth="1"/>
    <col min="5366" max="5366" width="15" style="232" bestFit="1" customWidth="1"/>
    <col min="5367" max="5367" width="20.140625" style="232" bestFit="1" customWidth="1"/>
    <col min="5368" max="5368" width="13.28515625" style="232" bestFit="1" customWidth="1"/>
    <col min="5369" max="5369" width="16.140625" style="232" bestFit="1" customWidth="1"/>
    <col min="5370" max="5613" width="8.7109375" style="232"/>
    <col min="5614" max="5615" width="21.7109375" style="232" customWidth="1"/>
    <col min="5616" max="5616" width="8.7109375" style="232"/>
    <col min="5617" max="5617" width="18.140625" style="232" customWidth="1"/>
    <col min="5618" max="5618" width="20.7109375" style="232" bestFit="1" customWidth="1"/>
    <col min="5619" max="5619" width="17" style="232" bestFit="1" customWidth="1"/>
    <col min="5620" max="5620" width="17.140625" style="232" bestFit="1" customWidth="1"/>
    <col min="5621" max="5621" width="16.140625" style="232" bestFit="1" customWidth="1"/>
    <col min="5622" max="5622" width="15" style="232" bestFit="1" customWidth="1"/>
    <col min="5623" max="5623" width="20.140625" style="232" bestFit="1" customWidth="1"/>
    <col min="5624" max="5624" width="13.28515625" style="232" bestFit="1" customWidth="1"/>
    <col min="5625" max="5625" width="16.140625" style="232" bestFit="1" customWidth="1"/>
    <col min="5626" max="5869" width="8.7109375" style="232"/>
    <col min="5870" max="5871" width="21.7109375" style="232" customWidth="1"/>
    <col min="5872" max="5872" width="8.7109375" style="232"/>
    <col min="5873" max="5873" width="18.140625" style="232" customWidth="1"/>
    <col min="5874" max="5874" width="20.7109375" style="232" bestFit="1" customWidth="1"/>
    <col min="5875" max="5875" width="17" style="232" bestFit="1" customWidth="1"/>
    <col min="5876" max="5876" width="17.140625" style="232" bestFit="1" customWidth="1"/>
    <col min="5877" max="5877" width="16.140625" style="232" bestFit="1" customWidth="1"/>
    <col min="5878" max="5878" width="15" style="232" bestFit="1" customWidth="1"/>
    <col min="5879" max="5879" width="20.140625" style="232" bestFit="1" customWidth="1"/>
    <col min="5880" max="5880" width="13.28515625" style="232" bestFit="1" customWidth="1"/>
    <col min="5881" max="5881" width="16.140625" style="232" bestFit="1" customWidth="1"/>
    <col min="5882" max="6125" width="8.7109375" style="232"/>
    <col min="6126" max="6127" width="21.7109375" style="232" customWidth="1"/>
    <col min="6128" max="6128" width="8.7109375" style="232"/>
    <col min="6129" max="6129" width="18.140625" style="232" customWidth="1"/>
    <col min="6130" max="6130" width="20.7109375" style="232" bestFit="1" customWidth="1"/>
    <col min="6131" max="6131" width="17" style="232" bestFit="1" customWidth="1"/>
    <col min="6132" max="6132" width="17.140625" style="232" bestFit="1" customWidth="1"/>
    <col min="6133" max="6133" width="16.140625" style="232" bestFit="1" customWidth="1"/>
    <col min="6134" max="6134" width="15" style="232" bestFit="1" customWidth="1"/>
    <col min="6135" max="6135" width="20.140625" style="232" bestFit="1" customWidth="1"/>
    <col min="6136" max="6136" width="13.28515625" style="232" bestFit="1" customWidth="1"/>
    <col min="6137" max="6137" width="16.140625" style="232" bestFit="1" customWidth="1"/>
    <col min="6138" max="6381" width="8.7109375" style="232"/>
    <col min="6382" max="6383" width="21.7109375" style="232" customWidth="1"/>
    <col min="6384" max="6384" width="8.7109375" style="232"/>
    <col min="6385" max="6385" width="18.140625" style="232" customWidth="1"/>
    <col min="6386" max="6386" width="20.7109375" style="232" bestFit="1" customWidth="1"/>
    <col min="6387" max="6387" width="17" style="232" bestFit="1" customWidth="1"/>
    <col min="6388" max="6388" width="17.140625" style="232" bestFit="1" customWidth="1"/>
    <col min="6389" max="6389" width="16.140625" style="232" bestFit="1" customWidth="1"/>
    <col min="6390" max="6390" width="15" style="232" bestFit="1" customWidth="1"/>
    <col min="6391" max="6391" width="20.140625" style="232" bestFit="1" customWidth="1"/>
    <col min="6392" max="6392" width="13.28515625" style="232" bestFit="1" customWidth="1"/>
    <col min="6393" max="6393" width="16.140625" style="232" bestFit="1" customWidth="1"/>
    <col min="6394" max="6637" width="8.7109375" style="232"/>
    <col min="6638" max="6639" width="21.7109375" style="232" customWidth="1"/>
    <col min="6640" max="6640" width="8.7109375" style="232"/>
    <col min="6641" max="6641" width="18.140625" style="232" customWidth="1"/>
    <col min="6642" max="6642" width="20.7109375" style="232" bestFit="1" customWidth="1"/>
    <col min="6643" max="6643" width="17" style="232" bestFit="1" customWidth="1"/>
    <col min="6644" max="6644" width="17.140625" style="232" bestFit="1" customWidth="1"/>
    <col min="6645" max="6645" width="16.140625" style="232" bestFit="1" customWidth="1"/>
    <col min="6646" max="6646" width="15" style="232" bestFit="1" customWidth="1"/>
    <col min="6647" max="6647" width="20.140625" style="232" bestFit="1" customWidth="1"/>
    <col min="6648" max="6648" width="13.28515625" style="232" bestFit="1" customWidth="1"/>
    <col min="6649" max="6649" width="16.140625" style="232" bestFit="1" customWidth="1"/>
    <col min="6650" max="6893" width="8.7109375" style="232"/>
    <col min="6894" max="6895" width="21.7109375" style="232" customWidth="1"/>
    <col min="6896" max="6896" width="8.7109375" style="232"/>
    <col min="6897" max="6897" width="18.140625" style="232" customWidth="1"/>
    <col min="6898" max="6898" width="20.7109375" style="232" bestFit="1" customWidth="1"/>
    <col min="6899" max="6899" width="17" style="232" bestFit="1" customWidth="1"/>
    <col min="6900" max="6900" width="17.140625" style="232" bestFit="1" customWidth="1"/>
    <col min="6901" max="6901" width="16.140625" style="232" bestFit="1" customWidth="1"/>
    <col min="6902" max="6902" width="15" style="232" bestFit="1" customWidth="1"/>
    <col min="6903" max="6903" width="20.140625" style="232" bestFit="1" customWidth="1"/>
    <col min="6904" max="6904" width="13.28515625" style="232" bestFit="1" customWidth="1"/>
    <col min="6905" max="6905" width="16.140625" style="232" bestFit="1" customWidth="1"/>
    <col min="6906" max="7149" width="8.7109375" style="232"/>
    <col min="7150" max="7151" width="21.7109375" style="232" customWidth="1"/>
    <col min="7152" max="7152" width="8.7109375" style="232"/>
    <col min="7153" max="7153" width="18.140625" style="232" customWidth="1"/>
    <col min="7154" max="7154" width="20.7109375" style="232" bestFit="1" customWidth="1"/>
    <col min="7155" max="7155" width="17" style="232" bestFit="1" customWidth="1"/>
    <col min="7156" max="7156" width="17.140625" style="232" bestFit="1" customWidth="1"/>
    <col min="7157" max="7157" width="16.140625" style="232" bestFit="1" customWidth="1"/>
    <col min="7158" max="7158" width="15" style="232" bestFit="1" customWidth="1"/>
    <col min="7159" max="7159" width="20.140625" style="232" bestFit="1" customWidth="1"/>
    <col min="7160" max="7160" width="13.28515625" style="232" bestFit="1" customWidth="1"/>
    <col min="7161" max="7161" width="16.140625" style="232" bestFit="1" customWidth="1"/>
    <col min="7162" max="7405" width="8.7109375" style="232"/>
    <col min="7406" max="7407" width="21.7109375" style="232" customWidth="1"/>
    <col min="7408" max="7408" width="8.7109375" style="232"/>
    <col min="7409" max="7409" width="18.140625" style="232" customWidth="1"/>
    <col min="7410" max="7410" width="20.7109375" style="232" bestFit="1" customWidth="1"/>
    <col min="7411" max="7411" width="17" style="232" bestFit="1" customWidth="1"/>
    <col min="7412" max="7412" width="17.140625" style="232" bestFit="1" customWidth="1"/>
    <col min="7413" max="7413" width="16.140625" style="232" bestFit="1" customWidth="1"/>
    <col min="7414" max="7414" width="15" style="232" bestFit="1" customWidth="1"/>
    <col min="7415" max="7415" width="20.140625" style="232" bestFit="1" customWidth="1"/>
    <col min="7416" max="7416" width="13.28515625" style="232" bestFit="1" customWidth="1"/>
    <col min="7417" max="7417" width="16.140625" style="232" bestFit="1" customWidth="1"/>
    <col min="7418" max="7661" width="8.7109375" style="232"/>
    <col min="7662" max="7663" width="21.7109375" style="232" customWidth="1"/>
    <col min="7664" max="7664" width="8.7109375" style="232"/>
    <col min="7665" max="7665" width="18.140625" style="232" customWidth="1"/>
    <col min="7666" max="7666" width="20.7109375" style="232" bestFit="1" customWidth="1"/>
    <col min="7667" max="7667" width="17" style="232" bestFit="1" customWidth="1"/>
    <col min="7668" max="7668" width="17.140625" style="232" bestFit="1" customWidth="1"/>
    <col min="7669" max="7669" width="16.140625" style="232" bestFit="1" customWidth="1"/>
    <col min="7670" max="7670" width="15" style="232" bestFit="1" customWidth="1"/>
    <col min="7671" max="7671" width="20.140625" style="232" bestFit="1" customWidth="1"/>
    <col min="7672" max="7672" width="13.28515625" style="232" bestFit="1" customWidth="1"/>
    <col min="7673" max="7673" width="16.140625" style="232" bestFit="1" customWidth="1"/>
    <col min="7674" max="7917" width="8.7109375" style="232"/>
    <col min="7918" max="7919" width="21.7109375" style="232" customWidth="1"/>
    <col min="7920" max="7920" width="8.7109375" style="232"/>
    <col min="7921" max="7921" width="18.140625" style="232" customWidth="1"/>
    <col min="7922" max="7922" width="20.7109375" style="232" bestFit="1" customWidth="1"/>
    <col min="7923" max="7923" width="17" style="232" bestFit="1" customWidth="1"/>
    <col min="7924" max="7924" width="17.140625" style="232" bestFit="1" customWidth="1"/>
    <col min="7925" max="7925" width="16.140625" style="232" bestFit="1" customWidth="1"/>
    <col min="7926" max="7926" width="15" style="232" bestFit="1" customWidth="1"/>
    <col min="7927" max="7927" width="20.140625" style="232" bestFit="1" customWidth="1"/>
    <col min="7928" max="7928" width="13.28515625" style="232" bestFit="1" customWidth="1"/>
    <col min="7929" max="7929" width="16.140625" style="232" bestFit="1" customWidth="1"/>
    <col min="7930" max="8173" width="8.7109375" style="232"/>
    <col min="8174" max="8175" width="21.7109375" style="232" customWidth="1"/>
    <col min="8176" max="8176" width="8.7109375" style="232"/>
    <col min="8177" max="8177" width="18.140625" style="232" customWidth="1"/>
    <col min="8178" max="8178" width="20.7109375" style="232" bestFit="1" customWidth="1"/>
    <col min="8179" max="8179" width="17" style="232" bestFit="1" customWidth="1"/>
    <col min="8180" max="8180" width="17.140625" style="232" bestFit="1" customWidth="1"/>
    <col min="8181" max="8181" width="16.140625" style="232" bestFit="1" customWidth="1"/>
    <col min="8182" max="8182" width="15" style="232" bestFit="1" customWidth="1"/>
    <col min="8183" max="8183" width="20.140625" style="232" bestFit="1" customWidth="1"/>
    <col min="8184" max="8184" width="13.28515625" style="232" bestFit="1" customWidth="1"/>
    <col min="8185" max="8185" width="16.140625" style="232" bestFit="1" customWidth="1"/>
    <col min="8186" max="8429" width="8.7109375" style="232"/>
    <col min="8430" max="8431" width="21.7109375" style="232" customWidth="1"/>
    <col min="8432" max="8432" width="8.7109375" style="232"/>
    <col min="8433" max="8433" width="18.140625" style="232" customWidth="1"/>
    <col min="8434" max="8434" width="20.7109375" style="232" bestFit="1" customWidth="1"/>
    <col min="8435" max="8435" width="17" style="232" bestFit="1" customWidth="1"/>
    <col min="8436" max="8436" width="17.140625" style="232" bestFit="1" customWidth="1"/>
    <col min="8437" max="8437" width="16.140625" style="232" bestFit="1" customWidth="1"/>
    <col min="8438" max="8438" width="15" style="232" bestFit="1" customWidth="1"/>
    <col min="8439" max="8439" width="20.140625" style="232" bestFit="1" customWidth="1"/>
    <col min="8440" max="8440" width="13.28515625" style="232" bestFit="1" customWidth="1"/>
    <col min="8441" max="8441" width="16.140625" style="232" bestFit="1" customWidth="1"/>
    <col min="8442" max="8685" width="8.7109375" style="232"/>
    <col min="8686" max="8687" width="21.7109375" style="232" customWidth="1"/>
    <col min="8688" max="8688" width="8.7109375" style="232"/>
    <col min="8689" max="8689" width="18.140625" style="232" customWidth="1"/>
    <col min="8690" max="8690" width="20.7109375" style="232" bestFit="1" customWidth="1"/>
    <col min="8691" max="8691" width="17" style="232" bestFit="1" customWidth="1"/>
    <col min="8692" max="8692" width="17.140625" style="232" bestFit="1" customWidth="1"/>
    <col min="8693" max="8693" width="16.140625" style="232" bestFit="1" customWidth="1"/>
    <col min="8694" max="8694" width="15" style="232" bestFit="1" customWidth="1"/>
    <col min="8695" max="8695" width="20.140625" style="232" bestFit="1" customWidth="1"/>
    <col min="8696" max="8696" width="13.28515625" style="232" bestFit="1" customWidth="1"/>
    <col min="8697" max="8697" width="16.140625" style="232" bestFit="1" customWidth="1"/>
    <col min="8698" max="8941" width="8.7109375" style="232"/>
    <col min="8942" max="8943" width="21.7109375" style="232" customWidth="1"/>
    <col min="8944" max="8944" width="8.7109375" style="232"/>
    <col min="8945" max="8945" width="18.140625" style="232" customWidth="1"/>
    <col min="8946" max="8946" width="20.7109375" style="232" bestFit="1" customWidth="1"/>
    <col min="8947" max="8947" width="17" style="232" bestFit="1" customWidth="1"/>
    <col min="8948" max="8948" width="17.140625" style="232" bestFit="1" customWidth="1"/>
    <col min="8949" max="8949" width="16.140625" style="232" bestFit="1" customWidth="1"/>
    <col min="8950" max="8950" width="15" style="232" bestFit="1" customWidth="1"/>
    <col min="8951" max="8951" width="20.140625" style="232" bestFit="1" customWidth="1"/>
    <col min="8952" max="8952" width="13.28515625" style="232" bestFit="1" customWidth="1"/>
    <col min="8953" max="8953" width="16.140625" style="232" bestFit="1" customWidth="1"/>
    <col min="8954" max="9197" width="8.7109375" style="232"/>
    <col min="9198" max="9199" width="21.7109375" style="232" customWidth="1"/>
    <col min="9200" max="9200" width="8.7109375" style="232"/>
    <col min="9201" max="9201" width="18.140625" style="232" customWidth="1"/>
    <col min="9202" max="9202" width="20.7109375" style="232" bestFit="1" customWidth="1"/>
    <col min="9203" max="9203" width="17" style="232" bestFit="1" customWidth="1"/>
    <col min="9204" max="9204" width="17.140625" style="232" bestFit="1" customWidth="1"/>
    <col min="9205" max="9205" width="16.140625" style="232" bestFit="1" customWidth="1"/>
    <col min="9206" max="9206" width="15" style="232" bestFit="1" customWidth="1"/>
    <col min="9207" max="9207" width="20.140625" style="232" bestFit="1" customWidth="1"/>
    <col min="9208" max="9208" width="13.28515625" style="232" bestFit="1" customWidth="1"/>
    <col min="9209" max="9209" width="16.140625" style="232" bestFit="1" customWidth="1"/>
    <col min="9210" max="9453" width="8.7109375" style="232"/>
    <col min="9454" max="9455" width="21.7109375" style="232" customWidth="1"/>
    <col min="9456" max="9456" width="8.7109375" style="232"/>
    <col min="9457" max="9457" width="18.140625" style="232" customWidth="1"/>
    <col min="9458" max="9458" width="20.7109375" style="232" bestFit="1" customWidth="1"/>
    <col min="9459" max="9459" width="17" style="232" bestFit="1" customWidth="1"/>
    <col min="9460" max="9460" width="17.140625" style="232" bestFit="1" customWidth="1"/>
    <col min="9461" max="9461" width="16.140625" style="232" bestFit="1" customWidth="1"/>
    <col min="9462" max="9462" width="15" style="232" bestFit="1" customWidth="1"/>
    <col min="9463" max="9463" width="20.140625" style="232" bestFit="1" customWidth="1"/>
    <col min="9464" max="9464" width="13.28515625" style="232" bestFit="1" customWidth="1"/>
    <col min="9465" max="9465" width="16.140625" style="232" bestFit="1" customWidth="1"/>
    <col min="9466" max="9709" width="8.7109375" style="232"/>
    <col min="9710" max="9711" width="21.7109375" style="232" customWidth="1"/>
    <col min="9712" max="9712" width="8.7109375" style="232"/>
    <col min="9713" max="9713" width="18.140625" style="232" customWidth="1"/>
    <col min="9714" max="9714" width="20.7109375" style="232" bestFit="1" customWidth="1"/>
    <col min="9715" max="9715" width="17" style="232" bestFit="1" customWidth="1"/>
    <col min="9716" max="9716" width="17.140625" style="232" bestFit="1" customWidth="1"/>
    <col min="9717" max="9717" width="16.140625" style="232" bestFit="1" customWidth="1"/>
    <col min="9718" max="9718" width="15" style="232" bestFit="1" customWidth="1"/>
    <col min="9719" max="9719" width="20.140625" style="232" bestFit="1" customWidth="1"/>
    <col min="9720" max="9720" width="13.28515625" style="232" bestFit="1" customWidth="1"/>
    <col min="9721" max="9721" width="16.140625" style="232" bestFit="1" customWidth="1"/>
    <col min="9722" max="9965" width="8.7109375" style="232"/>
    <col min="9966" max="9967" width="21.7109375" style="232" customWidth="1"/>
    <col min="9968" max="9968" width="8.7109375" style="232"/>
    <col min="9969" max="9969" width="18.140625" style="232" customWidth="1"/>
    <col min="9970" max="9970" width="20.7109375" style="232" bestFit="1" customWidth="1"/>
    <col min="9971" max="9971" width="17" style="232" bestFit="1" customWidth="1"/>
    <col min="9972" max="9972" width="17.140625" style="232" bestFit="1" customWidth="1"/>
    <col min="9973" max="9973" width="16.140625" style="232" bestFit="1" customWidth="1"/>
    <col min="9974" max="9974" width="15" style="232" bestFit="1" customWidth="1"/>
    <col min="9975" max="9975" width="20.140625" style="232" bestFit="1" customWidth="1"/>
    <col min="9976" max="9976" width="13.28515625" style="232" bestFit="1" customWidth="1"/>
    <col min="9977" max="9977" width="16.140625" style="232" bestFit="1" customWidth="1"/>
    <col min="9978" max="10221" width="8.7109375" style="232"/>
    <col min="10222" max="10223" width="21.7109375" style="232" customWidth="1"/>
    <col min="10224" max="10224" width="8.7109375" style="232"/>
    <col min="10225" max="10225" width="18.140625" style="232" customWidth="1"/>
    <col min="10226" max="10226" width="20.7109375" style="232" bestFit="1" customWidth="1"/>
    <col min="10227" max="10227" width="17" style="232" bestFit="1" customWidth="1"/>
    <col min="10228" max="10228" width="17.140625" style="232" bestFit="1" customWidth="1"/>
    <col min="10229" max="10229" width="16.140625" style="232" bestFit="1" customWidth="1"/>
    <col min="10230" max="10230" width="15" style="232" bestFit="1" customWidth="1"/>
    <col min="10231" max="10231" width="20.140625" style="232" bestFit="1" customWidth="1"/>
    <col min="10232" max="10232" width="13.28515625" style="232" bestFit="1" customWidth="1"/>
    <col min="10233" max="10233" width="16.140625" style="232" bestFit="1" customWidth="1"/>
    <col min="10234" max="10477" width="8.7109375" style="232"/>
    <col min="10478" max="10479" width="21.7109375" style="232" customWidth="1"/>
    <col min="10480" max="10480" width="8.7109375" style="232"/>
    <col min="10481" max="10481" width="18.140625" style="232" customWidth="1"/>
    <col min="10482" max="10482" width="20.7109375" style="232" bestFit="1" customWidth="1"/>
    <col min="10483" max="10483" width="17" style="232" bestFit="1" customWidth="1"/>
    <col min="10484" max="10484" width="17.140625" style="232" bestFit="1" customWidth="1"/>
    <col min="10485" max="10485" width="16.140625" style="232" bestFit="1" customWidth="1"/>
    <col min="10486" max="10486" width="15" style="232" bestFit="1" customWidth="1"/>
    <col min="10487" max="10487" width="20.140625" style="232" bestFit="1" customWidth="1"/>
    <col min="10488" max="10488" width="13.28515625" style="232" bestFit="1" customWidth="1"/>
    <col min="10489" max="10489" width="16.140625" style="232" bestFit="1" customWidth="1"/>
    <col min="10490" max="10733" width="8.7109375" style="232"/>
    <col min="10734" max="10735" width="21.7109375" style="232" customWidth="1"/>
    <col min="10736" max="10736" width="8.7109375" style="232"/>
    <col min="10737" max="10737" width="18.140625" style="232" customWidth="1"/>
    <col min="10738" max="10738" width="20.7109375" style="232" bestFit="1" customWidth="1"/>
    <col min="10739" max="10739" width="17" style="232" bestFit="1" customWidth="1"/>
    <col min="10740" max="10740" width="17.140625" style="232" bestFit="1" customWidth="1"/>
    <col min="10741" max="10741" width="16.140625" style="232" bestFit="1" customWidth="1"/>
    <col min="10742" max="10742" width="15" style="232" bestFit="1" customWidth="1"/>
    <col min="10743" max="10743" width="20.140625" style="232" bestFit="1" customWidth="1"/>
    <col min="10744" max="10744" width="13.28515625" style="232" bestFit="1" customWidth="1"/>
    <col min="10745" max="10745" width="16.140625" style="232" bestFit="1" customWidth="1"/>
    <col min="10746" max="10989" width="8.7109375" style="232"/>
    <col min="10990" max="10991" width="21.7109375" style="232" customWidth="1"/>
    <col min="10992" max="10992" width="8.7109375" style="232"/>
    <col min="10993" max="10993" width="18.140625" style="232" customWidth="1"/>
    <col min="10994" max="10994" width="20.7109375" style="232" bestFit="1" customWidth="1"/>
    <col min="10995" max="10995" width="17" style="232" bestFit="1" customWidth="1"/>
    <col min="10996" max="10996" width="17.140625" style="232" bestFit="1" customWidth="1"/>
    <col min="10997" max="10997" width="16.140625" style="232" bestFit="1" customWidth="1"/>
    <col min="10998" max="10998" width="15" style="232" bestFit="1" customWidth="1"/>
    <col min="10999" max="10999" width="20.140625" style="232" bestFit="1" customWidth="1"/>
    <col min="11000" max="11000" width="13.28515625" style="232" bestFit="1" customWidth="1"/>
    <col min="11001" max="11001" width="16.140625" style="232" bestFit="1" customWidth="1"/>
    <col min="11002" max="11245" width="8.7109375" style="232"/>
    <col min="11246" max="11247" width="21.7109375" style="232" customWidth="1"/>
    <col min="11248" max="11248" width="8.7109375" style="232"/>
    <col min="11249" max="11249" width="18.140625" style="232" customWidth="1"/>
    <col min="11250" max="11250" width="20.7109375" style="232" bestFit="1" customWidth="1"/>
    <col min="11251" max="11251" width="17" style="232" bestFit="1" customWidth="1"/>
    <col min="11252" max="11252" width="17.140625" style="232" bestFit="1" customWidth="1"/>
    <col min="11253" max="11253" width="16.140625" style="232" bestFit="1" customWidth="1"/>
    <col min="11254" max="11254" width="15" style="232" bestFit="1" customWidth="1"/>
    <col min="11255" max="11255" width="20.140625" style="232" bestFit="1" customWidth="1"/>
    <col min="11256" max="11256" width="13.28515625" style="232" bestFit="1" customWidth="1"/>
    <col min="11257" max="11257" width="16.140625" style="232" bestFit="1" customWidth="1"/>
    <col min="11258" max="11501" width="8.7109375" style="232"/>
    <col min="11502" max="11503" width="21.7109375" style="232" customWidth="1"/>
    <col min="11504" max="11504" width="8.7109375" style="232"/>
    <col min="11505" max="11505" width="18.140625" style="232" customWidth="1"/>
    <col min="11506" max="11506" width="20.7109375" style="232" bestFit="1" customWidth="1"/>
    <col min="11507" max="11507" width="17" style="232" bestFit="1" customWidth="1"/>
    <col min="11508" max="11508" width="17.140625" style="232" bestFit="1" customWidth="1"/>
    <col min="11509" max="11509" width="16.140625" style="232" bestFit="1" customWidth="1"/>
    <col min="11510" max="11510" width="15" style="232" bestFit="1" customWidth="1"/>
    <col min="11511" max="11511" width="20.140625" style="232" bestFit="1" customWidth="1"/>
    <col min="11512" max="11512" width="13.28515625" style="232" bestFit="1" customWidth="1"/>
    <col min="11513" max="11513" width="16.140625" style="232" bestFit="1" customWidth="1"/>
    <col min="11514" max="11757" width="8.7109375" style="232"/>
    <col min="11758" max="11759" width="21.7109375" style="232" customWidth="1"/>
    <col min="11760" max="11760" width="8.7109375" style="232"/>
    <col min="11761" max="11761" width="18.140625" style="232" customWidth="1"/>
    <col min="11762" max="11762" width="20.7109375" style="232" bestFit="1" customWidth="1"/>
    <col min="11763" max="11763" width="17" style="232" bestFit="1" customWidth="1"/>
    <col min="11764" max="11764" width="17.140625" style="232" bestFit="1" customWidth="1"/>
    <col min="11765" max="11765" width="16.140625" style="232" bestFit="1" customWidth="1"/>
    <col min="11766" max="11766" width="15" style="232" bestFit="1" customWidth="1"/>
    <col min="11767" max="11767" width="20.140625" style="232" bestFit="1" customWidth="1"/>
    <col min="11768" max="11768" width="13.28515625" style="232" bestFit="1" customWidth="1"/>
    <col min="11769" max="11769" width="16.140625" style="232" bestFit="1" customWidth="1"/>
    <col min="11770" max="12013" width="8.7109375" style="232"/>
    <col min="12014" max="12015" width="21.7109375" style="232" customWidth="1"/>
    <col min="12016" max="12016" width="8.7109375" style="232"/>
    <col min="12017" max="12017" width="18.140625" style="232" customWidth="1"/>
    <col min="12018" max="12018" width="20.7109375" style="232" bestFit="1" customWidth="1"/>
    <col min="12019" max="12019" width="17" style="232" bestFit="1" customWidth="1"/>
    <col min="12020" max="12020" width="17.140625" style="232" bestFit="1" customWidth="1"/>
    <col min="12021" max="12021" width="16.140625" style="232" bestFit="1" customWidth="1"/>
    <col min="12022" max="12022" width="15" style="232" bestFit="1" customWidth="1"/>
    <col min="12023" max="12023" width="20.140625" style="232" bestFit="1" customWidth="1"/>
    <col min="12024" max="12024" width="13.28515625" style="232" bestFit="1" customWidth="1"/>
    <col min="12025" max="12025" width="16.140625" style="232" bestFit="1" customWidth="1"/>
    <col min="12026" max="12269" width="8.7109375" style="232"/>
    <col min="12270" max="12271" width="21.7109375" style="232" customWidth="1"/>
    <col min="12272" max="12272" width="8.7109375" style="232"/>
    <col min="12273" max="12273" width="18.140625" style="232" customWidth="1"/>
    <col min="12274" max="12274" width="20.7109375" style="232" bestFit="1" customWidth="1"/>
    <col min="12275" max="12275" width="17" style="232" bestFit="1" customWidth="1"/>
    <col min="12276" max="12276" width="17.140625" style="232" bestFit="1" customWidth="1"/>
    <col min="12277" max="12277" width="16.140625" style="232" bestFit="1" customWidth="1"/>
    <col min="12278" max="12278" width="15" style="232" bestFit="1" customWidth="1"/>
    <col min="12279" max="12279" width="20.140625" style="232" bestFit="1" customWidth="1"/>
    <col min="12280" max="12280" width="13.28515625" style="232" bestFit="1" customWidth="1"/>
    <col min="12281" max="12281" width="16.140625" style="232" bestFit="1" customWidth="1"/>
    <col min="12282" max="12525" width="8.7109375" style="232"/>
    <col min="12526" max="12527" width="21.7109375" style="232" customWidth="1"/>
    <col min="12528" max="12528" width="8.7109375" style="232"/>
    <col min="12529" max="12529" width="18.140625" style="232" customWidth="1"/>
    <col min="12530" max="12530" width="20.7109375" style="232" bestFit="1" customWidth="1"/>
    <col min="12531" max="12531" width="17" style="232" bestFit="1" customWidth="1"/>
    <col min="12532" max="12532" width="17.140625" style="232" bestFit="1" customWidth="1"/>
    <col min="12533" max="12533" width="16.140625" style="232" bestFit="1" customWidth="1"/>
    <col min="12534" max="12534" width="15" style="232" bestFit="1" customWidth="1"/>
    <col min="12535" max="12535" width="20.140625" style="232" bestFit="1" customWidth="1"/>
    <col min="12536" max="12536" width="13.28515625" style="232" bestFit="1" customWidth="1"/>
    <col min="12537" max="12537" width="16.140625" style="232" bestFit="1" customWidth="1"/>
    <col min="12538" max="12781" width="8.7109375" style="232"/>
    <col min="12782" max="12783" width="21.7109375" style="232" customWidth="1"/>
    <col min="12784" max="12784" width="8.7109375" style="232"/>
    <col min="12785" max="12785" width="18.140625" style="232" customWidth="1"/>
    <col min="12786" max="12786" width="20.7109375" style="232" bestFit="1" customWidth="1"/>
    <col min="12787" max="12787" width="17" style="232" bestFit="1" customWidth="1"/>
    <col min="12788" max="12788" width="17.140625" style="232" bestFit="1" customWidth="1"/>
    <col min="12789" max="12789" width="16.140625" style="232" bestFit="1" customWidth="1"/>
    <col min="12790" max="12790" width="15" style="232" bestFit="1" customWidth="1"/>
    <col min="12791" max="12791" width="20.140625" style="232" bestFit="1" customWidth="1"/>
    <col min="12792" max="12792" width="13.28515625" style="232" bestFit="1" customWidth="1"/>
    <col min="12793" max="12793" width="16.140625" style="232" bestFit="1" customWidth="1"/>
    <col min="12794" max="13037" width="8.7109375" style="232"/>
    <col min="13038" max="13039" width="21.7109375" style="232" customWidth="1"/>
    <col min="13040" max="13040" width="8.7109375" style="232"/>
    <col min="13041" max="13041" width="18.140625" style="232" customWidth="1"/>
    <col min="13042" max="13042" width="20.7109375" style="232" bestFit="1" customWidth="1"/>
    <col min="13043" max="13043" width="17" style="232" bestFit="1" customWidth="1"/>
    <col min="13044" max="13044" width="17.140625" style="232" bestFit="1" customWidth="1"/>
    <col min="13045" max="13045" width="16.140625" style="232" bestFit="1" customWidth="1"/>
    <col min="13046" max="13046" width="15" style="232" bestFit="1" customWidth="1"/>
    <col min="13047" max="13047" width="20.140625" style="232" bestFit="1" customWidth="1"/>
    <col min="13048" max="13048" width="13.28515625" style="232" bestFit="1" customWidth="1"/>
    <col min="13049" max="13049" width="16.140625" style="232" bestFit="1" customWidth="1"/>
    <col min="13050" max="13293" width="8.7109375" style="232"/>
    <col min="13294" max="13295" width="21.7109375" style="232" customWidth="1"/>
    <col min="13296" max="13296" width="8.7109375" style="232"/>
    <col min="13297" max="13297" width="18.140625" style="232" customWidth="1"/>
    <col min="13298" max="13298" width="20.7109375" style="232" bestFit="1" customWidth="1"/>
    <col min="13299" max="13299" width="17" style="232" bestFit="1" customWidth="1"/>
    <col min="13300" max="13300" width="17.140625" style="232" bestFit="1" customWidth="1"/>
    <col min="13301" max="13301" width="16.140625" style="232" bestFit="1" customWidth="1"/>
    <col min="13302" max="13302" width="15" style="232" bestFit="1" customWidth="1"/>
    <col min="13303" max="13303" width="20.140625" style="232" bestFit="1" customWidth="1"/>
    <col min="13304" max="13304" width="13.28515625" style="232" bestFit="1" customWidth="1"/>
    <col min="13305" max="13305" width="16.140625" style="232" bestFit="1" customWidth="1"/>
    <col min="13306" max="13549" width="8.7109375" style="232"/>
    <col min="13550" max="13551" width="21.7109375" style="232" customWidth="1"/>
    <col min="13552" max="13552" width="8.7109375" style="232"/>
    <col min="13553" max="13553" width="18.140625" style="232" customWidth="1"/>
    <col min="13554" max="13554" width="20.7109375" style="232" bestFit="1" customWidth="1"/>
    <col min="13555" max="13555" width="17" style="232" bestFit="1" customWidth="1"/>
    <col min="13556" max="13556" width="17.140625" style="232" bestFit="1" customWidth="1"/>
    <col min="13557" max="13557" width="16.140625" style="232" bestFit="1" customWidth="1"/>
    <col min="13558" max="13558" width="15" style="232" bestFit="1" customWidth="1"/>
    <col min="13559" max="13559" width="20.140625" style="232" bestFit="1" customWidth="1"/>
    <col min="13560" max="13560" width="13.28515625" style="232" bestFit="1" customWidth="1"/>
    <col min="13561" max="13561" width="16.140625" style="232" bestFit="1" customWidth="1"/>
    <col min="13562" max="13805" width="8.7109375" style="232"/>
    <col min="13806" max="13807" width="21.7109375" style="232" customWidth="1"/>
    <col min="13808" max="13808" width="8.7109375" style="232"/>
    <col min="13809" max="13809" width="18.140625" style="232" customWidth="1"/>
    <col min="13810" max="13810" width="20.7109375" style="232" bestFit="1" customWidth="1"/>
    <col min="13811" max="13811" width="17" style="232" bestFit="1" customWidth="1"/>
    <col min="13812" max="13812" width="17.140625" style="232" bestFit="1" customWidth="1"/>
    <col min="13813" max="13813" width="16.140625" style="232" bestFit="1" customWidth="1"/>
    <col min="13814" max="13814" width="15" style="232" bestFit="1" customWidth="1"/>
    <col min="13815" max="13815" width="20.140625" style="232" bestFit="1" customWidth="1"/>
    <col min="13816" max="13816" width="13.28515625" style="232" bestFit="1" customWidth="1"/>
    <col min="13817" max="13817" width="16.140625" style="232" bestFit="1" customWidth="1"/>
    <col min="13818" max="14061" width="8.7109375" style="232"/>
    <col min="14062" max="14063" width="21.7109375" style="232" customWidth="1"/>
    <col min="14064" max="14064" width="8.7109375" style="232"/>
    <col min="14065" max="14065" width="18.140625" style="232" customWidth="1"/>
    <col min="14066" max="14066" width="20.7109375" style="232" bestFit="1" customWidth="1"/>
    <col min="14067" max="14067" width="17" style="232" bestFit="1" customWidth="1"/>
    <col min="14068" max="14068" width="17.140625" style="232" bestFit="1" customWidth="1"/>
    <col min="14069" max="14069" width="16.140625" style="232" bestFit="1" customWidth="1"/>
    <col min="14070" max="14070" width="15" style="232" bestFit="1" customWidth="1"/>
    <col min="14071" max="14071" width="20.140625" style="232" bestFit="1" customWidth="1"/>
    <col min="14072" max="14072" width="13.28515625" style="232" bestFit="1" customWidth="1"/>
    <col min="14073" max="14073" width="16.140625" style="232" bestFit="1" customWidth="1"/>
    <col min="14074" max="14317" width="8.7109375" style="232"/>
    <col min="14318" max="14319" width="21.7109375" style="232" customWidth="1"/>
    <col min="14320" max="14320" width="8.7109375" style="232"/>
    <col min="14321" max="14321" width="18.140625" style="232" customWidth="1"/>
    <col min="14322" max="14322" width="20.7109375" style="232" bestFit="1" customWidth="1"/>
    <col min="14323" max="14323" width="17" style="232" bestFit="1" customWidth="1"/>
    <col min="14324" max="14324" width="17.140625" style="232" bestFit="1" customWidth="1"/>
    <col min="14325" max="14325" width="16.140625" style="232" bestFit="1" customWidth="1"/>
    <col min="14326" max="14326" width="15" style="232" bestFit="1" customWidth="1"/>
    <col min="14327" max="14327" width="20.140625" style="232" bestFit="1" customWidth="1"/>
    <col min="14328" max="14328" width="13.28515625" style="232" bestFit="1" customWidth="1"/>
    <col min="14329" max="14329" width="16.140625" style="232" bestFit="1" customWidth="1"/>
    <col min="14330" max="14573" width="8.7109375" style="232"/>
    <col min="14574" max="14575" width="21.7109375" style="232" customWidth="1"/>
    <col min="14576" max="14576" width="8.7109375" style="232"/>
    <col min="14577" max="14577" width="18.140625" style="232" customWidth="1"/>
    <col min="14578" max="14578" width="20.7109375" style="232" bestFit="1" customWidth="1"/>
    <col min="14579" max="14579" width="17" style="232" bestFit="1" customWidth="1"/>
    <col min="14580" max="14580" width="17.140625" style="232" bestFit="1" customWidth="1"/>
    <col min="14581" max="14581" width="16.140625" style="232" bestFit="1" customWidth="1"/>
    <col min="14582" max="14582" width="15" style="232" bestFit="1" customWidth="1"/>
    <col min="14583" max="14583" width="20.140625" style="232" bestFit="1" customWidth="1"/>
    <col min="14584" max="14584" width="13.28515625" style="232" bestFit="1" customWidth="1"/>
    <col min="14585" max="14585" width="16.140625" style="232" bestFit="1" customWidth="1"/>
    <col min="14586" max="14829" width="8.7109375" style="232"/>
    <col min="14830" max="14831" width="21.7109375" style="232" customWidth="1"/>
    <col min="14832" max="14832" width="8.7109375" style="232"/>
    <col min="14833" max="14833" width="18.140625" style="232" customWidth="1"/>
    <col min="14834" max="14834" width="20.7109375" style="232" bestFit="1" customWidth="1"/>
    <col min="14835" max="14835" width="17" style="232" bestFit="1" customWidth="1"/>
    <col min="14836" max="14836" width="17.140625" style="232" bestFit="1" customWidth="1"/>
    <col min="14837" max="14837" width="16.140625" style="232" bestFit="1" customWidth="1"/>
    <col min="14838" max="14838" width="15" style="232" bestFit="1" customWidth="1"/>
    <col min="14839" max="14839" width="20.140625" style="232" bestFit="1" customWidth="1"/>
    <col min="14840" max="14840" width="13.28515625" style="232" bestFit="1" customWidth="1"/>
    <col min="14841" max="14841" width="16.140625" style="232" bestFit="1" customWidth="1"/>
    <col min="14842" max="15085" width="8.7109375" style="232"/>
    <col min="15086" max="15087" width="21.7109375" style="232" customWidth="1"/>
    <col min="15088" max="15088" width="8.7109375" style="232"/>
    <col min="15089" max="15089" width="18.140625" style="232" customWidth="1"/>
    <col min="15090" max="15090" width="20.7109375" style="232" bestFit="1" customWidth="1"/>
    <col min="15091" max="15091" width="17" style="232" bestFit="1" customWidth="1"/>
    <col min="15092" max="15092" width="17.140625" style="232" bestFit="1" customWidth="1"/>
    <col min="15093" max="15093" width="16.140625" style="232" bestFit="1" customWidth="1"/>
    <col min="15094" max="15094" width="15" style="232" bestFit="1" customWidth="1"/>
    <col min="15095" max="15095" width="20.140625" style="232" bestFit="1" customWidth="1"/>
    <col min="15096" max="15096" width="13.28515625" style="232" bestFit="1" customWidth="1"/>
    <col min="15097" max="15097" width="16.140625" style="232" bestFit="1" customWidth="1"/>
    <col min="15098" max="15341" width="8.7109375" style="232"/>
    <col min="15342" max="15343" width="21.7109375" style="232" customWidth="1"/>
    <col min="15344" max="15344" width="8.7109375" style="232"/>
    <col min="15345" max="15345" width="18.140625" style="232" customWidth="1"/>
    <col min="15346" max="15346" width="20.7109375" style="232" bestFit="1" customWidth="1"/>
    <col min="15347" max="15347" width="17" style="232" bestFit="1" customWidth="1"/>
    <col min="15348" max="15348" width="17.140625" style="232" bestFit="1" customWidth="1"/>
    <col min="15349" max="15349" width="16.140625" style="232" bestFit="1" customWidth="1"/>
    <col min="15350" max="15350" width="15" style="232" bestFit="1" customWidth="1"/>
    <col min="15351" max="15351" width="20.140625" style="232" bestFit="1" customWidth="1"/>
    <col min="15352" max="15352" width="13.28515625" style="232" bestFit="1" customWidth="1"/>
    <col min="15353" max="15353" width="16.140625" style="232" bestFit="1" customWidth="1"/>
    <col min="15354" max="15597" width="8.7109375" style="232"/>
    <col min="15598" max="15599" width="21.7109375" style="232" customWidth="1"/>
    <col min="15600" max="15600" width="8.7109375" style="232"/>
    <col min="15601" max="15601" width="18.140625" style="232" customWidth="1"/>
    <col min="15602" max="15602" width="20.7109375" style="232" bestFit="1" customWidth="1"/>
    <col min="15603" max="15603" width="17" style="232" bestFit="1" customWidth="1"/>
    <col min="15604" max="15604" width="17.140625" style="232" bestFit="1" customWidth="1"/>
    <col min="15605" max="15605" width="16.140625" style="232" bestFit="1" customWidth="1"/>
    <col min="15606" max="15606" width="15" style="232" bestFit="1" customWidth="1"/>
    <col min="15607" max="15607" width="20.140625" style="232" bestFit="1" customWidth="1"/>
    <col min="15608" max="15608" width="13.28515625" style="232" bestFit="1" customWidth="1"/>
    <col min="15609" max="15609" width="16.140625" style="232" bestFit="1" customWidth="1"/>
    <col min="15610" max="15853" width="8.7109375" style="232"/>
    <col min="15854" max="15855" width="21.7109375" style="232" customWidth="1"/>
    <col min="15856" max="15856" width="8.7109375" style="232"/>
    <col min="15857" max="15857" width="18.140625" style="232" customWidth="1"/>
    <col min="15858" max="15858" width="20.7109375" style="232" bestFit="1" customWidth="1"/>
    <col min="15859" max="15859" width="17" style="232" bestFit="1" customWidth="1"/>
    <col min="15860" max="15860" width="17.140625" style="232" bestFit="1" customWidth="1"/>
    <col min="15861" max="15861" width="16.140625" style="232" bestFit="1" customWidth="1"/>
    <col min="15862" max="15862" width="15" style="232" bestFit="1" customWidth="1"/>
    <col min="15863" max="15863" width="20.140625" style="232" bestFit="1" customWidth="1"/>
    <col min="15864" max="15864" width="13.28515625" style="232" bestFit="1" customWidth="1"/>
    <col min="15865" max="15865" width="16.140625" style="232" bestFit="1" customWidth="1"/>
    <col min="15866" max="16109" width="8.7109375" style="232"/>
    <col min="16110" max="16111" width="21.7109375" style="232" customWidth="1"/>
    <col min="16112" max="16112" width="8.7109375" style="232"/>
    <col min="16113" max="16113" width="18.140625" style="232" customWidth="1"/>
    <col min="16114" max="16114" width="20.7109375" style="232" bestFit="1" customWidth="1"/>
    <col min="16115" max="16115" width="17" style="232" bestFit="1" customWidth="1"/>
    <col min="16116" max="16116" width="17.140625" style="232" bestFit="1" customWidth="1"/>
    <col min="16117" max="16117" width="16.140625" style="232" bestFit="1" customWidth="1"/>
    <col min="16118" max="16118" width="15" style="232" bestFit="1" customWidth="1"/>
    <col min="16119" max="16119" width="20.140625" style="232" bestFit="1" customWidth="1"/>
    <col min="16120" max="16120" width="13.28515625" style="232" bestFit="1" customWidth="1"/>
    <col min="16121" max="16121" width="16.140625" style="232" bestFit="1" customWidth="1"/>
    <col min="16122" max="16384" width="8.7109375" style="232"/>
  </cols>
  <sheetData>
    <row r="1" spans="1:6" ht="18.75" x14ac:dyDescent="0.25">
      <c r="A1" s="38" t="s">
        <v>318</v>
      </c>
      <c r="C1"/>
    </row>
    <row r="2" spans="1:6" ht="12.4" customHeight="1" x14ac:dyDescent="0.25">
      <c r="A2" s="31"/>
      <c r="B2" s="31"/>
    </row>
    <row r="3" spans="1:6" ht="13.5" x14ac:dyDescent="0.25">
      <c r="A3" s="31"/>
      <c r="C3" s="31"/>
    </row>
    <row r="4" spans="1:6" ht="15" x14ac:dyDescent="0.25">
      <c r="A4" s="233" t="s">
        <v>172</v>
      </c>
      <c r="C4" s="31"/>
    </row>
    <row r="5" spans="1:6" ht="13.5" x14ac:dyDescent="0.25">
      <c r="A5" s="31"/>
      <c r="C5" s="31"/>
    </row>
    <row r="6" spans="1:6" ht="15" x14ac:dyDescent="0.25">
      <c r="A6" s="234" t="s">
        <v>167</v>
      </c>
      <c r="D6" s="235">
        <f ca="1">'S&amp;U Timing'!D10</f>
        <v>26629503.686842505</v>
      </c>
    </row>
    <row r="7" spans="1:6" ht="15" x14ac:dyDescent="0.25">
      <c r="A7" s="236" t="s">
        <v>168</v>
      </c>
      <c r="B7" s="237"/>
      <c r="C7" s="238"/>
      <c r="D7" s="239">
        <f ca="1">+D6/'Sources &amp; Uses'!I78</f>
        <v>0.52370769478550039</v>
      </c>
    </row>
    <row r="8" spans="1:6" ht="13.5" x14ac:dyDescent="0.25">
      <c r="A8" s="240"/>
      <c r="C8" s="31"/>
    </row>
    <row r="9" spans="1:6" ht="15" x14ac:dyDescent="0.25">
      <c r="A9" s="234" t="s">
        <v>153</v>
      </c>
      <c r="C9" s="31"/>
    </row>
    <row r="10" spans="1:6" ht="3.4" customHeight="1" x14ac:dyDescent="0.25">
      <c r="A10" s="240"/>
      <c r="C10" s="31"/>
    </row>
    <row r="11" spans="1:6" ht="15" x14ac:dyDescent="0.25">
      <c r="A11" s="241" t="s">
        <v>148</v>
      </c>
      <c r="B11" s="237"/>
      <c r="C11" s="355">
        <v>0.06</v>
      </c>
      <c r="D11" s="242"/>
      <c r="E11" s="237"/>
      <c r="F11" s="237"/>
    </row>
    <row r="12" spans="1:6" ht="15" x14ac:dyDescent="0.25">
      <c r="A12" s="241" t="s">
        <v>158</v>
      </c>
      <c r="C12" s="355">
        <v>5.0000000000000001E-3</v>
      </c>
      <c r="D12" s="243">
        <f ca="1">+C12*D6</f>
        <v>133147.51843421251</v>
      </c>
    </row>
    <row r="13" spans="1:6" ht="15" x14ac:dyDescent="0.25">
      <c r="A13" s="241" t="s">
        <v>34</v>
      </c>
      <c r="C13" s="244">
        <f ca="1">+D13/D6</f>
        <v>1.6898550017751272E-3</v>
      </c>
      <c r="D13" s="356">
        <v>45000</v>
      </c>
      <c r="F13" s="245"/>
    </row>
    <row r="14" spans="1:6" ht="15" x14ac:dyDescent="0.25">
      <c r="A14" s="241" t="s">
        <v>159</v>
      </c>
      <c r="C14" s="244">
        <f ca="1">+D14/D6</f>
        <v>3.7552333372780608E-4</v>
      </c>
      <c r="D14" s="356">
        <v>10000</v>
      </c>
    </row>
    <row r="15" spans="1:6" ht="15" x14ac:dyDescent="0.25">
      <c r="A15" s="241"/>
      <c r="B15" s="237"/>
      <c r="C15" s="357"/>
      <c r="D15" s="237"/>
      <c r="E15" s="237"/>
      <c r="F15" s="237"/>
    </row>
    <row r="16" spans="1:6" ht="15" x14ac:dyDescent="0.25">
      <c r="A16" s="234" t="s">
        <v>0</v>
      </c>
      <c r="C16" s="31"/>
    </row>
    <row r="17" spans="1:6" ht="3.4" customHeight="1" x14ac:dyDescent="0.25">
      <c r="A17" s="240"/>
      <c r="C17" s="31"/>
    </row>
    <row r="18" spans="1:6" ht="15" x14ac:dyDescent="0.25">
      <c r="A18" s="241" t="s">
        <v>148</v>
      </c>
      <c r="B18" s="237"/>
      <c r="C18" s="355">
        <v>0.06</v>
      </c>
      <c r="D18" s="242"/>
      <c r="E18" s="237"/>
      <c r="F18" s="237"/>
    </row>
    <row r="19" spans="1:6" ht="15" x14ac:dyDescent="0.25">
      <c r="A19" s="241" t="s">
        <v>158</v>
      </c>
      <c r="C19" s="355">
        <v>0.01</v>
      </c>
      <c r="D19" s="243">
        <f>+C19*D13</f>
        <v>450</v>
      </c>
    </row>
    <row r="20" spans="1:6" ht="15" x14ac:dyDescent="0.25">
      <c r="A20" s="241" t="s">
        <v>34</v>
      </c>
      <c r="C20" s="244">
        <f ca="1">D20/'S&amp;U Timing'!D16</f>
        <v>3.084999650355664E-3</v>
      </c>
      <c r="D20" s="356">
        <v>45000</v>
      </c>
      <c r="F20" s="245"/>
    </row>
    <row r="21" spans="1:6" ht="15" x14ac:dyDescent="0.25">
      <c r="A21" s="241" t="s">
        <v>159</v>
      </c>
      <c r="C21" s="244">
        <f ca="1">D21/'S&amp;U Timing'!D16</f>
        <v>6.8555547785681425E-4</v>
      </c>
      <c r="D21" s="356">
        <v>10000</v>
      </c>
    </row>
    <row r="22" spans="1:6" ht="15" x14ac:dyDescent="0.25">
      <c r="A22" s="241"/>
      <c r="B22" s="237"/>
      <c r="C22" s="357"/>
      <c r="D22" s="237"/>
      <c r="E22" s="237"/>
      <c r="F22" s="237"/>
    </row>
    <row r="23" spans="1:6" ht="15" x14ac:dyDescent="0.25">
      <c r="A23" s="234" t="s">
        <v>156</v>
      </c>
      <c r="C23" s="31"/>
    </row>
    <row r="24" spans="1:6" ht="3.4" customHeight="1" x14ac:dyDescent="0.25">
      <c r="A24" s="240"/>
      <c r="C24" s="31"/>
    </row>
    <row r="25" spans="1:6" ht="15" customHeight="1" x14ac:dyDescent="0.25">
      <c r="A25" s="241" t="s">
        <v>332</v>
      </c>
      <c r="C25" s="245">
        <f>+'NOI Calc'!J29+('Expense Detail'!F61-'Expense Detail'!F60)</f>
        <v>1979252.1240000001</v>
      </c>
    </row>
    <row r="26" spans="1:6" ht="15" customHeight="1" x14ac:dyDescent="0.25">
      <c r="A26" s="241" t="s">
        <v>333</v>
      </c>
      <c r="C26" s="358">
        <v>1.1499999999999999</v>
      </c>
    </row>
    <row r="27" spans="1:6" ht="15" customHeight="1" x14ac:dyDescent="0.25">
      <c r="A27" s="241" t="s">
        <v>317</v>
      </c>
      <c r="C27" s="244">
        <f>-PMT(C28/12,C29*12,1)*12</f>
        <v>6.1892433758853047E-2</v>
      </c>
      <c r="D27" s="358"/>
    </row>
    <row r="28" spans="1:6" ht="15" x14ac:dyDescent="0.25">
      <c r="A28" s="241" t="s">
        <v>157</v>
      </c>
      <c r="B28" s="237"/>
      <c r="C28" s="355">
        <v>5.5E-2</v>
      </c>
      <c r="D28" s="237"/>
      <c r="E28" s="237"/>
      <c r="F28" s="237"/>
    </row>
    <row r="29" spans="1:6" ht="15" x14ac:dyDescent="0.25">
      <c r="A29" s="241" t="s">
        <v>146</v>
      </c>
      <c r="B29" s="237"/>
      <c r="C29" s="359">
        <v>40</v>
      </c>
      <c r="E29" s="237"/>
      <c r="F29" s="237"/>
    </row>
    <row r="30" spans="1:6" ht="15" x14ac:dyDescent="0.25">
      <c r="A30" s="246" t="s">
        <v>147</v>
      </c>
      <c r="C30" s="360">
        <v>2E-3</v>
      </c>
      <c r="E30" s="237"/>
      <c r="F30" s="237"/>
    </row>
    <row r="31" spans="1:6" ht="15" x14ac:dyDescent="0.25">
      <c r="A31" s="246" t="s">
        <v>149</v>
      </c>
      <c r="C31" s="361">
        <v>5000</v>
      </c>
      <c r="E31" s="237"/>
      <c r="F31" s="237"/>
    </row>
    <row r="32" spans="1:6" ht="15" x14ac:dyDescent="0.25">
      <c r="A32" s="246" t="s">
        <v>115</v>
      </c>
      <c r="C32" s="360">
        <v>1E-3</v>
      </c>
      <c r="E32" s="237"/>
      <c r="F32" s="237"/>
    </row>
    <row r="33" spans="1:6" ht="15" x14ac:dyDescent="0.25">
      <c r="A33" s="241" t="s">
        <v>158</v>
      </c>
      <c r="C33" s="355">
        <v>0.01</v>
      </c>
      <c r="D33" s="243">
        <f ca="1">+C33*D6</f>
        <v>266295.03686842503</v>
      </c>
    </row>
    <row r="34" spans="1:6" ht="15" x14ac:dyDescent="0.25">
      <c r="A34" s="241" t="s">
        <v>33</v>
      </c>
      <c r="C34" s="355">
        <v>2.5000000000000001E-3</v>
      </c>
      <c r="D34" s="243">
        <f ca="1">+C34*D6</f>
        <v>66573.759217106257</v>
      </c>
    </row>
    <row r="35" spans="1:6" ht="15" x14ac:dyDescent="0.25">
      <c r="A35" s="241" t="s">
        <v>34</v>
      </c>
      <c r="C35" s="247">
        <f ca="1">+D35/D6</f>
        <v>1.6898550017751272E-3</v>
      </c>
      <c r="D35" s="356">
        <v>45000</v>
      </c>
    </row>
    <row r="36" spans="1:6" ht="15" x14ac:dyDescent="0.25">
      <c r="A36" s="248" t="s">
        <v>336</v>
      </c>
      <c r="B36" s="237"/>
      <c r="C36" s="237">
        <f>C25/(C26*C27)</f>
        <v>27807741.576038413</v>
      </c>
      <c r="D36" s="237"/>
      <c r="E36" s="237"/>
      <c r="F36" s="237"/>
    </row>
    <row r="37" spans="1:6" ht="15" x14ac:dyDescent="0.25">
      <c r="A37" s="234" t="s">
        <v>160</v>
      </c>
      <c r="C37" s="31"/>
    </row>
    <row r="38" spans="1:6" ht="3.4" customHeight="1" x14ac:dyDescent="0.25">
      <c r="A38" s="240"/>
      <c r="C38" s="31"/>
    </row>
    <row r="39" spans="1:6" ht="15" x14ac:dyDescent="0.25">
      <c r="A39" s="241" t="s">
        <v>161</v>
      </c>
      <c r="C39" s="244">
        <f ca="1">+D39/$D$6</f>
        <v>1.6898550017751272E-3</v>
      </c>
      <c r="D39" s="356">
        <v>45000</v>
      </c>
    </row>
    <row r="40" spans="1:6" ht="15" x14ac:dyDescent="0.25">
      <c r="A40" s="241" t="s">
        <v>162</v>
      </c>
      <c r="C40" s="244">
        <f ca="1">+D40/$D$6</f>
        <v>1.3143316680473212E-3</v>
      </c>
      <c r="D40" s="356">
        <v>35000</v>
      </c>
    </row>
    <row r="41" spans="1:6" ht="15" x14ac:dyDescent="0.25">
      <c r="A41" s="241" t="s">
        <v>163</v>
      </c>
      <c r="C41" s="244">
        <f ca="1">+D41/$D$6</f>
        <v>4.6940416715975759E-4</v>
      </c>
      <c r="D41" s="356">
        <v>12500</v>
      </c>
    </row>
    <row r="42" spans="1:6" ht="15" x14ac:dyDescent="0.25">
      <c r="A42" s="241" t="s">
        <v>164</v>
      </c>
      <c r="B42" s="237"/>
      <c r="C42" s="360">
        <v>4.1999999999999997E-3</v>
      </c>
      <c r="D42" s="249">
        <f ca="1">+C42*D6</f>
        <v>111843.91548473851</v>
      </c>
      <c r="E42" s="237"/>
      <c r="F42" s="237"/>
    </row>
    <row r="43" spans="1:6" ht="15" x14ac:dyDescent="0.25">
      <c r="A43" s="241" t="s">
        <v>165</v>
      </c>
      <c r="B43" s="237"/>
      <c r="C43" s="244">
        <f ca="1">+D43/$D$6</f>
        <v>1.3143316680473212E-3</v>
      </c>
      <c r="D43" s="356">
        <v>35000</v>
      </c>
      <c r="E43" s="237"/>
      <c r="F43" s="237"/>
    </row>
    <row r="44" spans="1:6" ht="15" x14ac:dyDescent="0.25">
      <c r="A44" s="250" t="s">
        <v>166</v>
      </c>
      <c r="B44" s="237"/>
      <c r="D44" s="251">
        <f ca="1">+SUM(C39:C43)</f>
        <v>8.9879225050295258E-3</v>
      </c>
      <c r="E44" s="237"/>
      <c r="F44" s="237"/>
    </row>
    <row r="45" spans="1:6" ht="15" x14ac:dyDescent="0.25">
      <c r="A45" s="248"/>
      <c r="B45" s="237"/>
      <c r="C45" s="237"/>
      <c r="D45" s="237"/>
      <c r="E45" s="237"/>
      <c r="F45" s="237"/>
    </row>
    <row r="46" spans="1:6" ht="15" x14ac:dyDescent="0.25">
      <c r="A46" s="234" t="s">
        <v>169</v>
      </c>
      <c r="C46" s="31"/>
    </row>
    <row r="47" spans="1:6" ht="3.4" customHeight="1" x14ac:dyDescent="0.25">
      <c r="A47" s="240"/>
      <c r="C47" s="31"/>
    </row>
    <row r="48" spans="1:6" ht="15" x14ac:dyDescent="0.25">
      <c r="A48" s="241" t="s">
        <v>34</v>
      </c>
      <c r="D48" s="356">
        <v>45000</v>
      </c>
    </row>
    <row r="49" spans="1:12" ht="15" x14ac:dyDescent="0.25">
      <c r="A49" s="241" t="s">
        <v>266</v>
      </c>
      <c r="D49" s="356">
        <v>50000</v>
      </c>
    </row>
    <row r="50" spans="1:12" ht="15" x14ac:dyDescent="0.25">
      <c r="A50" s="248"/>
      <c r="B50" s="237"/>
      <c r="C50" s="237"/>
      <c r="D50" s="237"/>
      <c r="E50" s="237"/>
      <c r="F50" s="237"/>
    </row>
    <row r="51" spans="1:12" ht="15" x14ac:dyDescent="0.25">
      <c r="A51" s="248" t="s">
        <v>171</v>
      </c>
      <c r="B51" s="237"/>
      <c r="C51" s="237"/>
      <c r="D51" s="356">
        <v>25000</v>
      </c>
      <c r="E51" s="237"/>
      <c r="F51" s="237"/>
    </row>
    <row r="52" spans="1:12" ht="15" x14ac:dyDescent="0.25">
      <c r="A52" s="248"/>
      <c r="B52" s="237"/>
      <c r="C52" s="237"/>
      <c r="D52" s="356"/>
      <c r="E52" s="237"/>
      <c r="F52" s="237"/>
    </row>
    <row r="53" spans="1:12" ht="15" x14ac:dyDescent="0.25">
      <c r="A53" s="234" t="s">
        <v>170</v>
      </c>
      <c r="B53" s="252"/>
      <c r="C53" s="253"/>
      <c r="D53" s="254">
        <f ca="1">++SUM(D12:D43,D48:D52)</f>
        <v>980810.23000448232</v>
      </c>
      <c r="E53" s="237"/>
      <c r="F53" s="237"/>
    </row>
    <row r="54" spans="1:12" x14ac:dyDescent="0.2">
      <c r="K54" s="255"/>
      <c r="L54" s="255"/>
    </row>
  </sheetData>
  <phoneticPr fontId="17" type="noConversion"/>
  <pageMargins left="0.7" right="0.7" top="0.75" bottom="0.75" header="0.3" footer="0.3"/>
  <pageSetup scale="43" orientation="portrait" r:id="rId1"/>
  <headerFooter>
    <oddFooter>&amp;C*Confidential*
Subject to Change&amp;R&amp;G</oddFooter>
  </headerFooter>
  <legacyDrawing r:id="rId2"/>
  <legacyDrawingHF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ABF24-509B-4910-9DE1-5E77CDDD55A9}">
  <dimension ref="A1:R22"/>
  <sheetViews>
    <sheetView zoomScale="80" zoomScaleNormal="80" workbookViewId="0">
      <selection activeCell="M38" sqref="M38"/>
    </sheetView>
  </sheetViews>
  <sheetFormatPr defaultRowHeight="15" x14ac:dyDescent="0.25"/>
  <cols>
    <col min="1" max="1" width="33.42578125" customWidth="1"/>
    <col min="2" max="18" width="13" customWidth="1"/>
  </cols>
  <sheetData>
    <row r="1" spans="1:18" ht="18.75" x14ac:dyDescent="0.3">
      <c r="A1" s="13" t="s">
        <v>768</v>
      </c>
    </row>
    <row r="2" spans="1:18" x14ac:dyDescent="0.25">
      <c r="A2" s="31" t="s">
        <v>769</v>
      </c>
    </row>
    <row r="4" spans="1:18" x14ac:dyDescent="0.25">
      <c r="B4" s="256" t="str">
        <f>'17-year Pro Forma'!D4</f>
        <v>Yr 1</v>
      </c>
      <c r="C4" s="256" t="str">
        <f>'17-year Pro Forma'!E4</f>
        <v>Yr 2</v>
      </c>
      <c r="D4" s="256" t="str">
        <f>'17-year Pro Forma'!F4</f>
        <v>Yr 3</v>
      </c>
      <c r="E4" s="256" t="str">
        <f>'17-year Pro Forma'!G4</f>
        <v>Yr 4</v>
      </c>
      <c r="F4" s="256" t="str">
        <f>'17-year Pro Forma'!H4</f>
        <v>Yr 5</v>
      </c>
      <c r="G4" s="256" t="str">
        <f>'17-year Pro Forma'!I4</f>
        <v>Yr 6</v>
      </c>
      <c r="H4" s="256" t="str">
        <f>'17-year Pro Forma'!J4</f>
        <v>Yr 7</v>
      </c>
      <c r="I4" s="256" t="str">
        <f>'17-year Pro Forma'!K4</f>
        <v>Yr 8</v>
      </c>
      <c r="J4" s="256" t="str">
        <f>'17-year Pro Forma'!L4</f>
        <v>Yr 9</v>
      </c>
      <c r="K4" s="256" t="str">
        <f>'17-year Pro Forma'!M4</f>
        <v>Yr 10</v>
      </c>
      <c r="L4" s="256" t="str">
        <f>'17-year Pro Forma'!N4</f>
        <v>Yr 11</v>
      </c>
      <c r="M4" s="256" t="str">
        <f>'17-year Pro Forma'!O4</f>
        <v>Yr 12</v>
      </c>
      <c r="N4" s="256" t="str">
        <f>'17-year Pro Forma'!P4</f>
        <v>Yr 13</v>
      </c>
      <c r="O4" s="256" t="str">
        <f>'17-year Pro Forma'!Q4</f>
        <v>Yr 14</v>
      </c>
      <c r="P4" s="256" t="str">
        <f>'17-year Pro Forma'!R4</f>
        <v>Yr 15</v>
      </c>
      <c r="Q4" s="256" t="str">
        <f>'17-year Pro Forma'!S4</f>
        <v>Yr 16</v>
      </c>
      <c r="R4" s="256" t="str">
        <f>'17-year Pro Forma'!T4</f>
        <v>Yr 17</v>
      </c>
    </row>
    <row r="5" spans="1:18" ht="7.5" customHeight="1" x14ac:dyDescent="0.25"/>
    <row r="6" spans="1:18" x14ac:dyDescent="0.25">
      <c r="A6" t="s">
        <v>44</v>
      </c>
      <c r="B6" s="72">
        <f>'17-year Pro Forma'!D26</f>
        <v>1057018.4472857143</v>
      </c>
      <c r="C6" s="72">
        <f>'17-year Pro Forma'!E26</f>
        <v>2008525.80648</v>
      </c>
      <c r="D6" s="72">
        <f>'17-year Pro Forma'!F26</f>
        <v>2038045.6218095997</v>
      </c>
      <c r="E6" s="72">
        <f>'17-year Pro Forma'!G26</f>
        <v>2067806.3124217917</v>
      </c>
      <c r="F6" s="72">
        <f>'17-year Pro Forma'!H26</f>
        <v>2097802.2101915074</v>
      </c>
      <c r="G6" s="72">
        <f>'17-year Pro Forma'!I26</f>
        <v>2128027.2190622562</v>
      </c>
      <c r="H6" s="72">
        <f>'17-year Pro Forma'!J26</f>
        <v>2158474.7970504272</v>
      </c>
      <c r="I6" s="72">
        <f>'17-year Pro Forma'!K26</f>
        <v>2189137.9376065694</v>
      </c>
      <c r="J6" s="72">
        <f>'17-year Pro Forma'!L26</f>
        <v>2220009.1503122887</v>
      </c>
      <c r="K6" s="72">
        <f>'17-year Pro Forma'!M26</f>
        <v>2251080.4408907294</v>
      </c>
      <c r="L6" s="72">
        <f>'17-year Pro Forma'!N26</f>
        <v>2282343.2905079052</v>
      </c>
      <c r="M6" s="72">
        <f>'17-year Pro Forma'!O26</f>
        <v>2312288.6343414052</v>
      </c>
      <c r="N6" s="72">
        <f>'17-year Pro Forma'!P26</f>
        <v>2342361.8393922751</v>
      </c>
      <c r="O6" s="72">
        <f>'17-year Pro Forma'!Q26</f>
        <v>2372551.331515085</v>
      </c>
      <c r="P6" s="72">
        <f>'17-year Pro Forma'!R26</f>
        <v>2402844.8811403988</v>
      </c>
      <c r="Q6" s="72">
        <f>'17-year Pro Forma'!S26</f>
        <v>2433229.5774480696</v>
      </c>
      <c r="R6" s="72">
        <f>'17-year Pro Forma'!T26</f>
        <v>2463691.8016424403</v>
      </c>
    </row>
    <row r="7" spans="1:18" x14ac:dyDescent="0.25">
      <c r="A7" t="s">
        <v>249</v>
      </c>
      <c r="B7" s="257">
        <f t="shared" ref="B7:R7" si="0">$B$22</f>
        <v>0.06</v>
      </c>
      <c r="C7" s="257">
        <f t="shared" si="0"/>
        <v>0.06</v>
      </c>
      <c r="D7" s="257">
        <f t="shared" si="0"/>
        <v>0.06</v>
      </c>
      <c r="E7" s="257">
        <f t="shared" si="0"/>
        <v>0.06</v>
      </c>
      <c r="F7" s="257">
        <f t="shared" si="0"/>
        <v>0.06</v>
      </c>
      <c r="G7" s="257">
        <f t="shared" si="0"/>
        <v>0.06</v>
      </c>
      <c r="H7" s="257">
        <f t="shared" si="0"/>
        <v>0.06</v>
      </c>
      <c r="I7" s="257">
        <f t="shared" si="0"/>
        <v>0.06</v>
      </c>
      <c r="J7" s="257">
        <f t="shared" si="0"/>
        <v>0.06</v>
      </c>
      <c r="K7" s="257">
        <f t="shared" si="0"/>
        <v>0.06</v>
      </c>
      <c r="L7" s="257">
        <f t="shared" si="0"/>
        <v>0.06</v>
      </c>
      <c r="M7" s="257">
        <f t="shared" si="0"/>
        <v>0.06</v>
      </c>
      <c r="N7" s="257">
        <f t="shared" si="0"/>
        <v>0.06</v>
      </c>
      <c r="O7" s="257">
        <f t="shared" si="0"/>
        <v>0.06</v>
      </c>
      <c r="P7" s="257">
        <f t="shared" si="0"/>
        <v>0.06</v>
      </c>
      <c r="Q7" s="257">
        <f t="shared" si="0"/>
        <v>0.06</v>
      </c>
      <c r="R7" s="257">
        <f t="shared" si="0"/>
        <v>0.06</v>
      </c>
    </row>
    <row r="8" spans="1:18" ht="4.5" customHeight="1" x14ac:dyDescent="0.25"/>
    <row r="9" spans="1:18" x14ac:dyDescent="0.25">
      <c r="A9" s="47" t="s">
        <v>770</v>
      </c>
      <c r="B9" s="128">
        <f t="shared" ref="B9:R9" si="1">B6/B7</f>
        <v>17616974.121428572</v>
      </c>
      <c r="C9" s="128">
        <f t="shared" si="1"/>
        <v>33475430.108000003</v>
      </c>
      <c r="D9" s="128">
        <f t="shared" si="1"/>
        <v>33967427.030159995</v>
      </c>
      <c r="E9" s="128">
        <f t="shared" si="1"/>
        <v>34463438.5403632</v>
      </c>
      <c r="F9" s="128">
        <f t="shared" si="1"/>
        <v>34963370.169858456</v>
      </c>
      <c r="G9" s="128">
        <f t="shared" si="1"/>
        <v>35467120.317704268</v>
      </c>
      <c r="H9" s="128">
        <f t="shared" si="1"/>
        <v>35974579.950840451</v>
      </c>
      <c r="I9" s="128">
        <f t="shared" si="1"/>
        <v>36485632.293442823</v>
      </c>
      <c r="J9" s="128">
        <f t="shared" si="1"/>
        <v>37000152.505204812</v>
      </c>
      <c r="K9" s="128">
        <f t="shared" si="1"/>
        <v>37518007.348178826</v>
      </c>
      <c r="L9" s="128">
        <f t="shared" si="1"/>
        <v>38039054.841798425</v>
      </c>
      <c r="M9" s="128">
        <f t="shared" si="1"/>
        <v>38538143.905690089</v>
      </c>
      <c r="N9" s="128">
        <f t="shared" si="1"/>
        <v>39039363.989871256</v>
      </c>
      <c r="O9" s="128">
        <f t="shared" si="1"/>
        <v>39542522.191918083</v>
      </c>
      <c r="P9" s="128">
        <f t="shared" si="1"/>
        <v>40047414.685673311</v>
      </c>
      <c r="Q9" s="128">
        <f t="shared" si="1"/>
        <v>40553826.29080116</v>
      </c>
      <c r="R9" s="128">
        <f t="shared" si="1"/>
        <v>41061530.027374007</v>
      </c>
    </row>
    <row r="10" spans="1:18" ht="7.5" customHeight="1" x14ac:dyDescent="0.25"/>
    <row r="11" spans="1:18" x14ac:dyDescent="0.25">
      <c r="A11" t="s">
        <v>771</v>
      </c>
      <c r="B11" s="72">
        <f ca="1">'Loan Amortization'!D33</f>
        <v>26629503.686842505</v>
      </c>
      <c r="C11" s="72">
        <f ca="1">'Loan Amortization'!D37</f>
        <v>26629503.686842497</v>
      </c>
      <c r="D11" s="72">
        <f ca="1">'Loan Amortization'!E37</f>
        <v>26629503.686842013</v>
      </c>
      <c r="E11" s="72">
        <f ca="1">'Loan Amortization'!F37</f>
        <v>26434566.576336522</v>
      </c>
      <c r="F11" s="72">
        <f ca="1">'Loan Amortization'!G37</f>
        <v>26228907.924756557</v>
      </c>
      <c r="G11" s="72">
        <f ca="1">'Loan Amortization'!H37</f>
        <v>26011938.047335558</v>
      </c>
      <c r="H11" s="72">
        <f ca="1">'Loan Amortization'!I37</f>
        <v>25783034.826644748</v>
      </c>
      <c r="I11" s="72">
        <f ca="1">'Loan Amortization'!J37</f>
        <v>25541541.928804107</v>
      </c>
      <c r="J11" s="72">
        <f ca="1">'Loan Amortization'!K37</f>
        <v>25286766.921583876</v>
      </c>
      <c r="K11" s="72">
        <f ca="1">'Loan Amortization'!L37</f>
        <v>25017979.288994044</v>
      </c>
      <c r="L11" s="72">
        <f ca="1">'Loan Amortization'!M37</f>
        <v>24734408.336664114</v>
      </c>
      <c r="M11" s="72">
        <f ca="1">'Loan Amortization'!N37</f>
        <v>24435240.982006151</v>
      </c>
      <c r="N11" s="72">
        <f ca="1">'Loan Amortization'!O37</f>
        <v>24119619.422837503</v>
      </c>
      <c r="O11" s="72">
        <f ca="1">'Loan Amortization'!P37</f>
        <v>23786638.677802507</v>
      </c>
      <c r="P11" s="72">
        <f ca="1">'Loan Amortization'!Q37</f>
        <v>23435343.991558574</v>
      </c>
      <c r="Q11" s="72">
        <f ca="1">'Loan Amortization'!R37</f>
        <v>23064728.097295724</v>
      </c>
      <c r="R11" s="72">
        <f ca="1">'Loan Amortization'!S37</f>
        <v>22673728.328718517</v>
      </c>
    </row>
    <row r="12" spans="1:18" x14ac:dyDescent="0.25">
      <c r="A12" t="s">
        <v>772</v>
      </c>
      <c r="B12" s="72">
        <f ca="1">'Surplus Cash-Reserve Waterfall'!B19</f>
        <v>2131813.0761794765</v>
      </c>
      <c r="C12" s="72">
        <f ca="1">'Surplus Cash-Reserve Waterfall'!C19</f>
        <v>1856968.793906763</v>
      </c>
      <c r="D12" s="72">
        <f ca="1">'Surplus Cash-Reserve Waterfall'!D19</f>
        <v>1559450.0778384134</v>
      </c>
      <c r="E12" s="72">
        <f ca="1">'Surplus Cash-Reserve Waterfall'!E19</f>
        <v>1414600.3416787973</v>
      </c>
      <c r="F12" s="72">
        <f ca="1">'Surplus Cash-Reserve Waterfall'!F19</f>
        <v>1246299.9942546566</v>
      </c>
      <c r="G12" s="72">
        <f ca="1">'Surplus Cash-Reserve Waterfall'!G19</f>
        <v>1054434.5861935641</v>
      </c>
      <c r="H12" s="72">
        <f ca="1">'Surplus Cash-Reserve Waterfall'!H19</f>
        <v>838897.5043117695</v>
      </c>
      <c r="I12" s="72">
        <f ca="1">'Surplus Cash-Reserve Waterfall'!I19</f>
        <v>599590.403949267</v>
      </c>
      <c r="J12" s="72">
        <f ca="1">'Surplus Cash-Reserve Waterfall'!J19</f>
        <v>336423.65667155746</v>
      </c>
      <c r="K12" s="72">
        <f ca="1">'Surplus Cash-Reserve Waterfall'!K19</f>
        <v>49316.813761757629</v>
      </c>
      <c r="L12" s="72">
        <f ca="1">'Surplus Cash-Reserve Waterfall'!L19</f>
        <v>-2.3033935576677322E-6</v>
      </c>
      <c r="M12" s="72">
        <f ca="1">'Surplus Cash-Reserve Waterfall'!M19</f>
        <v>-1.1418887879699469E-5</v>
      </c>
      <c r="N12" s="72">
        <f ca="1">'Surplus Cash-Reserve Waterfall'!N19</f>
        <v>-1.2377742677927017E-5</v>
      </c>
      <c r="O12" s="72">
        <f ca="1">'Surplus Cash-Reserve Waterfall'!O19</f>
        <v>-2.8955982998013496E-6</v>
      </c>
      <c r="P12" s="72">
        <f ca="1">'Surplus Cash-Reserve Waterfall'!P19</f>
        <v>9.546580258756876E-6</v>
      </c>
      <c r="Q12" s="72">
        <f ca="1">'Surplus Cash-Reserve Waterfall'!Q19</f>
        <v>1.2722157407552004E-5</v>
      </c>
      <c r="R12" s="72">
        <f ca="1">'Surplus Cash-Reserve Waterfall'!R19</f>
        <v>7.2448165155947208E-6</v>
      </c>
    </row>
    <row r="13" spans="1:18" x14ac:dyDescent="0.25">
      <c r="A13" t="s">
        <v>773</v>
      </c>
      <c r="B13" s="258">
        <f ca="1">'Surplus Cash-Reserve Waterfall'!B25</f>
        <v>7500000</v>
      </c>
      <c r="C13" s="258">
        <f ca="1">'Surplus Cash-Reserve Waterfall'!C25</f>
        <v>7500000</v>
      </c>
      <c r="D13" s="258">
        <f ca="1">'Surplus Cash-Reserve Waterfall'!D25</f>
        <v>7500000</v>
      </c>
      <c r="E13" s="258">
        <f ca="1">'Surplus Cash-Reserve Waterfall'!E25</f>
        <v>7500000</v>
      </c>
      <c r="F13" s="258">
        <f ca="1">'Surplus Cash-Reserve Waterfall'!F25</f>
        <v>7500000</v>
      </c>
      <c r="G13" s="258">
        <f ca="1">'Surplus Cash-Reserve Waterfall'!G25</f>
        <v>7500000</v>
      </c>
      <c r="H13" s="258">
        <f ca="1">'Surplus Cash-Reserve Waterfall'!H25</f>
        <v>7500000</v>
      </c>
      <c r="I13" s="258">
        <f ca="1">'Surplus Cash-Reserve Waterfall'!I25</f>
        <v>7500000</v>
      </c>
      <c r="J13" s="258">
        <f ca="1">'Surplus Cash-Reserve Waterfall'!J25</f>
        <v>7500000</v>
      </c>
      <c r="K13" s="258">
        <f ca="1">'Surplus Cash-Reserve Waterfall'!K25</f>
        <v>7500000</v>
      </c>
      <c r="L13" s="258">
        <f ca="1">'Surplus Cash-Reserve Waterfall'!L25</f>
        <v>7238199.0859367913</v>
      </c>
      <c r="M13" s="258">
        <f ca="1">'Surplus Cash-Reserve Waterfall'!M25</f>
        <v>6904359.8397220848</v>
      </c>
      <c r="N13" s="258">
        <f ca="1">'Surplus Cash-Reserve Waterfall'!N25</f>
        <v>6547789.6109115323</v>
      </c>
      <c r="O13" s="258">
        <f ca="1">'Surplus Cash-Reserve Waterfall'!O25</f>
        <v>6168491.3506409191</v>
      </c>
      <c r="P13" s="258">
        <f ca="1">'Surplus Cash-Reserve Waterfall'!P25</f>
        <v>5766481.0108943563</v>
      </c>
      <c r="Q13" s="258">
        <f ca="1">'Surplus Cash-Reserve Waterfall'!Q25</f>
        <v>5341788.1495822221</v>
      </c>
      <c r="R13" s="258">
        <f ca="1">'Surplus Cash-Reserve Waterfall'!R25</f>
        <v>4894456.5556802619</v>
      </c>
    </row>
    <row r="14" spans="1:18" ht="4.5" customHeight="1" x14ac:dyDescent="0.25"/>
    <row r="15" spans="1:18" x14ac:dyDescent="0.25">
      <c r="A15" s="47" t="s">
        <v>774</v>
      </c>
      <c r="B15" s="128">
        <f t="shared" ref="B15:R15" ca="1" si="2">B9-SUM(B11:B13)</f>
        <v>-18644342.641593412</v>
      </c>
      <c r="C15" s="128">
        <f t="shared" ca="1" si="2"/>
        <v>-2511042.3727492616</v>
      </c>
      <c r="D15" s="128">
        <f t="shared" ca="1" si="2"/>
        <v>-1721526.7345204353</v>
      </c>
      <c r="E15" s="128">
        <f t="shared" ca="1" si="2"/>
        <v>-885728.37765211612</v>
      </c>
      <c r="F15" s="128">
        <f t="shared" ca="1" si="2"/>
        <v>-11837.749152757227</v>
      </c>
      <c r="G15" s="128">
        <f t="shared" ca="1" si="2"/>
        <v>900747.68417514116</v>
      </c>
      <c r="H15" s="128">
        <f t="shared" ca="1" si="2"/>
        <v>1852647.6198839322</v>
      </c>
      <c r="I15" s="128">
        <f t="shared" ca="1" si="2"/>
        <v>2844499.9606894478</v>
      </c>
      <c r="J15" s="128">
        <f t="shared" ca="1" si="2"/>
        <v>3876961.9269493781</v>
      </c>
      <c r="K15" s="128">
        <f t="shared" ca="1" si="2"/>
        <v>4950711.2454230264</v>
      </c>
      <c r="L15" s="128">
        <f t="shared" ca="1" si="2"/>
        <v>6066447.4191998206</v>
      </c>
      <c r="M15" s="128">
        <f t="shared" ca="1" si="2"/>
        <v>7198543.0839732699</v>
      </c>
      <c r="N15" s="128">
        <f t="shared" ca="1" si="2"/>
        <v>8371954.9561345987</v>
      </c>
      <c r="O15" s="128">
        <f t="shared" ca="1" si="2"/>
        <v>9587392.1634775512</v>
      </c>
      <c r="P15" s="128">
        <f t="shared" ca="1" si="2"/>
        <v>10845589.683210835</v>
      </c>
      <c r="Q15" s="128">
        <f t="shared" ca="1" si="2"/>
        <v>12147310.043910492</v>
      </c>
      <c r="R15" s="128">
        <f t="shared" ca="1" si="2"/>
        <v>13493345.142967984</v>
      </c>
    </row>
    <row r="16" spans="1:18" x14ac:dyDescent="0.25">
      <c r="A16" s="47"/>
      <c r="B16" s="128"/>
      <c r="C16" s="128"/>
      <c r="D16" s="128"/>
      <c r="E16" s="128"/>
      <c r="F16" s="128"/>
      <c r="G16" s="128"/>
      <c r="H16" s="128"/>
      <c r="I16" s="128"/>
      <c r="J16" s="128"/>
      <c r="K16" s="128"/>
      <c r="L16" s="128"/>
      <c r="M16" s="128"/>
      <c r="N16" s="128"/>
      <c r="O16" s="128"/>
      <c r="P16" s="128"/>
      <c r="Q16" s="128"/>
      <c r="R16" s="128"/>
    </row>
    <row r="17" spans="1:18" x14ac:dyDescent="0.25">
      <c r="A17" s="47" t="s">
        <v>778</v>
      </c>
      <c r="B17" s="128">
        <f t="shared" ref="B17:R17" ca="1" si="3">B9-SUM(B11:B12)</f>
        <v>-11144342.641593412</v>
      </c>
      <c r="C17" s="128">
        <f t="shared" ca="1" si="3"/>
        <v>4988957.6272507422</v>
      </c>
      <c r="D17" s="128">
        <f t="shared" ca="1" si="3"/>
        <v>5778473.2654795684</v>
      </c>
      <c r="E17" s="128">
        <f t="shared" ca="1" si="3"/>
        <v>6614271.6223478802</v>
      </c>
      <c r="F17" s="128">
        <f t="shared" ca="1" si="3"/>
        <v>7488162.2508472428</v>
      </c>
      <c r="G17" s="128">
        <f t="shared" ca="1" si="3"/>
        <v>8400747.6841751449</v>
      </c>
      <c r="H17" s="128">
        <f t="shared" ca="1" si="3"/>
        <v>9352647.6198839322</v>
      </c>
      <c r="I17" s="128">
        <f t="shared" ca="1" si="3"/>
        <v>10344499.960689448</v>
      </c>
      <c r="J17" s="128">
        <f t="shared" ca="1" si="3"/>
        <v>11376961.926949378</v>
      </c>
      <c r="K17" s="128">
        <f t="shared" ca="1" si="3"/>
        <v>12450711.245423026</v>
      </c>
      <c r="L17" s="128">
        <f t="shared" ca="1" si="3"/>
        <v>13304646.505136613</v>
      </c>
      <c r="M17" s="128">
        <f t="shared" ca="1" si="3"/>
        <v>14102902.923695356</v>
      </c>
      <c r="N17" s="128">
        <f t="shared" ca="1" si="3"/>
        <v>14919744.567046132</v>
      </c>
      <c r="O17" s="128">
        <f t="shared" ca="1" si="3"/>
        <v>15755883.51411847</v>
      </c>
      <c r="P17" s="128">
        <f t="shared" ca="1" si="3"/>
        <v>16612070.694105189</v>
      </c>
      <c r="Q17" s="128">
        <f t="shared" ca="1" si="3"/>
        <v>17489098.193492714</v>
      </c>
      <c r="R17" s="128">
        <f t="shared" ca="1" si="3"/>
        <v>18387801.698648244</v>
      </c>
    </row>
    <row r="18" spans="1:18" x14ac:dyDescent="0.25">
      <c r="A18" s="56"/>
      <c r="B18" s="259"/>
      <c r="C18" s="259"/>
      <c r="D18" s="259"/>
      <c r="E18" s="259"/>
      <c r="F18" s="259"/>
      <c r="G18" s="259"/>
      <c r="H18" s="259"/>
      <c r="I18" s="259"/>
      <c r="J18" s="259"/>
      <c r="K18" s="259"/>
      <c r="L18" s="259"/>
      <c r="M18" s="259"/>
      <c r="N18" s="259"/>
      <c r="O18" s="259"/>
      <c r="P18" s="259"/>
      <c r="Q18" s="259"/>
      <c r="R18" s="259"/>
    </row>
    <row r="19" spans="1:18" x14ac:dyDescent="0.25">
      <c r="A19" s="56" t="s">
        <v>775</v>
      </c>
      <c r="B19" s="260">
        <f t="shared" ref="B19:R19" ca="1" si="4">B15/B9</f>
        <v>-1.0583169682309512</v>
      </c>
      <c r="C19" s="260">
        <f t="shared" ca="1" si="4"/>
        <v>-7.5011504397345122E-2</v>
      </c>
      <c r="D19" s="260">
        <f t="shared" ca="1" si="4"/>
        <v>-5.0681693758902482E-2</v>
      </c>
      <c r="E19" s="260">
        <f t="shared" ca="1" si="4"/>
        <v>-2.5700522500526488E-2</v>
      </c>
      <c r="F19" s="260">
        <f t="shared" ca="1" si="4"/>
        <v>-3.3857574642396526E-4</v>
      </c>
      <c r="G19" s="260">
        <f t="shared" ca="1" si="4"/>
        <v>2.5396696323425821E-2</v>
      </c>
      <c r="H19" s="260">
        <f t="shared" ca="1" si="4"/>
        <v>5.1498797829344772E-2</v>
      </c>
      <c r="I19" s="260">
        <f t="shared" ca="1" si="4"/>
        <v>7.7962194482803573E-2</v>
      </c>
      <c r="J19" s="260">
        <f t="shared" ca="1" si="4"/>
        <v>0.10478232289458823</v>
      </c>
      <c r="K19" s="260">
        <f t="shared" ca="1" si="4"/>
        <v>0.13195560199876502</v>
      </c>
      <c r="L19" s="260">
        <f t="shared" ca="1" si="4"/>
        <v>0.15947944670102138</v>
      </c>
      <c r="M19" s="260">
        <f t="shared" ca="1" si="4"/>
        <v>0.18679008261501712</v>
      </c>
      <c r="N19" s="260">
        <f t="shared" ca="1" si="4"/>
        <v>0.21444906116571721</v>
      </c>
      <c r="O19" s="260">
        <f t="shared" ca="1" si="4"/>
        <v>0.2424577804355908</v>
      </c>
      <c r="P19" s="260">
        <f t="shared" ca="1" si="4"/>
        <v>0.27081872246526739</v>
      </c>
      <c r="Q19" s="260">
        <f t="shared" ca="1" si="4"/>
        <v>0.29953548542633746</v>
      </c>
      <c r="R19" s="260">
        <f t="shared" ca="1" si="4"/>
        <v>0.32861281920017432</v>
      </c>
    </row>
    <row r="21" spans="1:18" x14ac:dyDescent="0.25">
      <c r="A21" s="261" t="s">
        <v>776</v>
      </c>
    </row>
    <row r="22" spans="1:18" x14ac:dyDescent="0.25">
      <c r="A22" s="56" t="s">
        <v>777</v>
      </c>
      <c r="B22" s="345">
        <v>0.06</v>
      </c>
    </row>
  </sheetData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2E96E-E5D4-4F8B-9EEF-82E0B4161C33}">
  <dimension ref="A1:AA65"/>
  <sheetViews>
    <sheetView topLeftCell="A14" zoomScale="80" zoomScaleNormal="80" workbookViewId="0">
      <selection activeCell="A55" sqref="A55"/>
    </sheetView>
  </sheetViews>
  <sheetFormatPr defaultColWidth="8.7109375" defaultRowHeight="12.75" x14ac:dyDescent="0.2"/>
  <cols>
    <col min="1" max="2" width="15.42578125" style="232" customWidth="1"/>
    <col min="3" max="27" width="12.5703125" style="232" customWidth="1"/>
    <col min="28" max="234" width="8.7109375" style="232"/>
    <col min="235" max="236" width="21.7109375" style="232" customWidth="1"/>
    <col min="237" max="237" width="8.7109375" style="232"/>
    <col min="238" max="238" width="18.140625" style="232" customWidth="1"/>
    <col min="239" max="239" width="20.7109375" style="232" bestFit="1" customWidth="1"/>
    <col min="240" max="240" width="17" style="232" bestFit="1" customWidth="1"/>
    <col min="241" max="241" width="17.140625" style="232" bestFit="1" customWidth="1"/>
    <col min="242" max="242" width="16.140625" style="232" bestFit="1" customWidth="1"/>
    <col min="243" max="243" width="15" style="232" bestFit="1" customWidth="1"/>
    <col min="244" max="244" width="20.140625" style="232" bestFit="1" customWidth="1"/>
    <col min="245" max="245" width="13.28515625" style="232" bestFit="1" customWidth="1"/>
    <col min="246" max="246" width="16.140625" style="232" bestFit="1" customWidth="1"/>
    <col min="247" max="490" width="8.7109375" style="232"/>
    <col min="491" max="492" width="21.7109375" style="232" customWidth="1"/>
    <col min="493" max="493" width="8.7109375" style="232"/>
    <col min="494" max="494" width="18.140625" style="232" customWidth="1"/>
    <col min="495" max="495" width="20.7109375" style="232" bestFit="1" customWidth="1"/>
    <col min="496" max="496" width="17" style="232" bestFit="1" customWidth="1"/>
    <col min="497" max="497" width="17.140625" style="232" bestFit="1" customWidth="1"/>
    <col min="498" max="498" width="16.140625" style="232" bestFit="1" customWidth="1"/>
    <col min="499" max="499" width="15" style="232" bestFit="1" customWidth="1"/>
    <col min="500" max="500" width="20.140625" style="232" bestFit="1" customWidth="1"/>
    <col min="501" max="501" width="13.28515625" style="232" bestFit="1" customWidth="1"/>
    <col min="502" max="502" width="16.140625" style="232" bestFit="1" customWidth="1"/>
    <col min="503" max="746" width="8.7109375" style="232"/>
    <col min="747" max="748" width="21.7109375" style="232" customWidth="1"/>
    <col min="749" max="749" width="8.7109375" style="232"/>
    <col min="750" max="750" width="18.140625" style="232" customWidth="1"/>
    <col min="751" max="751" width="20.7109375" style="232" bestFit="1" customWidth="1"/>
    <col min="752" max="752" width="17" style="232" bestFit="1" customWidth="1"/>
    <col min="753" max="753" width="17.140625" style="232" bestFit="1" customWidth="1"/>
    <col min="754" max="754" width="16.140625" style="232" bestFit="1" customWidth="1"/>
    <col min="755" max="755" width="15" style="232" bestFit="1" customWidth="1"/>
    <col min="756" max="756" width="20.140625" style="232" bestFit="1" customWidth="1"/>
    <col min="757" max="757" width="13.28515625" style="232" bestFit="1" customWidth="1"/>
    <col min="758" max="758" width="16.140625" style="232" bestFit="1" customWidth="1"/>
    <col min="759" max="1002" width="8.7109375" style="232"/>
    <col min="1003" max="1004" width="21.7109375" style="232" customWidth="1"/>
    <col min="1005" max="1005" width="8.7109375" style="232"/>
    <col min="1006" max="1006" width="18.140625" style="232" customWidth="1"/>
    <col min="1007" max="1007" width="20.7109375" style="232" bestFit="1" customWidth="1"/>
    <col min="1008" max="1008" width="17" style="232" bestFit="1" customWidth="1"/>
    <col min="1009" max="1009" width="17.140625" style="232" bestFit="1" customWidth="1"/>
    <col min="1010" max="1010" width="16.140625" style="232" bestFit="1" customWidth="1"/>
    <col min="1011" max="1011" width="15" style="232" bestFit="1" customWidth="1"/>
    <col min="1012" max="1012" width="20.140625" style="232" bestFit="1" customWidth="1"/>
    <col min="1013" max="1013" width="13.28515625" style="232" bestFit="1" customWidth="1"/>
    <col min="1014" max="1014" width="16.140625" style="232" bestFit="1" customWidth="1"/>
    <col min="1015" max="1258" width="8.7109375" style="232"/>
    <col min="1259" max="1260" width="21.7109375" style="232" customWidth="1"/>
    <col min="1261" max="1261" width="8.7109375" style="232"/>
    <col min="1262" max="1262" width="18.140625" style="232" customWidth="1"/>
    <col min="1263" max="1263" width="20.7109375" style="232" bestFit="1" customWidth="1"/>
    <col min="1264" max="1264" width="17" style="232" bestFit="1" customWidth="1"/>
    <col min="1265" max="1265" width="17.140625" style="232" bestFit="1" customWidth="1"/>
    <col min="1266" max="1266" width="16.140625" style="232" bestFit="1" customWidth="1"/>
    <col min="1267" max="1267" width="15" style="232" bestFit="1" customWidth="1"/>
    <col min="1268" max="1268" width="20.140625" style="232" bestFit="1" customWidth="1"/>
    <col min="1269" max="1269" width="13.28515625" style="232" bestFit="1" customWidth="1"/>
    <col min="1270" max="1270" width="16.140625" style="232" bestFit="1" customWidth="1"/>
    <col min="1271" max="1514" width="8.7109375" style="232"/>
    <col min="1515" max="1516" width="21.7109375" style="232" customWidth="1"/>
    <col min="1517" max="1517" width="8.7109375" style="232"/>
    <col min="1518" max="1518" width="18.140625" style="232" customWidth="1"/>
    <col min="1519" max="1519" width="20.7109375" style="232" bestFit="1" customWidth="1"/>
    <col min="1520" max="1520" width="17" style="232" bestFit="1" customWidth="1"/>
    <col min="1521" max="1521" width="17.140625" style="232" bestFit="1" customWidth="1"/>
    <col min="1522" max="1522" width="16.140625" style="232" bestFit="1" customWidth="1"/>
    <col min="1523" max="1523" width="15" style="232" bestFit="1" customWidth="1"/>
    <col min="1524" max="1524" width="20.140625" style="232" bestFit="1" customWidth="1"/>
    <col min="1525" max="1525" width="13.28515625" style="232" bestFit="1" customWidth="1"/>
    <col min="1526" max="1526" width="16.140625" style="232" bestFit="1" customWidth="1"/>
    <col min="1527" max="1770" width="8.7109375" style="232"/>
    <col min="1771" max="1772" width="21.7109375" style="232" customWidth="1"/>
    <col min="1773" max="1773" width="8.7109375" style="232"/>
    <col min="1774" max="1774" width="18.140625" style="232" customWidth="1"/>
    <col min="1775" max="1775" width="20.7109375" style="232" bestFit="1" customWidth="1"/>
    <col min="1776" max="1776" width="17" style="232" bestFit="1" customWidth="1"/>
    <col min="1777" max="1777" width="17.140625" style="232" bestFit="1" customWidth="1"/>
    <col min="1778" max="1778" width="16.140625" style="232" bestFit="1" customWidth="1"/>
    <col min="1779" max="1779" width="15" style="232" bestFit="1" customWidth="1"/>
    <col min="1780" max="1780" width="20.140625" style="232" bestFit="1" customWidth="1"/>
    <col min="1781" max="1781" width="13.28515625" style="232" bestFit="1" customWidth="1"/>
    <col min="1782" max="1782" width="16.140625" style="232" bestFit="1" customWidth="1"/>
    <col min="1783" max="2026" width="8.7109375" style="232"/>
    <col min="2027" max="2028" width="21.7109375" style="232" customWidth="1"/>
    <col min="2029" max="2029" width="8.7109375" style="232"/>
    <col min="2030" max="2030" width="18.140625" style="232" customWidth="1"/>
    <col min="2031" max="2031" width="20.7109375" style="232" bestFit="1" customWidth="1"/>
    <col min="2032" max="2032" width="17" style="232" bestFit="1" customWidth="1"/>
    <col min="2033" max="2033" width="17.140625" style="232" bestFit="1" customWidth="1"/>
    <col min="2034" max="2034" width="16.140625" style="232" bestFit="1" customWidth="1"/>
    <col min="2035" max="2035" width="15" style="232" bestFit="1" customWidth="1"/>
    <col min="2036" max="2036" width="20.140625" style="232" bestFit="1" customWidth="1"/>
    <col min="2037" max="2037" width="13.28515625" style="232" bestFit="1" customWidth="1"/>
    <col min="2038" max="2038" width="16.140625" style="232" bestFit="1" customWidth="1"/>
    <col min="2039" max="2282" width="8.7109375" style="232"/>
    <col min="2283" max="2284" width="21.7109375" style="232" customWidth="1"/>
    <col min="2285" max="2285" width="8.7109375" style="232"/>
    <col min="2286" max="2286" width="18.140625" style="232" customWidth="1"/>
    <col min="2287" max="2287" width="20.7109375" style="232" bestFit="1" customWidth="1"/>
    <col min="2288" max="2288" width="17" style="232" bestFit="1" customWidth="1"/>
    <col min="2289" max="2289" width="17.140625" style="232" bestFit="1" customWidth="1"/>
    <col min="2290" max="2290" width="16.140625" style="232" bestFit="1" customWidth="1"/>
    <col min="2291" max="2291" width="15" style="232" bestFit="1" customWidth="1"/>
    <col min="2292" max="2292" width="20.140625" style="232" bestFit="1" customWidth="1"/>
    <col min="2293" max="2293" width="13.28515625" style="232" bestFit="1" customWidth="1"/>
    <col min="2294" max="2294" width="16.140625" style="232" bestFit="1" customWidth="1"/>
    <col min="2295" max="2538" width="8.7109375" style="232"/>
    <col min="2539" max="2540" width="21.7109375" style="232" customWidth="1"/>
    <col min="2541" max="2541" width="8.7109375" style="232"/>
    <col min="2542" max="2542" width="18.140625" style="232" customWidth="1"/>
    <col min="2543" max="2543" width="20.7109375" style="232" bestFit="1" customWidth="1"/>
    <col min="2544" max="2544" width="17" style="232" bestFit="1" customWidth="1"/>
    <col min="2545" max="2545" width="17.140625" style="232" bestFit="1" customWidth="1"/>
    <col min="2546" max="2546" width="16.140625" style="232" bestFit="1" customWidth="1"/>
    <col min="2547" max="2547" width="15" style="232" bestFit="1" customWidth="1"/>
    <col min="2548" max="2548" width="20.140625" style="232" bestFit="1" customWidth="1"/>
    <col min="2549" max="2549" width="13.28515625" style="232" bestFit="1" customWidth="1"/>
    <col min="2550" max="2550" width="16.140625" style="232" bestFit="1" customWidth="1"/>
    <col min="2551" max="2794" width="8.7109375" style="232"/>
    <col min="2795" max="2796" width="21.7109375" style="232" customWidth="1"/>
    <col min="2797" max="2797" width="8.7109375" style="232"/>
    <col min="2798" max="2798" width="18.140625" style="232" customWidth="1"/>
    <col min="2799" max="2799" width="20.7109375" style="232" bestFit="1" customWidth="1"/>
    <col min="2800" max="2800" width="17" style="232" bestFit="1" customWidth="1"/>
    <col min="2801" max="2801" width="17.140625" style="232" bestFit="1" customWidth="1"/>
    <col min="2802" max="2802" width="16.140625" style="232" bestFit="1" customWidth="1"/>
    <col min="2803" max="2803" width="15" style="232" bestFit="1" customWidth="1"/>
    <col min="2804" max="2804" width="20.140625" style="232" bestFit="1" customWidth="1"/>
    <col min="2805" max="2805" width="13.28515625" style="232" bestFit="1" customWidth="1"/>
    <col min="2806" max="2806" width="16.140625" style="232" bestFit="1" customWidth="1"/>
    <col min="2807" max="3050" width="8.7109375" style="232"/>
    <col min="3051" max="3052" width="21.7109375" style="232" customWidth="1"/>
    <col min="3053" max="3053" width="8.7109375" style="232"/>
    <col min="3054" max="3054" width="18.140625" style="232" customWidth="1"/>
    <col min="3055" max="3055" width="20.7109375" style="232" bestFit="1" customWidth="1"/>
    <col min="3056" max="3056" width="17" style="232" bestFit="1" customWidth="1"/>
    <col min="3057" max="3057" width="17.140625" style="232" bestFit="1" customWidth="1"/>
    <col min="3058" max="3058" width="16.140625" style="232" bestFit="1" customWidth="1"/>
    <col min="3059" max="3059" width="15" style="232" bestFit="1" customWidth="1"/>
    <col min="3060" max="3060" width="20.140625" style="232" bestFit="1" customWidth="1"/>
    <col min="3061" max="3061" width="13.28515625" style="232" bestFit="1" customWidth="1"/>
    <col min="3062" max="3062" width="16.140625" style="232" bestFit="1" customWidth="1"/>
    <col min="3063" max="3306" width="8.7109375" style="232"/>
    <col min="3307" max="3308" width="21.7109375" style="232" customWidth="1"/>
    <col min="3309" max="3309" width="8.7109375" style="232"/>
    <col min="3310" max="3310" width="18.140625" style="232" customWidth="1"/>
    <col min="3311" max="3311" width="20.7109375" style="232" bestFit="1" customWidth="1"/>
    <col min="3312" max="3312" width="17" style="232" bestFit="1" customWidth="1"/>
    <col min="3313" max="3313" width="17.140625" style="232" bestFit="1" customWidth="1"/>
    <col min="3314" max="3314" width="16.140625" style="232" bestFit="1" customWidth="1"/>
    <col min="3315" max="3315" width="15" style="232" bestFit="1" customWidth="1"/>
    <col min="3316" max="3316" width="20.140625" style="232" bestFit="1" customWidth="1"/>
    <col min="3317" max="3317" width="13.28515625" style="232" bestFit="1" customWidth="1"/>
    <col min="3318" max="3318" width="16.140625" style="232" bestFit="1" customWidth="1"/>
    <col min="3319" max="3562" width="8.7109375" style="232"/>
    <col min="3563" max="3564" width="21.7109375" style="232" customWidth="1"/>
    <col min="3565" max="3565" width="8.7109375" style="232"/>
    <col min="3566" max="3566" width="18.140625" style="232" customWidth="1"/>
    <col min="3567" max="3567" width="20.7109375" style="232" bestFit="1" customWidth="1"/>
    <col min="3568" max="3568" width="17" style="232" bestFit="1" customWidth="1"/>
    <col min="3569" max="3569" width="17.140625" style="232" bestFit="1" customWidth="1"/>
    <col min="3570" max="3570" width="16.140625" style="232" bestFit="1" customWidth="1"/>
    <col min="3571" max="3571" width="15" style="232" bestFit="1" customWidth="1"/>
    <col min="3572" max="3572" width="20.140625" style="232" bestFit="1" customWidth="1"/>
    <col min="3573" max="3573" width="13.28515625" style="232" bestFit="1" customWidth="1"/>
    <col min="3574" max="3574" width="16.140625" style="232" bestFit="1" customWidth="1"/>
    <col min="3575" max="3818" width="8.7109375" style="232"/>
    <col min="3819" max="3820" width="21.7109375" style="232" customWidth="1"/>
    <col min="3821" max="3821" width="8.7109375" style="232"/>
    <col min="3822" max="3822" width="18.140625" style="232" customWidth="1"/>
    <col min="3823" max="3823" width="20.7109375" style="232" bestFit="1" customWidth="1"/>
    <col min="3824" max="3824" width="17" style="232" bestFit="1" customWidth="1"/>
    <col min="3825" max="3825" width="17.140625" style="232" bestFit="1" customWidth="1"/>
    <col min="3826" max="3826" width="16.140625" style="232" bestFit="1" customWidth="1"/>
    <col min="3827" max="3827" width="15" style="232" bestFit="1" customWidth="1"/>
    <col min="3828" max="3828" width="20.140625" style="232" bestFit="1" customWidth="1"/>
    <col min="3829" max="3829" width="13.28515625" style="232" bestFit="1" customWidth="1"/>
    <col min="3830" max="3830" width="16.140625" style="232" bestFit="1" customWidth="1"/>
    <col min="3831" max="4074" width="8.7109375" style="232"/>
    <col min="4075" max="4076" width="21.7109375" style="232" customWidth="1"/>
    <col min="4077" max="4077" width="8.7109375" style="232"/>
    <col min="4078" max="4078" width="18.140625" style="232" customWidth="1"/>
    <col min="4079" max="4079" width="20.7109375" style="232" bestFit="1" customWidth="1"/>
    <col min="4080" max="4080" width="17" style="232" bestFit="1" customWidth="1"/>
    <col min="4081" max="4081" width="17.140625" style="232" bestFit="1" customWidth="1"/>
    <col min="4082" max="4082" width="16.140625" style="232" bestFit="1" customWidth="1"/>
    <col min="4083" max="4083" width="15" style="232" bestFit="1" customWidth="1"/>
    <col min="4084" max="4084" width="20.140625" style="232" bestFit="1" customWidth="1"/>
    <col min="4085" max="4085" width="13.28515625" style="232" bestFit="1" customWidth="1"/>
    <col min="4086" max="4086" width="16.140625" style="232" bestFit="1" customWidth="1"/>
    <col min="4087" max="4330" width="8.7109375" style="232"/>
    <col min="4331" max="4332" width="21.7109375" style="232" customWidth="1"/>
    <col min="4333" max="4333" width="8.7109375" style="232"/>
    <col min="4334" max="4334" width="18.140625" style="232" customWidth="1"/>
    <col min="4335" max="4335" width="20.7109375" style="232" bestFit="1" customWidth="1"/>
    <col min="4336" max="4336" width="17" style="232" bestFit="1" customWidth="1"/>
    <col min="4337" max="4337" width="17.140625" style="232" bestFit="1" customWidth="1"/>
    <col min="4338" max="4338" width="16.140625" style="232" bestFit="1" customWidth="1"/>
    <col min="4339" max="4339" width="15" style="232" bestFit="1" customWidth="1"/>
    <col min="4340" max="4340" width="20.140625" style="232" bestFit="1" customWidth="1"/>
    <col min="4341" max="4341" width="13.28515625" style="232" bestFit="1" customWidth="1"/>
    <col min="4342" max="4342" width="16.140625" style="232" bestFit="1" customWidth="1"/>
    <col min="4343" max="4586" width="8.7109375" style="232"/>
    <col min="4587" max="4588" width="21.7109375" style="232" customWidth="1"/>
    <col min="4589" max="4589" width="8.7109375" style="232"/>
    <col min="4590" max="4590" width="18.140625" style="232" customWidth="1"/>
    <col min="4591" max="4591" width="20.7109375" style="232" bestFit="1" customWidth="1"/>
    <col min="4592" max="4592" width="17" style="232" bestFit="1" customWidth="1"/>
    <col min="4593" max="4593" width="17.140625" style="232" bestFit="1" customWidth="1"/>
    <col min="4594" max="4594" width="16.140625" style="232" bestFit="1" customWidth="1"/>
    <col min="4595" max="4595" width="15" style="232" bestFit="1" customWidth="1"/>
    <col min="4596" max="4596" width="20.140625" style="232" bestFit="1" customWidth="1"/>
    <col min="4597" max="4597" width="13.28515625" style="232" bestFit="1" customWidth="1"/>
    <col min="4598" max="4598" width="16.140625" style="232" bestFit="1" customWidth="1"/>
    <col min="4599" max="4842" width="8.7109375" style="232"/>
    <col min="4843" max="4844" width="21.7109375" style="232" customWidth="1"/>
    <col min="4845" max="4845" width="8.7109375" style="232"/>
    <col min="4846" max="4846" width="18.140625" style="232" customWidth="1"/>
    <col min="4847" max="4847" width="20.7109375" style="232" bestFit="1" customWidth="1"/>
    <col min="4848" max="4848" width="17" style="232" bestFit="1" customWidth="1"/>
    <col min="4849" max="4849" width="17.140625" style="232" bestFit="1" customWidth="1"/>
    <col min="4850" max="4850" width="16.140625" style="232" bestFit="1" customWidth="1"/>
    <col min="4851" max="4851" width="15" style="232" bestFit="1" customWidth="1"/>
    <col min="4852" max="4852" width="20.140625" style="232" bestFit="1" customWidth="1"/>
    <col min="4853" max="4853" width="13.28515625" style="232" bestFit="1" customWidth="1"/>
    <col min="4854" max="4854" width="16.140625" style="232" bestFit="1" customWidth="1"/>
    <col min="4855" max="5098" width="8.7109375" style="232"/>
    <col min="5099" max="5100" width="21.7109375" style="232" customWidth="1"/>
    <col min="5101" max="5101" width="8.7109375" style="232"/>
    <col min="5102" max="5102" width="18.140625" style="232" customWidth="1"/>
    <col min="5103" max="5103" width="20.7109375" style="232" bestFit="1" customWidth="1"/>
    <col min="5104" max="5104" width="17" style="232" bestFit="1" customWidth="1"/>
    <col min="5105" max="5105" width="17.140625" style="232" bestFit="1" customWidth="1"/>
    <col min="5106" max="5106" width="16.140625" style="232" bestFit="1" customWidth="1"/>
    <col min="5107" max="5107" width="15" style="232" bestFit="1" customWidth="1"/>
    <col min="5108" max="5108" width="20.140625" style="232" bestFit="1" customWidth="1"/>
    <col min="5109" max="5109" width="13.28515625" style="232" bestFit="1" customWidth="1"/>
    <col min="5110" max="5110" width="16.140625" style="232" bestFit="1" customWidth="1"/>
    <col min="5111" max="5354" width="8.7109375" style="232"/>
    <col min="5355" max="5356" width="21.7109375" style="232" customWidth="1"/>
    <col min="5357" max="5357" width="8.7109375" style="232"/>
    <col min="5358" max="5358" width="18.140625" style="232" customWidth="1"/>
    <col min="5359" max="5359" width="20.7109375" style="232" bestFit="1" customWidth="1"/>
    <col min="5360" max="5360" width="17" style="232" bestFit="1" customWidth="1"/>
    <col min="5361" max="5361" width="17.140625" style="232" bestFit="1" customWidth="1"/>
    <col min="5362" max="5362" width="16.140625" style="232" bestFit="1" customWidth="1"/>
    <col min="5363" max="5363" width="15" style="232" bestFit="1" customWidth="1"/>
    <col min="5364" max="5364" width="20.140625" style="232" bestFit="1" customWidth="1"/>
    <col min="5365" max="5365" width="13.28515625" style="232" bestFit="1" customWidth="1"/>
    <col min="5366" max="5366" width="16.140625" style="232" bestFit="1" customWidth="1"/>
    <col min="5367" max="5610" width="8.7109375" style="232"/>
    <col min="5611" max="5612" width="21.7109375" style="232" customWidth="1"/>
    <col min="5613" max="5613" width="8.7109375" style="232"/>
    <col min="5614" max="5614" width="18.140625" style="232" customWidth="1"/>
    <col min="5615" max="5615" width="20.7109375" style="232" bestFit="1" customWidth="1"/>
    <col min="5616" max="5616" width="17" style="232" bestFit="1" customWidth="1"/>
    <col min="5617" max="5617" width="17.140625" style="232" bestFit="1" customWidth="1"/>
    <col min="5618" max="5618" width="16.140625" style="232" bestFit="1" customWidth="1"/>
    <col min="5619" max="5619" width="15" style="232" bestFit="1" customWidth="1"/>
    <col min="5620" max="5620" width="20.140625" style="232" bestFit="1" customWidth="1"/>
    <col min="5621" max="5621" width="13.28515625" style="232" bestFit="1" customWidth="1"/>
    <col min="5622" max="5622" width="16.140625" style="232" bestFit="1" customWidth="1"/>
    <col min="5623" max="5866" width="8.7109375" style="232"/>
    <col min="5867" max="5868" width="21.7109375" style="232" customWidth="1"/>
    <col min="5869" max="5869" width="8.7109375" style="232"/>
    <col min="5870" max="5870" width="18.140625" style="232" customWidth="1"/>
    <col min="5871" max="5871" width="20.7109375" style="232" bestFit="1" customWidth="1"/>
    <col min="5872" max="5872" width="17" style="232" bestFit="1" customWidth="1"/>
    <col min="5873" max="5873" width="17.140625" style="232" bestFit="1" customWidth="1"/>
    <col min="5874" max="5874" width="16.140625" style="232" bestFit="1" customWidth="1"/>
    <col min="5875" max="5875" width="15" style="232" bestFit="1" customWidth="1"/>
    <col min="5876" max="5876" width="20.140625" style="232" bestFit="1" customWidth="1"/>
    <col min="5877" max="5877" width="13.28515625" style="232" bestFit="1" customWidth="1"/>
    <col min="5878" max="5878" width="16.140625" style="232" bestFit="1" customWidth="1"/>
    <col min="5879" max="6122" width="8.7109375" style="232"/>
    <col min="6123" max="6124" width="21.7109375" style="232" customWidth="1"/>
    <col min="6125" max="6125" width="8.7109375" style="232"/>
    <col min="6126" max="6126" width="18.140625" style="232" customWidth="1"/>
    <col min="6127" max="6127" width="20.7109375" style="232" bestFit="1" customWidth="1"/>
    <col min="6128" max="6128" width="17" style="232" bestFit="1" customWidth="1"/>
    <col min="6129" max="6129" width="17.140625" style="232" bestFit="1" customWidth="1"/>
    <col min="6130" max="6130" width="16.140625" style="232" bestFit="1" customWidth="1"/>
    <col min="6131" max="6131" width="15" style="232" bestFit="1" customWidth="1"/>
    <col min="6132" max="6132" width="20.140625" style="232" bestFit="1" customWidth="1"/>
    <col min="6133" max="6133" width="13.28515625" style="232" bestFit="1" customWidth="1"/>
    <col min="6134" max="6134" width="16.140625" style="232" bestFit="1" customWidth="1"/>
    <col min="6135" max="6378" width="8.7109375" style="232"/>
    <col min="6379" max="6380" width="21.7109375" style="232" customWidth="1"/>
    <col min="6381" max="6381" width="8.7109375" style="232"/>
    <col min="6382" max="6382" width="18.140625" style="232" customWidth="1"/>
    <col min="6383" max="6383" width="20.7109375" style="232" bestFit="1" customWidth="1"/>
    <col min="6384" max="6384" width="17" style="232" bestFit="1" customWidth="1"/>
    <col min="6385" max="6385" width="17.140625" style="232" bestFit="1" customWidth="1"/>
    <col min="6386" max="6386" width="16.140625" style="232" bestFit="1" customWidth="1"/>
    <col min="6387" max="6387" width="15" style="232" bestFit="1" customWidth="1"/>
    <col min="6388" max="6388" width="20.140625" style="232" bestFit="1" customWidth="1"/>
    <col min="6389" max="6389" width="13.28515625" style="232" bestFit="1" customWidth="1"/>
    <col min="6390" max="6390" width="16.140625" style="232" bestFit="1" customWidth="1"/>
    <col min="6391" max="6634" width="8.7109375" style="232"/>
    <col min="6635" max="6636" width="21.7109375" style="232" customWidth="1"/>
    <col min="6637" max="6637" width="8.7109375" style="232"/>
    <col min="6638" max="6638" width="18.140625" style="232" customWidth="1"/>
    <col min="6639" max="6639" width="20.7109375" style="232" bestFit="1" customWidth="1"/>
    <col min="6640" max="6640" width="17" style="232" bestFit="1" customWidth="1"/>
    <col min="6641" max="6641" width="17.140625" style="232" bestFit="1" customWidth="1"/>
    <col min="6642" max="6642" width="16.140625" style="232" bestFit="1" customWidth="1"/>
    <col min="6643" max="6643" width="15" style="232" bestFit="1" customWidth="1"/>
    <col min="6644" max="6644" width="20.140625" style="232" bestFit="1" customWidth="1"/>
    <col min="6645" max="6645" width="13.28515625" style="232" bestFit="1" customWidth="1"/>
    <col min="6646" max="6646" width="16.140625" style="232" bestFit="1" customWidth="1"/>
    <col min="6647" max="6890" width="8.7109375" style="232"/>
    <col min="6891" max="6892" width="21.7109375" style="232" customWidth="1"/>
    <col min="6893" max="6893" width="8.7109375" style="232"/>
    <col min="6894" max="6894" width="18.140625" style="232" customWidth="1"/>
    <col min="6895" max="6895" width="20.7109375" style="232" bestFit="1" customWidth="1"/>
    <col min="6896" max="6896" width="17" style="232" bestFit="1" customWidth="1"/>
    <col min="6897" max="6897" width="17.140625" style="232" bestFit="1" customWidth="1"/>
    <col min="6898" max="6898" width="16.140625" style="232" bestFit="1" customWidth="1"/>
    <col min="6899" max="6899" width="15" style="232" bestFit="1" customWidth="1"/>
    <col min="6900" max="6900" width="20.140625" style="232" bestFit="1" customWidth="1"/>
    <col min="6901" max="6901" width="13.28515625" style="232" bestFit="1" customWidth="1"/>
    <col min="6902" max="6902" width="16.140625" style="232" bestFit="1" customWidth="1"/>
    <col min="6903" max="7146" width="8.7109375" style="232"/>
    <col min="7147" max="7148" width="21.7109375" style="232" customWidth="1"/>
    <col min="7149" max="7149" width="8.7109375" style="232"/>
    <col min="7150" max="7150" width="18.140625" style="232" customWidth="1"/>
    <col min="7151" max="7151" width="20.7109375" style="232" bestFit="1" customWidth="1"/>
    <col min="7152" max="7152" width="17" style="232" bestFit="1" customWidth="1"/>
    <col min="7153" max="7153" width="17.140625" style="232" bestFit="1" customWidth="1"/>
    <col min="7154" max="7154" width="16.140625" style="232" bestFit="1" customWidth="1"/>
    <col min="7155" max="7155" width="15" style="232" bestFit="1" customWidth="1"/>
    <col min="7156" max="7156" width="20.140625" style="232" bestFit="1" customWidth="1"/>
    <col min="7157" max="7157" width="13.28515625" style="232" bestFit="1" customWidth="1"/>
    <col min="7158" max="7158" width="16.140625" style="232" bestFit="1" customWidth="1"/>
    <col min="7159" max="7402" width="8.7109375" style="232"/>
    <col min="7403" max="7404" width="21.7109375" style="232" customWidth="1"/>
    <col min="7405" max="7405" width="8.7109375" style="232"/>
    <col min="7406" max="7406" width="18.140625" style="232" customWidth="1"/>
    <col min="7407" max="7407" width="20.7109375" style="232" bestFit="1" customWidth="1"/>
    <col min="7408" max="7408" width="17" style="232" bestFit="1" customWidth="1"/>
    <col min="7409" max="7409" width="17.140625" style="232" bestFit="1" customWidth="1"/>
    <col min="7410" max="7410" width="16.140625" style="232" bestFit="1" customWidth="1"/>
    <col min="7411" max="7411" width="15" style="232" bestFit="1" customWidth="1"/>
    <col min="7412" max="7412" width="20.140625" style="232" bestFit="1" customWidth="1"/>
    <col min="7413" max="7413" width="13.28515625" style="232" bestFit="1" customWidth="1"/>
    <col min="7414" max="7414" width="16.140625" style="232" bestFit="1" customWidth="1"/>
    <col min="7415" max="7658" width="8.7109375" style="232"/>
    <col min="7659" max="7660" width="21.7109375" style="232" customWidth="1"/>
    <col min="7661" max="7661" width="8.7109375" style="232"/>
    <col min="7662" max="7662" width="18.140625" style="232" customWidth="1"/>
    <col min="7663" max="7663" width="20.7109375" style="232" bestFit="1" customWidth="1"/>
    <col min="7664" max="7664" width="17" style="232" bestFit="1" customWidth="1"/>
    <col min="7665" max="7665" width="17.140625" style="232" bestFit="1" customWidth="1"/>
    <col min="7666" max="7666" width="16.140625" style="232" bestFit="1" customWidth="1"/>
    <col min="7667" max="7667" width="15" style="232" bestFit="1" customWidth="1"/>
    <col min="7668" max="7668" width="20.140625" style="232" bestFit="1" customWidth="1"/>
    <col min="7669" max="7669" width="13.28515625" style="232" bestFit="1" customWidth="1"/>
    <col min="7670" max="7670" width="16.140625" style="232" bestFit="1" customWidth="1"/>
    <col min="7671" max="7914" width="8.7109375" style="232"/>
    <col min="7915" max="7916" width="21.7109375" style="232" customWidth="1"/>
    <col min="7917" max="7917" width="8.7109375" style="232"/>
    <col min="7918" max="7918" width="18.140625" style="232" customWidth="1"/>
    <col min="7919" max="7919" width="20.7109375" style="232" bestFit="1" customWidth="1"/>
    <col min="7920" max="7920" width="17" style="232" bestFit="1" customWidth="1"/>
    <col min="7921" max="7921" width="17.140625" style="232" bestFit="1" customWidth="1"/>
    <col min="7922" max="7922" width="16.140625" style="232" bestFit="1" customWidth="1"/>
    <col min="7923" max="7923" width="15" style="232" bestFit="1" customWidth="1"/>
    <col min="7924" max="7924" width="20.140625" style="232" bestFit="1" customWidth="1"/>
    <col min="7925" max="7925" width="13.28515625" style="232" bestFit="1" customWidth="1"/>
    <col min="7926" max="7926" width="16.140625" style="232" bestFit="1" customWidth="1"/>
    <col min="7927" max="8170" width="8.7109375" style="232"/>
    <col min="8171" max="8172" width="21.7109375" style="232" customWidth="1"/>
    <col min="8173" max="8173" width="8.7109375" style="232"/>
    <col min="8174" max="8174" width="18.140625" style="232" customWidth="1"/>
    <col min="8175" max="8175" width="20.7109375" style="232" bestFit="1" customWidth="1"/>
    <col min="8176" max="8176" width="17" style="232" bestFit="1" customWidth="1"/>
    <col min="8177" max="8177" width="17.140625" style="232" bestFit="1" customWidth="1"/>
    <col min="8178" max="8178" width="16.140625" style="232" bestFit="1" customWidth="1"/>
    <col min="8179" max="8179" width="15" style="232" bestFit="1" customWidth="1"/>
    <col min="8180" max="8180" width="20.140625" style="232" bestFit="1" customWidth="1"/>
    <col min="8181" max="8181" width="13.28515625" style="232" bestFit="1" customWidth="1"/>
    <col min="8182" max="8182" width="16.140625" style="232" bestFit="1" customWidth="1"/>
    <col min="8183" max="8426" width="8.7109375" style="232"/>
    <col min="8427" max="8428" width="21.7109375" style="232" customWidth="1"/>
    <col min="8429" max="8429" width="8.7109375" style="232"/>
    <col min="8430" max="8430" width="18.140625" style="232" customWidth="1"/>
    <col min="8431" max="8431" width="20.7109375" style="232" bestFit="1" customWidth="1"/>
    <col min="8432" max="8432" width="17" style="232" bestFit="1" customWidth="1"/>
    <col min="8433" max="8433" width="17.140625" style="232" bestFit="1" customWidth="1"/>
    <col min="8434" max="8434" width="16.140625" style="232" bestFit="1" customWidth="1"/>
    <col min="8435" max="8435" width="15" style="232" bestFit="1" customWidth="1"/>
    <col min="8436" max="8436" width="20.140625" style="232" bestFit="1" customWidth="1"/>
    <col min="8437" max="8437" width="13.28515625" style="232" bestFit="1" customWidth="1"/>
    <col min="8438" max="8438" width="16.140625" style="232" bestFit="1" customWidth="1"/>
    <col min="8439" max="8682" width="8.7109375" style="232"/>
    <col min="8683" max="8684" width="21.7109375" style="232" customWidth="1"/>
    <col min="8685" max="8685" width="8.7109375" style="232"/>
    <col min="8686" max="8686" width="18.140625" style="232" customWidth="1"/>
    <col min="8687" max="8687" width="20.7109375" style="232" bestFit="1" customWidth="1"/>
    <col min="8688" max="8688" width="17" style="232" bestFit="1" customWidth="1"/>
    <col min="8689" max="8689" width="17.140625" style="232" bestFit="1" customWidth="1"/>
    <col min="8690" max="8690" width="16.140625" style="232" bestFit="1" customWidth="1"/>
    <col min="8691" max="8691" width="15" style="232" bestFit="1" customWidth="1"/>
    <col min="8692" max="8692" width="20.140625" style="232" bestFit="1" customWidth="1"/>
    <col min="8693" max="8693" width="13.28515625" style="232" bestFit="1" customWidth="1"/>
    <col min="8694" max="8694" width="16.140625" style="232" bestFit="1" customWidth="1"/>
    <col min="8695" max="8938" width="8.7109375" style="232"/>
    <col min="8939" max="8940" width="21.7109375" style="232" customWidth="1"/>
    <col min="8941" max="8941" width="8.7109375" style="232"/>
    <col min="8942" max="8942" width="18.140625" style="232" customWidth="1"/>
    <col min="8943" max="8943" width="20.7109375" style="232" bestFit="1" customWidth="1"/>
    <col min="8944" max="8944" width="17" style="232" bestFit="1" customWidth="1"/>
    <col min="8945" max="8945" width="17.140625" style="232" bestFit="1" customWidth="1"/>
    <col min="8946" max="8946" width="16.140625" style="232" bestFit="1" customWidth="1"/>
    <col min="8947" max="8947" width="15" style="232" bestFit="1" customWidth="1"/>
    <col min="8948" max="8948" width="20.140625" style="232" bestFit="1" customWidth="1"/>
    <col min="8949" max="8949" width="13.28515625" style="232" bestFit="1" customWidth="1"/>
    <col min="8950" max="8950" width="16.140625" style="232" bestFit="1" customWidth="1"/>
    <col min="8951" max="9194" width="8.7109375" style="232"/>
    <col min="9195" max="9196" width="21.7109375" style="232" customWidth="1"/>
    <col min="9197" max="9197" width="8.7109375" style="232"/>
    <col min="9198" max="9198" width="18.140625" style="232" customWidth="1"/>
    <col min="9199" max="9199" width="20.7109375" style="232" bestFit="1" customWidth="1"/>
    <col min="9200" max="9200" width="17" style="232" bestFit="1" customWidth="1"/>
    <col min="9201" max="9201" width="17.140625" style="232" bestFit="1" customWidth="1"/>
    <col min="9202" max="9202" width="16.140625" style="232" bestFit="1" customWidth="1"/>
    <col min="9203" max="9203" width="15" style="232" bestFit="1" customWidth="1"/>
    <col min="9204" max="9204" width="20.140625" style="232" bestFit="1" customWidth="1"/>
    <col min="9205" max="9205" width="13.28515625" style="232" bestFit="1" customWidth="1"/>
    <col min="9206" max="9206" width="16.140625" style="232" bestFit="1" customWidth="1"/>
    <col min="9207" max="9450" width="8.7109375" style="232"/>
    <col min="9451" max="9452" width="21.7109375" style="232" customWidth="1"/>
    <col min="9453" max="9453" width="8.7109375" style="232"/>
    <col min="9454" max="9454" width="18.140625" style="232" customWidth="1"/>
    <col min="9455" max="9455" width="20.7109375" style="232" bestFit="1" customWidth="1"/>
    <col min="9456" max="9456" width="17" style="232" bestFit="1" customWidth="1"/>
    <col min="9457" max="9457" width="17.140625" style="232" bestFit="1" customWidth="1"/>
    <col min="9458" max="9458" width="16.140625" style="232" bestFit="1" customWidth="1"/>
    <col min="9459" max="9459" width="15" style="232" bestFit="1" customWidth="1"/>
    <col min="9460" max="9460" width="20.140625" style="232" bestFit="1" customWidth="1"/>
    <col min="9461" max="9461" width="13.28515625" style="232" bestFit="1" customWidth="1"/>
    <col min="9462" max="9462" width="16.140625" style="232" bestFit="1" customWidth="1"/>
    <col min="9463" max="9706" width="8.7109375" style="232"/>
    <col min="9707" max="9708" width="21.7109375" style="232" customWidth="1"/>
    <col min="9709" max="9709" width="8.7109375" style="232"/>
    <col min="9710" max="9710" width="18.140625" style="232" customWidth="1"/>
    <col min="9711" max="9711" width="20.7109375" style="232" bestFit="1" customWidth="1"/>
    <col min="9712" max="9712" width="17" style="232" bestFit="1" customWidth="1"/>
    <col min="9713" max="9713" width="17.140625" style="232" bestFit="1" customWidth="1"/>
    <col min="9714" max="9714" width="16.140625" style="232" bestFit="1" customWidth="1"/>
    <col min="9715" max="9715" width="15" style="232" bestFit="1" customWidth="1"/>
    <col min="9716" max="9716" width="20.140625" style="232" bestFit="1" customWidth="1"/>
    <col min="9717" max="9717" width="13.28515625" style="232" bestFit="1" customWidth="1"/>
    <col min="9718" max="9718" width="16.140625" style="232" bestFit="1" customWidth="1"/>
    <col min="9719" max="9962" width="8.7109375" style="232"/>
    <col min="9963" max="9964" width="21.7109375" style="232" customWidth="1"/>
    <col min="9965" max="9965" width="8.7109375" style="232"/>
    <col min="9966" max="9966" width="18.140625" style="232" customWidth="1"/>
    <col min="9967" max="9967" width="20.7109375" style="232" bestFit="1" customWidth="1"/>
    <col min="9968" max="9968" width="17" style="232" bestFit="1" customWidth="1"/>
    <col min="9969" max="9969" width="17.140625" style="232" bestFit="1" customWidth="1"/>
    <col min="9970" max="9970" width="16.140625" style="232" bestFit="1" customWidth="1"/>
    <col min="9971" max="9971" width="15" style="232" bestFit="1" customWidth="1"/>
    <col min="9972" max="9972" width="20.140625" style="232" bestFit="1" customWidth="1"/>
    <col min="9973" max="9973" width="13.28515625" style="232" bestFit="1" customWidth="1"/>
    <col min="9974" max="9974" width="16.140625" style="232" bestFit="1" customWidth="1"/>
    <col min="9975" max="10218" width="8.7109375" style="232"/>
    <col min="10219" max="10220" width="21.7109375" style="232" customWidth="1"/>
    <col min="10221" max="10221" width="8.7109375" style="232"/>
    <col min="10222" max="10222" width="18.140625" style="232" customWidth="1"/>
    <col min="10223" max="10223" width="20.7109375" style="232" bestFit="1" customWidth="1"/>
    <col min="10224" max="10224" width="17" style="232" bestFit="1" customWidth="1"/>
    <col min="10225" max="10225" width="17.140625" style="232" bestFit="1" customWidth="1"/>
    <col min="10226" max="10226" width="16.140625" style="232" bestFit="1" customWidth="1"/>
    <col min="10227" max="10227" width="15" style="232" bestFit="1" customWidth="1"/>
    <col min="10228" max="10228" width="20.140625" style="232" bestFit="1" customWidth="1"/>
    <col min="10229" max="10229" width="13.28515625" style="232" bestFit="1" customWidth="1"/>
    <col min="10230" max="10230" width="16.140625" style="232" bestFit="1" customWidth="1"/>
    <col min="10231" max="10474" width="8.7109375" style="232"/>
    <col min="10475" max="10476" width="21.7109375" style="232" customWidth="1"/>
    <col min="10477" max="10477" width="8.7109375" style="232"/>
    <col min="10478" max="10478" width="18.140625" style="232" customWidth="1"/>
    <col min="10479" max="10479" width="20.7109375" style="232" bestFit="1" customWidth="1"/>
    <col min="10480" max="10480" width="17" style="232" bestFit="1" customWidth="1"/>
    <col min="10481" max="10481" width="17.140625" style="232" bestFit="1" customWidth="1"/>
    <col min="10482" max="10482" width="16.140625" style="232" bestFit="1" customWidth="1"/>
    <col min="10483" max="10483" width="15" style="232" bestFit="1" customWidth="1"/>
    <col min="10484" max="10484" width="20.140625" style="232" bestFit="1" customWidth="1"/>
    <col min="10485" max="10485" width="13.28515625" style="232" bestFit="1" customWidth="1"/>
    <col min="10486" max="10486" width="16.140625" style="232" bestFit="1" customWidth="1"/>
    <col min="10487" max="10730" width="8.7109375" style="232"/>
    <col min="10731" max="10732" width="21.7109375" style="232" customWidth="1"/>
    <col min="10733" max="10733" width="8.7109375" style="232"/>
    <col min="10734" max="10734" width="18.140625" style="232" customWidth="1"/>
    <col min="10735" max="10735" width="20.7109375" style="232" bestFit="1" customWidth="1"/>
    <col min="10736" max="10736" width="17" style="232" bestFit="1" customWidth="1"/>
    <col min="10737" max="10737" width="17.140625" style="232" bestFit="1" customWidth="1"/>
    <col min="10738" max="10738" width="16.140625" style="232" bestFit="1" customWidth="1"/>
    <col min="10739" max="10739" width="15" style="232" bestFit="1" customWidth="1"/>
    <col min="10740" max="10740" width="20.140625" style="232" bestFit="1" customWidth="1"/>
    <col min="10741" max="10741" width="13.28515625" style="232" bestFit="1" customWidth="1"/>
    <col min="10742" max="10742" width="16.140625" style="232" bestFit="1" customWidth="1"/>
    <col min="10743" max="10986" width="8.7109375" style="232"/>
    <col min="10987" max="10988" width="21.7109375" style="232" customWidth="1"/>
    <col min="10989" max="10989" width="8.7109375" style="232"/>
    <col min="10990" max="10990" width="18.140625" style="232" customWidth="1"/>
    <col min="10991" max="10991" width="20.7109375" style="232" bestFit="1" customWidth="1"/>
    <col min="10992" max="10992" width="17" style="232" bestFit="1" customWidth="1"/>
    <col min="10993" max="10993" width="17.140625" style="232" bestFit="1" customWidth="1"/>
    <col min="10994" max="10994" width="16.140625" style="232" bestFit="1" customWidth="1"/>
    <col min="10995" max="10995" width="15" style="232" bestFit="1" customWidth="1"/>
    <col min="10996" max="10996" width="20.140625" style="232" bestFit="1" customWidth="1"/>
    <col min="10997" max="10997" width="13.28515625" style="232" bestFit="1" customWidth="1"/>
    <col min="10998" max="10998" width="16.140625" style="232" bestFit="1" customWidth="1"/>
    <col min="10999" max="11242" width="8.7109375" style="232"/>
    <col min="11243" max="11244" width="21.7109375" style="232" customWidth="1"/>
    <col min="11245" max="11245" width="8.7109375" style="232"/>
    <col min="11246" max="11246" width="18.140625" style="232" customWidth="1"/>
    <col min="11247" max="11247" width="20.7109375" style="232" bestFit="1" customWidth="1"/>
    <col min="11248" max="11248" width="17" style="232" bestFit="1" customWidth="1"/>
    <col min="11249" max="11249" width="17.140625" style="232" bestFit="1" customWidth="1"/>
    <col min="11250" max="11250" width="16.140625" style="232" bestFit="1" customWidth="1"/>
    <col min="11251" max="11251" width="15" style="232" bestFit="1" customWidth="1"/>
    <col min="11252" max="11252" width="20.140625" style="232" bestFit="1" customWidth="1"/>
    <col min="11253" max="11253" width="13.28515625" style="232" bestFit="1" customWidth="1"/>
    <col min="11254" max="11254" width="16.140625" style="232" bestFit="1" customWidth="1"/>
    <col min="11255" max="11498" width="8.7109375" style="232"/>
    <col min="11499" max="11500" width="21.7109375" style="232" customWidth="1"/>
    <col min="11501" max="11501" width="8.7109375" style="232"/>
    <col min="11502" max="11502" width="18.140625" style="232" customWidth="1"/>
    <col min="11503" max="11503" width="20.7109375" style="232" bestFit="1" customWidth="1"/>
    <col min="11504" max="11504" width="17" style="232" bestFit="1" customWidth="1"/>
    <col min="11505" max="11505" width="17.140625" style="232" bestFit="1" customWidth="1"/>
    <col min="11506" max="11506" width="16.140625" style="232" bestFit="1" customWidth="1"/>
    <col min="11507" max="11507" width="15" style="232" bestFit="1" customWidth="1"/>
    <col min="11508" max="11508" width="20.140625" style="232" bestFit="1" customWidth="1"/>
    <col min="11509" max="11509" width="13.28515625" style="232" bestFit="1" customWidth="1"/>
    <col min="11510" max="11510" width="16.140625" style="232" bestFit="1" customWidth="1"/>
    <col min="11511" max="11754" width="8.7109375" style="232"/>
    <col min="11755" max="11756" width="21.7109375" style="232" customWidth="1"/>
    <col min="11757" max="11757" width="8.7109375" style="232"/>
    <col min="11758" max="11758" width="18.140625" style="232" customWidth="1"/>
    <col min="11759" max="11759" width="20.7109375" style="232" bestFit="1" customWidth="1"/>
    <col min="11760" max="11760" width="17" style="232" bestFit="1" customWidth="1"/>
    <col min="11761" max="11761" width="17.140625" style="232" bestFit="1" customWidth="1"/>
    <col min="11762" max="11762" width="16.140625" style="232" bestFit="1" customWidth="1"/>
    <col min="11763" max="11763" width="15" style="232" bestFit="1" customWidth="1"/>
    <col min="11764" max="11764" width="20.140625" style="232" bestFit="1" customWidth="1"/>
    <col min="11765" max="11765" width="13.28515625" style="232" bestFit="1" customWidth="1"/>
    <col min="11766" max="11766" width="16.140625" style="232" bestFit="1" customWidth="1"/>
    <col min="11767" max="12010" width="8.7109375" style="232"/>
    <col min="12011" max="12012" width="21.7109375" style="232" customWidth="1"/>
    <col min="12013" max="12013" width="8.7109375" style="232"/>
    <col min="12014" max="12014" width="18.140625" style="232" customWidth="1"/>
    <col min="12015" max="12015" width="20.7109375" style="232" bestFit="1" customWidth="1"/>
    <col min="12016" max="12016" width="17" style="232" bestFit="1" customWidth="1"/>
    <col min="12017" max="12017" width="17.140625" style="232" bestFit="1" customWidth="1"/>
    <col min="12018" max="12018" width="16.140625" style="232" bestFit="1" customWidth="1"/>
    <col min="12019" max="12019" width="15" style="232" bestFit="1" customWidth="1"/>
    <col min="12020" max="12020" width="20.140625" style="232" bestFit="1" customWidth="1"/>
    <col min="12021" max="12021" width="13.28515625" style="232" bestFit="1" customWidth="1"/>
    <col min="12022" max="12022" width="16.140625" style="232" bestFit="1" customWidth="1"/>
    <col min="12023" max="12266" width="8.7109375" style="232"/>
    <col min="12267" max="12268" width="21.7109375" style="232" customWidth="1"/>
    <col min="12269" max="12269" width="8.7109375" style="232"/>
    <col min="12270" max="12270" width="18.140625" style="232" customWidth="1"/>
    <col min="12271" max="12271" width="20.7109375" style="232" bestFit="1" customWidth="1"/>
    <col min="12272" max="12272" width="17" style="232" bestFit="1" customWidth="1"/>
    <col min="12273" max="12273" width="17.140625" style="232" bestFit="1" customWidth="1"/>
    <col min="12274" max="12274" width="16.140625" style="232" bestFit="1" customWidth="1"/>
    <col min="12275" max="12275" width="15" style="232" bestFit="1" customWidth="1"/>
    <col min="12276" max="12276" width="20.140625" style="232" bestFit="1" customWidth="1"/>
    <col min="12277" max="12277" width="13.28515625" style="232" bestFit="1" customWidth="1"/>
    <col min="12278" max="12278" width="16.140625" style="232" bestFit="1" customWidth="1"/>
    <col min="12279" max="12522" width="8.7109375" style="232"/>
    <col min="12523" max="12524" width="21.7109375" style="232" customWidth="1"/>
    <col min="12525" max="12525" width="8.7109375" style="232"/>
    <col min="12526" max="12526" width="18.140625" style="232" customWidth="1"/>
    <col min="12527" max="12527" width="20.7109375" style="232" bestFit="1" customWidth="1"/>
    <col min="12528" max="12528" width="17" style="232" bestFit="1" customWidth="1"/>
    <col min="12529" max="12529" width="17.140625" style="232" bestFit="1" customWidth="1"/>
    <col min="12530" max="12530" width="16.140625" style="232" bestFit="1" customWidth="1"/>
    <col min="12531" max="12531" width="15" style="232" bestFit="1" customWidth="1"/>
    <col min="12532" max="12532" width="20.140625" style="232" bestFit="1" customWidth="1"/>
    <col min="12533" max="12533" width="13.28515625" style="232" bestFit="1" customWidth="1"/>
    <col min="12534" max="12534" width="16.140625" style="232" bestFit="1" customWidth="1"/>
    <col min="12535" max="12778" width="8.7109375" style="232"/>
    <col min="12779" max="12780" width="21.7109375" style="232" customWidth="1"/>
    <col min="12781" max="12781" width="8.7109375" style="232"/>
    <col min="12782" max="12782" width="18.140625" style="232" customWidth="1"/>
    <col min="12783" max="12783" width="20.7109375" style="232" bestFit="1" customWidth="1"/>
    <col min="12784" max="12784" width="17" style="232" bestFit="1" customWidth="1"/>
    <col min="12785" max="12785" width="17.140625" style="232" bestFit="1" customWidth="1"/>
    <col min="12786" max="12786" width="16.140625" style="232" bestFit="1" customWidth="1"/>
    <col min="12787" max="12787" width="15" style="232" bestFit="1" customWidth="1"/>
    <col min="12788" max="12788" width="20.140625" style="232" bestFit="1" customWidth="1"/>
    <col min="12789" max="12789" width="13.28515625" style="232" bestFit="1" customWidth="1"/>
    <col min="12790" max="12790" width="16.140625" style="232" bestFit="1" customWidth="1"/>
    <col min="12791" max="13034" width="8.7109375" style="232"/>
    <col min="13035" max="13036" width="21.7109375" style="232" customWidth="1"/>
    <col min="13037" max="13037" width="8.7109375" style="232"/>
    <col min="13038" max="13038" width="18.140625" style="232" customWidth="1"/>
    <col min="13039" max="13039" width="20.7109375" style="232" bestFit="1" customWidth="1"/>
    <col min="13040" max="13040" width="17" style="232" bestFit="1" customWidth="1"/>
    <col min="13041" max="13041" width="17.140625" style="232" bestFit="1" customWidth="1"/>
    <col min="13042" max="13042" width="16.140625" style="232" bestFit="1" customWidth="1"/>
    <col min="13043" max="13043" width="15" style="232" bestFit="1" customWidth="1"/>
    <col min="13044" max="13044" width="20.140625" style="232" bestFit="1" customWidth="1"/>
    <col min="13045" max="13045" width="13.28515625" style="232" bestFit="1" customWidth="1"/>
    <col min="13046" max="13046" width="16.140625" style="232" bestFit="1" customWidth="1"/>
    <col min="13047" max="13290" width="8.7109375" style="232"/>
    <col min="13291" max="13292" width="21.7109375" style="232" customWidth="1"/>
    <col min="13293" max="13293" width="8.7109375" style="232"/>
    <col min="13294" max="13294" width="18.140625" style="232" customWidth="1"/>
    <col min="13295" max="13295" width="20.7109375" style="232" bestFit="1" customWidth="1"/>
    <col min="13296" max="13296" width="17" style="232" bestFit="1" customWidth="1"/>
    <col min="13297" max="13297" width="17.140625" style="232" bestFit="1" customWidth="1"/>
    <col min="13298" max="13298" width="16.140625" style="232" bestFit="1" customWidth="1"/>
    <col min="13299" max="13299" width="15" style="232" bestFit="1" customWidth="1"/>
    <col min="13300" max="13300" width="20.140625" style="232" bestFit="1" customWidth="1"/>
    <col min="13301" max="13301" width="13.28515625" style="232" bestFit="1" customWidth="1"/>
    <col min="13302" max="13302" width="16.140625" style="232" bestFit="1" customWidth="1"/>
    <col min="13303" max="13546" width="8.7109375" style="232"/>
    <col min="13547" max="13548" width="21.7109375" style="232" customWidth="1"/>
    <col min="13549" max="13549" width="8.7109375" style="232"/>
    <col min="13550" max="13550" width="18.140625" style="232" customWidth="1"/>
    <col min="13551" max="13551" width="20.7109375" style="232" bestFit="1" customWidth="1"/>
    <col min="13552" max="13552" width="17" style="232" bestFit="1" customWidth="1"/>
    <col min="13553" max="13553" width="17.140625" style="232" bestFit="1" customWidth="1"/>
    <col min="13554" max="13554" width="16.140625" style="232" bestFit="1" customWidth="1"/>
    <col min="13555" max="13555" width="15" style="232" bestFit="1" customWidth="1"/>
    <col min="13556" max="13556" width="20.140625" style="232" bestFit="1" customWidth="1"/>
    <col min="13557" max="13557" width="13.28515625" style="232" bestFit="1" customWidth="1"/>
    <col min="13558" max="13558" width="16.140625" style="232" bestFit="1" customWidth="1"/>
    <col min="13559" max="13802" width="8.7109375" style="232"/>
    <col min="13803" max="13804" width="21.7109375" style="232" customWidth="1"/>
    <col min="13805" max="13805" width="8.7109375" style="232"/>
    <col min="13806" max="13806" width="18.140625" style="232" customWidth="1"/>
    <col min="13807" max="13807" width="20.7109375" style="232" bestFit="1" customWidth="1"/>
    <col min="13808" max="13808" width="17" style="232" bestFit="1" customWidth="1"/>
    <col min="13809" max="13809" width="17.140625" style="232" bestFit="1" customWidth="1"/>
    <col min="13810" max="13810" width="16.140625" style="232" bestFit="1" customWidth="1"/>
    <col min="13811" max="13811" width="15" style="232" bestFit="1" customWidth="1"/>
    <col min="13812" max="13812" width="20.140625" style="232" bestFit="1" customWidth="1"/>
    <col min="13813" max="13813" width="13.28515625" style="232" bestFit="1" customWidth="1"/>
    <col min="13814" max="13814" width="16.140625" style="232" bestFit="1" customWidth="1"/>
    <col min="13815" max="14058" width="8.7109375" style="232"/>
    <col min="14059" max="14060" width="21.7109375" style="232" customWidth="1"/>
    <col min="14061" max="14061" width="8.7109375" style="232"/>
    <col min="14062" max="14062" width="18.140625" style="232" customWidth="1"/>
    <col min="14063" max="14063" width="20.7109375" style="232" bestFit="1" customWidth="1"/>
    <col min="14064" max="14064" width="17" style="232" bestFit="1" customWidth="1"/>
    <col min="14065" max="14065" width="17.140625" style="232" bestFit="1" customWidth="1"/>
    <col min="14066" max="14066" width="16.140625" style="232" bestFit="1" customWidth="1"/>
    <col min="14067" max="14067" width="15" style="232" bestFit="1" customWidth="1"/>
    <col min="14068" max="14068" width="20.140625" style="232" bestFit="1" customWidth="1"/>
    <col min="14069" max="14069" width="13.28515625" style="232" bestFit="1" customWidth="1"/>
    <col min="14070" max="14070" width="16.140625" style="232" bestFit="1" customWidth="1"/>
    <col min="14071" max="14314" width="8.7109375" style="232"/>
    <col min="14315" max="14316" width="21.7109375" style="232" customWidth="1"/>
    <col min="14317" max="14317" width="8.7109375" style="232"/>
    <col min="14318" max="14318" width="18.140625" style="232" customWidth="1"/>
    <col min="14319" max="14319" width="20.7109375" style="232" bestFit="1" customWidth="1"/>
    <col min="14320" max="14320" width="17" style="232" bestFit="1" customWidth="1"/>
    <col min="14321" max="14321" width="17.140625" style="232" bestFit="1" customWidth="1"/>
    <col min="14322" max="14322" width="16.140625" style="232" bestFit="1" customWidth="1"/>
    <col min="14323" max="14323" width="15" style="232" bestFit="1" customWidth="1"/>
    <col min="14324" max="14324" width="20.140625" style="232" bestFit="1" customWidth="1"/>
    <col min="14325" max="14325" width="13.28515625" style="232" bestFit="1" customWidth="1"/>
    <col min="14326" max="14326" width="16.140625" style="232" bestFit="1" customWidth="1"/>
    <col min="14327" max="14570" width="8.7109375" style="232"/>
    <col min="14571" max="14572" width="21.7109375" style="232" customWidth="1"/>
    <col min="14573" max="14573" width="8.7109375" style="232"/>
    <col min="14574" max="14574" width="18.140625" style="232" customWidth="1"/>
    <col min="14575" max="14575" width="20.7109375" style="232" bestFit="1" customWidth="1"/>
    <col min="14576" max="14576" width="17" style="232" bestFit="1" customWidth="1"/>
    <col min="14577" max="14577" width="17.140625" style="232" bestFit="1" customWidth="1"/>
    <col min="14578" max="14578" width="16.140625" style="232" bestFit="1" customWidth="1"/>
    <col min="14579" max="14579" width="15" style="232" bestFit="1" customWidth="1"/>
    <col min="14580" max="14580" width="20.140625" style="232" bestFit="1" customWidth="1"/>
    <col min="14581" max="14581" width="13.28515625" style="232" bestFit="1" customWidth="1"/>
    <col min="14582" max="14582" width="16.140625" style="232" bestFit="1" customWidth="1"/>
    <col min="14583" max="14826" width="8.7109375" style="232"/>
    <col min="14827" max="14828" width="21.7109375" style="232" customWidth="1"/>
    <col min="14829" max="14829" width="8.7109375" style="232"/>
    <col min="14830" max="14830" width="18.140625" style="232" customWidth="1"/>
    <col min="14831" max="14831" width="20.7109375" style="232" bestFit="1" customWidth="1"/>
    <col min="14832" max="14832" width="17" style="232" bestFit="1" customWidth="1"/>
    <col min="14833" max="14833" width="17.140625" style="232" bestFit="1" customWidth="1"/>
    <col min="14834" max="14834" width="16.140625" style="232" bestFit="1" customWidth="1"/>
    <col min="14835" max="14835" width="15" style="232" bestFit="1" customWidth="1"/>
    <col min="14836" max="14836" width="20.140625" style="232" bestFit="1" customWidth="1"/>
    <col min="14837" max="14837" width="13.28515625" style="232" bestFit="1" customWidth="1"/>
    <col min="14838" max="14838" width="16.140625" style="232" bestFit="1" customWidth="1"/>
    <col min="14839" max="15082" width="8.7109375" style="232"/>
    <col min="15083" max="15084" width="21.7109375" style="232" customWidth="1"/>
    <col min="15085" max="15085" width="8.7109375" style="232"/>
    <col min="15086" max="15086" width="18.140625" style="232" customWidth="1"/>
    <col min="15087" max="15087" width="20.7109375" style="232" bestFit="1" customWidth="1"/>
    <col min="15088" max="15088" width="17" style="232" bestFit="1" customWidth="1"/>
    <col min="15089" max="15089" width="17.140625" style="232" bestFit="1" customWidth="1"/>
    <col min="15090" max="15090" width="16.140625" style="232" bestFit="1" customWidth="1"/>
    <col min="15091" max="15091" width="15" style="232" bestFit="1" customWidth="1"/>
    <col min="15092" max="15092" width="20.140625" style="232" bestFit="1" customWidth="1"/>
    <col min="15093" max="15093" width="13.28515625" style="232" bestFit="1" customWidth="1"/>
    <col min="15094" max="15094" width="16.140625" style="232" bestFit="1" customWidth="1"/>
    <col min="15095" max="15338" width="8.7109375" style="232"/>
    <col min="15339" max="15340" width="21.7109375" style="232" customWidth="1"/>
    <col min="15341" max="15341" width="8.7109375" style="232"/>
    <col min="15342" max="15342" width="18.140625" style="232" customWidth="1"/>
    <col min="15343" max="15343" width="20.7109375" style="232" bestFit="1" customWidth="1"/>
    <col min="15344" max="15344" width="17" style="232" bestFit="1" customWidth="1"/>
    <col min="15345" max="15345" width="17.140625" style="232" bestFit="1" customWidth="1"/>
    <col min="15346" max="15346" width="16.140625" style="232" bestFit="1" customWidth="1"/>
    <col min="15347" max="15347" width="15" style="232" bestFit="1" customWidth="1"/>
    <col min="15348" max="15348" width="20.140625" style="232" bestFit="1" customWidth="1"/>
    <col min="15349" max="15349" width="13.28515625" style="232" bestFit="1" customWidth="1"/>
    <col min="15350" max="15350" width="16.140625" style="232" bestFit="1" customWidth="1"/>
    <col min="15351" max="15594" width="8.7109375" style="232"/>
    <col min="15595" max="15596" width="21.7109375" style="232" customWidth="1"/>
    <col min="15597" max="15597" width="8.7109375" style="232"/>
    <col min="15598" max="15598" width="18.140625" style="232" customWidth="1"/>
    <col min="15599" max="15599" width="20.7109375" style="232" bestFit="1" customWidth="1"/>
    <col min="15600" max="15600" width="17" style="232" bestFit="1" customWidth="1"/>
    <col min="15601" max="15601" width="17.140625" style="232" bestFit="1" customWidth="1"/>
    <col min="15602" max="15602" width="16.140625" style="232" bestFit="1" customWidth="1"/>
    <col min="15603" max="15603" width="15" style="232" bestFit="1" customWidth="1"/>
    <col min="15604" max="15604" width="20.140625" style="232" bestFit="1" customWidth="1"/>
    <col min="15605" max="15605" width="13.28515625" style="232" bestFit="1" customWidth="1"/>
    <col min="15606" max="15606" width="16.140625" style="232" bestFit="1" customWidth="1"/>
    <col min="15607" max="15850" width="8.7109375" style="232"/>
    <col min="15851" max="15852" width="21.7109375" style="232" customWidth="1"/>
    <col min="15853" max="15853" width="8.7109375" style="232"/>
    <col min="15854" max="15854" width="18.140625" style="232" customWidth="1"/>
    <col min="15855" max="15855" width="20.7109375" style="232" bestFit="1" customWidth="1"/>
    <col min="15856" max="15856" width="17" style="232" bestFit="1" customWidth="1"/>
    <col min="15857" max="15857" width="17.140625" style="232" bestFit="1" customWidth="1"/>
    <col min="15858" max="15858" width="16.140625" style="232" bestFit="1" customWidth="1"/>
    <col min="15859" max="15859" width="15" style="232" bestFit="1" customWidth="1"/>
    <col min="15860" max="15860" width="20.140625" style="232" bestFit="1" customWidth="1"/>
    <col min="15861" max="15861" width="13.28515625" style="232" bestFit="1" customWidth="1"/>
    <col min="15862" max="15862" width="16.140625" style="232" bestFit="1" customWidth="1"/>
    <col min="15863" max="16106" width="8.7109375" style="232"/>
    <col min="16107" max="16108" width="21.7109375" style="232" customWidth="1"/>
    <col min="16109" max="16109" width="8.7109375" style="232"/>
    <col min="16110" max="16110" width="18.140625" style="232" customWidth="1"/>
    <col min="16111" max="16111" width="20.7109375" style="232" bestFit="1" customWidth="1"/>
    <col min="16112" max="16112" width="17" style="232" bestFit="1" customWidth="1"/>
    <col min="16113" max="16113" width="17.140625" style="232" bestFit="1" customWidth="1"/>
    <col min="16114" max="16114" width="16.140625" style="232" bestFit="1" customWidth="1"/>
    <col min="16115" max="16115" width="15" style="232" bestFit="1" customWidth="1"/>
    <col min="16116" max="16116" width="20.140625" style="232" bestFit="1" customWidth="1"/>
    <col min="16117" max="16117" width="13.28515625" style="232" bestFit="1" customWidth="1"/>
    <col min="16118" max="16118" width="16.140625" style="232" bestFit="1" customWidth="1"/>
    <col min="16119" max="16384" width="8.7109375" style="232"/>
  </cols>
  <sheetData>
    <row r="1" spans="1:27" ht="18.75" x14ac:dyDescent="0.25">
      <c r="A1" s="38" t="s">
        <v>310</v>
      </c>
      <c r="B1"/>
    </row>
    <row r="2" spans="1:27" ht="12.4" customHeight="1" x14ac:dyDescent="0.25">
      <c r="A2" s="31"/>
    </row>
    <row r="3" spans="1:27" ht="15" x14ac:dyDescent="0.25">
      <c r="A3" s="233" t="s">
        <v>153</v>
      </c>
      <c r="B3" s="31"/>
    </row>
    <row r="4" spans="1:27" ht="7.5" customHeight="1" x14ac:dyDescent="0.25">
      <c r="A4" s="233"/>
      <c r="B4" s="31"/>
    </row>
    <row r="5" spans="1:27" ht="15" x14ac:dyDescent="0.25">
      <c r="A5" s="241" t="s">
        <v>314</v>
      </c>
      <c r="B5" s="31"/>
      <c r="C5" s="249">
        <f ca="1">+'S&amp;U Timing'!D10</f>
        <v>26629503.686842505</v>
      </c>
    </row>
    <row r="6" spans="1:27" ht="15" x14ac:dyDescent="0.25">
      <c r="A6" s="241" t="s">
        <v>148</v>
      </c>
      <c r="C6" s="262">
        <f>+'Financing Assumptions'!C11</f>
        <v>0.06</v>
      </c>
      <c r="D6" s="237"/>
      <c r="E6" s="237"/>
    </row>
    <row r="7" spans="1:27" ht="15" x14ac:dyDescent="0.25">
      <c r="A7" s="263"/>
      <c r="B7" s="357"/>
      <c r="C7" s="237"/>
      <c r="D7" s="237"/>
      <c r="E7" s="237"/>
    </row>
    <row r="8" spans="1:27" ht="15" x14ac:dyDescent="0.25">
      <c r="A8" s="241" t="s">
        <v>150</v>
      </c>
      <c r="B8" s="237"/>
      <c r="C8" s="264">
        <f>+'S&amp;U Timing'!G6</f>
        <v>1</v>
      </c>
      <c r="D8" s="264">
        <f t="shared" ref="D8:Z8" si="0">+C8+1</f>
        <v>2</v>
      </c>
      <c r="E8" s="264">
        <f t="shared" si="0"/>
        <v>3</v>
      </c>
      <c r="F8" s="264">
        <f t="shared" si="0"/>
        <v>4</v>
      </c>
      <c r="G8" s="264">
        <f t="shared" si="0"/>
        <v>5</v>
      </c>
      <c r="H8" s="264">
        <f t="shared" si="0"/>
        <v>6</v>
      </c>
      <c r="I8" s="264">
        <f t="shared" si="0"/>
        <v>7</v>
      </c>
      <c r="J8" s="264">
        <f t="shared" si="0"/>
        <v>8</v>
      </c>
      <c r="K8" s="264">
        <f t="shared" si="0"/>
        <v>9</v>
      </c>
      <c r="L8" s="264">
        <f t="shared" si="0"/>
        <v>10</v>
      </c>
      <c r="M8" s="264">
        <f t="shared" si="0"/>
        <v>11</v>
      </c>
      <c r="N8" s="264">
        <f t="shared" si="0"/>
        <v>12</v>
      </c>
      <c r="O8" s="264">
        <f t="shared" si="0"/>
        <v>13</v>
      </c>
      <c r="P8" s="264">
        <f t="shared" si="0"/>
        <v>14</v>
      </c>
      <c r="Q8" s="264">
        <f t="shared" si="0"/>
        <v>15</v>
      </c>
      <c r="R8" s="264">
        <f t="shared" si="0"/>
        <v>16</v>
      </c>
      <c r="S8" s="264">
        <f t="shared" si="0"/>
        <v>17</v>
      </c>
      <c r="T8" s="264">
        <f t="shared" si="0"/>
        <v>18</v>
      </c>
      <c r="U8" s="264">
        <f t="shared" si="0"/>
        <v>19</v>
      </c>
      <c r="V8" s="264">
        <f t="shared" si="0"/>
        <v>20</v>
      </c>
      <c r="W8" s="264">
        <f t="shared" si="0"/>
        <v>21</v>
      </c>
      <c r="X8" s="264">
        <f t="shared" si="0"/>
        <v>22</v>
      </c>
      <c r="Y8" s="264">
        <f t="shared" si="0"/>
        <v>23</v>
      </c>
      <c r="Z8" s="264">
        <f t="shared" si="0"/>
        <v>24</v>
      </c>
      <c r="AA8" s="264" t="s">
        <v>313</v>
      </c>
    </row>
    <row r="9" spans="1:27" ht="15" x14ac:dyDescent="0.25">
      <c r="A9" s="241" t="s">
        <v>311</v>
      </c>
      <c r="B9" s="237"/>
      <c r="C9" s="362">
        <v>0</v>
      </c>
      <c r="D9" s="265">
        <f t="shared" ref="D9:AA9" ca="1" si="1">+C12</f>
        <v>3126643.0959604005</v>
      </c>
      <c r="E9" s="265">
        <f t="shared" ca="1" si="1"/>
        <v>3282729.0020953654</v>
      </c>
      <c r="F9" s="265">
        <f t="shared" ca="1" si="1"/>
        <v>3439599.2595175374</v>
      </c>
      <c r="G9" s="265">
        <f t="shared" ca="1" si="1"/>
        <v>3597257.8096896517</v>
      </c>
      <c r="H9" s="265">
        <f t="shared" ca="1" si="1"/>
        <v>3755708.6138808466</v>
      </c>
      <c r="I9" s="265">
        <f t="shared" ca="1" si="1"/>
        <v>4166211.9346741457</v>
      </c>
      <c r="J9" s="265">
        <f t="shared" ca="1" si="1"/>
        <v>4574889.1084068874</v>
      </c>
      <c r="K9" s="265">
        <f t="shared" ca="1" si="1"/>
        <v>5277598.8137389394</v>
      </c>
      <c r="L9" s="265">
        <f t="shared" ca="1" si="1"/>
        <v>6276698.20177982</v>
      </c>
      <c r="M9" s="265">
        <f t="shared" ca="1" si="1"/>
        <v>7574556.2686167806</v>
      </c>
      <c r="N9" s="265">
        <f t="shared" ca="1" si="1"/>
        <v>8979683.1971487831</v>
      </c>
      <c r="O9" s="265">
        <f t="shared" ca="1" si="1"/>
        <v>10492911.227103001</v>
      </c>
      <c r="P9" s="265">
        <f t="shared" ca="1" si="1"/>
        <v>12018141.421470419</v>
      </c>
      <c r="Q9" s="265">
        <f t="shared" ca="1" si="1"/>
        <v>13555434.092626911</v>
      </c>
      <c r="R9" s="265">
        <f t="shared" ca="1" si="1"/>
        <v>15104849.856039792</v>
      </c>
      <c r="S9" s="265">
        <f t="shared" ca="1" si="1"/>
        <v>16666449.631796535</v>
      </c>
      <c r="T9" s="265">
        <f t="shared" ca="1" si="1"/>
        <v>18143359.287287708</v>
      </c>
      <c r="U9" s="265">
        <f t="shared" ca="1" si="1"/>
        <v>19631795.402667817</v>
      </c>
      <c r="V9" s="265">
        <f t="shared" ca="1" si="1"/>
        <v>21034880.541011546</v>
      </c>
      <c r="W9" s="265">
        <f t="shared" ca="1" si="1"/>
        <v>22254957.24381673</v>
      </c>
      <c r="X9" s="265">
        <f t="shared" ca="1" si="1"/>
        <v>23253869.441148572</v>
      </c>
      <c r="Y9" s="265">
        <f t="shared" ca="1" si="1"/>
        <v>24066569.381993968</v>
      </c>
      <c r="Z9" s="265">
        <f t="shared" ca="1" si="1"/>
        <v>24691534.925826754</v>
      </c>
      <c r="AA9" s="266">
        <f t="shared" ca="1" si="1"/>
        <v>26629503.686495222</v>
      </c>
    </row>
    <row r="10" spans="1:27" ht="15" x14ac:dyDescent="0.25">
      <c r="A10" s="267" t="s">
        <v>154</v>
      </c>
      <c r="B10" s="268"/>
      <c r="C10" s="269">
        <f ca="1">+'S&amp;U Timing'!G10</f>
        <v>3126643.0959603242</v>
      </c>
      <c r="D10" s="269">
        <f ca="1">+'S&amp;U Timing'!H10</f>
        <v>156085.90613429187</v>
      </c>
      <c r="E10" s="269">
        <f ca="1">+'S&amp;U Timing'!I10</f>
        <v>156870.25742139824</v>
      </c>
      <c r="F10" s="269">
        <f ca="1">+'S&amp;U Timing'!J10</f>
        <v>157658.5501722495</v>
      </c>
      <c r="G10" s="269">
        <f ca="1">+'S&amp;U Timing'!K10</f>
        <v>158450.80419319606</v>
      </c>
      <c r="H10" s="269">
        <f ca="1">+'S&amp;U Timing'!L10</f>
        <v>410503.32079716196</v>
      </c>
      <c r="I10" s="269">
        <f ca="1">+'S&amp;U Timing'!M10</f>
        <v>408677.17373664002</v>
      </c>
      <c r="J10" s="269">
        <f ca="1">+'S&amp;U Timing'!N10</f>
        <v>702709.70533247211</v>
      </c>
      <c r="K10" s="269">
        <f ca="1">+'S&amp;U Timing'!O10</f>
        <v>999099.38803423825</v>
      </c>
      <c r="L10" s="269">
        <f ca="1">+'S&amp;U Timing'!P10</f>
        <v>1297858.0668223491</v>
      </c>
      <c r="M10" s="269">
        <f ca="1">+'S&amp;U Timing'!Q10</f>
        <v>1405126.9285139644</v>
      </c>
      <c r="N10" s="269">
        <f ca="1">+'S&amp;U Timing'!R10</f>
        <v>1513228.029943424</v>
      </c>
      <c r="O10" s="269">
        <f ca="1">+'S&amp;U Timing'!S10</f>
        <v>1525230.1943770566</v>
      </c>
      <c r="P10" s="269">
        <f ca="1">+'S&amp;U Timing'!T10</f>
        <v>1537292.6711946644</v>
      </c>
      <c r="Q10" s="269">
        <f ca="1">+'S&amp;U Timing'!U10</f>
        <v>1549415.7634736777</v>
      </c>
      <c r="R10" s="269">
        <f ca="1">+'S&amp;U Timing'!V10</f>
        <v>1561599.7758145996</v>
      </c>
      <c r="S10" s="269">
        <f ca="1">+'S&amp;U Timing'!W10</f>
        <v>1476909.6555057087</v>
      </c>
      <c r="T10" s="269">
        <f ca="1">+'S&amp;U Timing'!X10</f>
        <v>1488436.1153141477</v>
      </c>
      <c r="U10" s="269">
        <f ca="1">+'S&amp;U Timing'!Y10</f>
        <v>1403085.1381885381</v>
      </c>
      <c r="V10" s="269">
        <f ca="1">+'S&amp;U Timing'!Z10</f>
        <v>1220076.7026055604</v>
      </c>
      <c r="W10" s="269">
        <f ca="1">+'S&amp;U Timing'!AA10</f>
        <v>998912.19718322449</v>
      </c>
      <c r="X10" s="269">
        <f ca="1">+'S&amp;U Timing'!AB10</f>
        <v>812699.9408661694</v>
      </c>
      <c r="Y10" s="269">
        <f ca="1">+'S&amp;U Timing'!AC10</f>
        <v>624965.54410262266</v>
      </c>
      <c r="Z10" s="269">
        <f ca="1">+'S&amp;U Timing'!AD10</f>
        <v>1937968.7611596475</v>
      </c>
      <c r="AA10" s="269">
        <f>+'S&amp;U Timing'!AE10</f>
        <v>0</v>
      </c>
    </row>
    <row r="11" spans="1:27" ht="15" x14ac:dyDescent="0.25">
      <c r="A11" s="267" t="s">
        <v>155</v>
      </c>
      <c r="B11" s="270"/>
      <c r="C11" s="265">
        <f t="shared" ref="C11:Z11" ca="1" si="2">(C9+C10)*($C$6/12)</f>
        <v>15633.215479801622</v>
      </c>
      <c r="D11" s="265">
        <f t="shared" ca="1" si="2"/>
        <v>16413.645010473461</v>
      </c>
      <c r="E11" s="265">
        <f t="shared" ca="1" si="2"/>
        <v>17197.996297583817</v>
      </c>
      <c r="F11" s="265">
        <f t="shared" ca="1" si="2"/>
        <v>17986.289048448933</v>
      </c>
      <c r="G11" s="265">
        <f t="shared" ca="1" si="2"/>
        <v>18778.543069414238</v>
      </c>
      <c r="H11" s="265">
        <f t="shared" ca="1" si="2"/>
        <v>20831.059673390046</v>
      </c>
      <c r="I11" s="265">
        <f t="shared" ca="1" si="2"/>
        <v>22874.445542053931</v>
      </c>
      <c r="J11" s="265">
        <f t="shared" ca="1" si="2"/>
        <v>26387.994068696797</v>
      </c>
      <c r="K11" s="265">
        <f t="shared" ca="1" si="2"/>
        <v>31383.491008865891</v>
      </c>
      <c r="L11" s="265">
        <f t="shared" ca="1" si="2"/>
        <v>37872.781343010844</v>
      </c>
      <c r="M11" s="265">
        <f t="shared" ca="1" si="2"/>
        <v>44898.41598565373</v>
      </c>
      <c r="N11" s="265">
        <f t="shared" ca="1" si="2"/>
        <v>52464.556135461033</v>
      </c>
      <c r="O11" s="265">
        <f t="shared" ca="1" si="2"/>
        <v>60090.707107400289</v>
      </c>
      <c r="P11" s="265">
        <f t="shared" ca="1" si="2"/>
        <v>67777.170463325427</v>
      </c>
      <c r="Q11" s="265">
        <f t="shared" ca="1" si="2"/>
        <v>75524.249280502947</v>
      </c>
      <c r="R11" s="265">
        <f t="shared" ca="1" si="2"/>
        <v>83332.248159271971</v>
      </c>
      <c r="S11" s="265">
        <f t="shared" ca="1" si="2"/>
        <v>90716.796436511228</v>
      </c>
      <c r="T11" s="265">
        <f t="shared" ca="1" si="2"/>
        <v>98158.97701300928</v>
      </c>
      <c r="U11" s="265">
        <f t="shared" ca="1" si="2"/>
        <v>105174.40270428178</v>
      </c>
      <c r="V11" s="265">
        <f t="shared" ca="1" si="2"/>
        <v>111274.78621808553</v>
      </c>
      <c r="W11" s="265">
        <f t="shared" ca="1" si="2"/>
        <v>116269.34720499978</v>
      </c>
      <c r="X11" s="265">
        <f t="shared" ca="1" si="2"/>
        <v>120332.8469100737</v>
      </c>
      <c r="Y11" s="265">
        <f t="shared" ca="1" si="2"/>
        <v>123457.67463048296</v>
      </c>
      <c r="Z11" s="265">
        <f t="shared" ca="1" si="2"/>
        <v>133147.51843493202</v>
      </c>
      <c r="AA11" s="265">
        <f ca="1">(AA9+AA10)*($C$6)</f>
        <v>1597770.2211897133</v>
      </c>
    </row>
    <row r="12" spans="1:27" ht="15" x14ac:dyDescent="0.25">
      <c r="A12" s="267" t="s">
        <v>312</v>
      </c>
      <c r="B12" s="270"/>
      <c r="C12" s="265">
        <f t="shared" ref="C12:AA12" ca="1" si="3">+C9+C10</f>
        <v>3126643.0959603242</v>
      </c>
      <c r="D12" s="265">
        <f t="shared" ca="1" si="3"/>
        <v>3282729.0020946926</v>
      </c>
      <c r="E12" s="265">
        <f t="shared" ca="1" si="3"/>
        <v>3439599.2595167635</v>
      </c>
      <c r="F12" s="265">
        <f t="shared" ca="1" si="3"/>
        <v>3597257.8096897868</v>
      </c>
      <c r="G12" s="265">
        <f t="shared" ca="1" si="3"/>
        <v>3755708.6138828476</v>
      </c>
      <c r="H12" s="265">
        <f t="shared" ca="1" si="3"/>
        <v>4166211.9346780088</v>
      </c>
      <c r="I12" s="265">
        <f t="shared" ca="1" si="3"/>
        <v>4574889.1084107859</v>
      </c>
      <c r="J12" s="265">
        <f t="shared" ca="1" si="3"/>
        <v>5277598.8137393594</v>
      </c>
      <c r="K12" s="265">
        <f t="shared" ca="1" si="3"/>
        <v>6276698.2017731778</v>
      </c>
      <c r="L12" s="265">
        <f t="shared" ca="1" si="3"/>
        <v>7574556.2686021691</v>
      </c>
      <c r="M12" s="265">
        <f t="shared" ca="1" si="3"/>
        <v>8979683.1971307453</v>
      </c>
      <c r="N12" s="265">
        <f t="shared" ca="1" si="3"/>
        <v>10492911.227092206</v>
      </c>
      <c r="O12" s="265">
        <f t="shared" ca="1" si="3"/>
        <v>12018141.421480058</v>
      </c>
      <c r="P12" s="265">
        <f t="shared" ca="1" si="3"/>
        <v>13555434.092665084</v>
      </c>
      <c r="Q12" s="265">
        <f t="shared" ca="1" si="3"/>
        <v>15104849.856100589</v>
      </c>
      <c r="R12" s="265">
        <f t="shared" ca="1" si="3"/>
        <v>16666449.631854393</v>
      </c>
      <c r="S12" s="265">
        <f t="shared" ca="1" si="3"/>
        <v>18143359.287302244</v>
      </c>
      <c r="T12" s="265">
        <f t="shared" ca="1" si="3"/>
        <v>19631795.402601857</v>
      </c>
      <c r="U12" s="265">
        <f t="shared" ca="1" si="3"/>
        <v>21034880.540856354</v>
      </c>
      <c r="V12" s="265">
        <f t="shared" ca="1" si="3"/>
        <v>22254957.243617106</v>
      </c>
      <c r="W12" s="265">
        <f t="shared" ca="1" si="3"/>
        <v>23253869.440999955</v>
      </c>
      <c r="X12" s="265">
        <f t="shared" ca="1" si="3"/>
        <v>24066569.38201474</v>
      </c>
      <c r="Y12" s="265">
        <f t="shared" ca="1" si="3"/>
        <v>24691534.926096592</v>
      </c>
      <c r="Z12" s="265">
        <f t="shared" ca="1" si="3"/>
        <v>26629503.686986402</v>
      </c>
      <c r="AA12" s="265">
        <f t="shared" ca="1" si="3"/>
        <v>26629503.686495222</v>
      </c>
    </row>
    <row r="13" spans="1:27" ht="15" x14ac:dyDescent="0.25">
      <c r="A13" s="270"/>
      <c r="B13" s="270"/>
      <c r="C13" s="270"/>
      <c r="D13" s="270"/>
      <c r="E13" s="270"/>
      <c r="F13" s="271"/>
      <c r="G13" s="270"/>
      <c r="H13" s="270"/>
      <c r="I13" s="270"/>
      <c r="J13" s="270"/>
    </row>
    <row r="14" spans="1:27" ht="15" x14ac:dyDescent="0.25">
      <c r="A14" s="233" t="s">
        <v>315</v>
      </c>
      <c r="B14" s="31"/>
    </row>
    <row r="15" spans="1:27" ht="7.5" customHeight="1" x14ac:dyDescent="0.25">
      <c r="A15" s="233"/>
      <c r="B15" s="31"/>
    </row>
    <row r="16" spans="1:27" ht="15" x14ac:dyDescent="0.25">
      <c r="A16" s="241" t="s">
        <v>314</v>
      </c>
      <c r="B16" s="31"/>
      <c r="C16" s="249">
        <f ca="1">+SUM('S&amp;U Timing'!G11:AE11)</f>
        <v>11669369.231810676</v>
      </c>
    </row>
    <row r="17" spans="1:27" ht="15" x14ac:dyDescent="0.25">
      <c r="A17" s="241" t="s">
        <v>148</v>
      </c>
      <c r="C17" s="262">
        <f>+'Financing Assumptions'!C18</f>
        <v>0.06</v>
      </c>
      <c r="D17" s="237"/>
      <c r="E17" s="237"/>
    </row>
    <row r="18" spans="1:27" ht="15" x14ac:dyDescent="0.25">
      <c r="A18" s="263"/>
      <c r="B18" s="357"/>
      <c r="C18" s="237"/>
      <c r="D18" s="237"/>
      <c r="E18" s="237"/>
    </row>
    <row r="19" spans="1:27" ht="15" x14ac:dyDescent="0.25">
      <c r="A19" s="241" t="s">
        <v>150</v>
      </c>
      <c r="B19" s="237"/>
      <c r="C19" s="264">
        <v>1</v>
      </c>
      <c r="D19" s="264">
        <f t="shared" ref="D19:Z19" si="4">+C19+1</f>
        <v>2</v>
      </c>
      <c r="E19" s="264">
        <f t="shared" si="4"/>
        <v>3</v>
      </c>
      <c r="F19" s="264">
        <f t="shared" si="4"/>
        <v>4</v>
      </c>
      <c r="G19" s="264">
        <f t="shared" si="4"/>
        <v>5</v>
      </c>
      <c r="H19" s="264">
        <f t="shared" si="4"/>
        <v>6</v>
      </c>
      <c r="I19" s="264">
        <f t="shared" si="4"/>
        <v>7</v>
      </c>
      <c r="J19" s="264">
        <f t="shared" si="4"/>
        <v>8</v>
      </c>
      <c r="K19" s="264">
        <f t="shared" si="4"/>
        <v>9</v>
      </c>
      <c r="L19" s="264">
        <f t="shared" si="4"/>
        <v>10</v>
      </c>
      <c r="M19" s="264">
        <f t="shared" si="4"/>
        <v>11</v>
      </c>
      <c r="N19" s="264">
        <f t="shared" si="4"/>
        <v>12</v>
      </c>
      <c r="O19" s="264">
        <f t="shared" si="4"/>
        <v>13</v>
      </c>
      <c r="P19" s="264">
        <f t="shared" si="4"/>
        <v>14</v>
      </c>
      <c r="Q19" s="264">
        <f t="shared" si="4"/>
        <v>15</v>
      </c>
      <c r="R19" s="264">
        <f t="shared" si="4"/>
        <v>16</v>
      </c>
      <c r="S19" s="264">
        <f t="shared" si="4"/>
        <v>17</v>
      </c>
      <c r="T19" s="264">
        <f t="shared" si="4"/>
        <v>18</v>
      </c>
      <c r="U19" s="264">
        <f t="shared" si="4"/>
        <v>19</v>
      </c>
      <c r="V19" s="264">
        <f t="shared" si="4"/>
        <v>20</v>
      </c>
      <c r="W19" s="264">
        <f t="shared" si="4"/>
        <v>21</v>
      </c>
      <c r="X19" s="264">
        <f t="shared" si="4"/>
        <v>22</v>
      </c>
      <c r="Y19" s="264">
        <f t="shared" si="4"/>
        <v>23</v>
      </c>
      <c r="Z19" s="264">
        <f t="shared" si="4"/>
        <v>24</v>
      </c>
      <c r="AA19" s="264" t="s">
        <v>313</v>
      </c>
    </row>
    <row r="20" spans="1:27" ht="15" x14ac:dyDescent="0.25">
      <c r="A20" s="241" t="s">
        <v>311</v>
      </c>
      <c r="B20" s="237"/>
      <c r="C20" s="362">
        <v>0</v>
      </c>
      <c r="D20" s="265">
        <f t="shared" ref="D20:I20" si="5">+C24</f>
        <v>0</v>
      </c>
      <c r="E20" s="265">
        <f t="shared" si="5"/>
        <v>0</v>
      </c>
      <c r="F20" s="265">
        <f t="shared" si="5"/>
        <v>0</v>
      </c>
      <c r="G20" s="265">
        <f t="shared" si="5"/>
        <v>0</v>
      </c>
      <c r="H20" s="265">
        <f t="shared" si="5"/>
        <v>0</v>
      </c>
      <c r="I20" s="265">
        <f t="shared" si="5"/>
        <v>0</v>
      </c>
      <c r="J20" s="265">
        <f t="shared" ref="J20:AA20" ca="1" si="6">+I24</f>
        <v>233387.38463622128</v>
      </c>
      <c r="K20" s="265">
        <f t="shared" ca="1" si="6"/>
        <v>641815.30774955871</v>
      </c>
      <c r="L20" s="265">
        <f t="shared" ca="1" si="6"/>
        <v>1225283.7693399475</v>
      </c>
      <c r="M20" s="265">
        <f t="shared" ca="1" si="6"/>
        <v>1983792.7694073878</v>
      </c>
      <c r="N20" s="265">
        <f t="shared" ca="1" si="6"/>
        <v>2800648.6156339133</v>
      </c>
      <c r="O20" s="265">
        <f t="shared" ca="1" si="6"/>
        <v>3675851.3080198523</v>
      </c>
      <c r="P20" s="265">
        <f t="shared" ca="1" si="6"/>
        <v>4551054.0004065279</v>
      </c>
      <c r="Q20" s="265">
        <f t="shared" ca="1" si="6"/>
        <v>5426256.6927940818</v>
      </c>
      <c r="R20" s="265">
        <f t="shared" ca="1" si="6"/>
        <v>6301459.385182064</v>
      </c>
      <c r="S20" s="265">
        <f t="shared" ca="1" si="6"/>
        <v>7176662.0775692547</v>
      </c>
      <c r="T20" s="265">
        <f t="shared" ca="1" si="6"/>
        <v>7993517.9237948852</v>
      </c>
      <c r="U20" s="265">
        <f t="shared" ca="1" si="6"/>
        <v>8810373.7700166889</v>
      </c>
      <c r="V20" s="265">
        <f t="shared" ca="1" si="6"/>
        <v>9568882.7700758986</v>
      </c>
      <c r="W20" s="265">
        <f t="shared" ca="1" si="6"/>
        <v>2917342.3079344695</v>
      </c>
      <c r="X20" s="265">
        <f t="shared" ca="1" si="6"/>
        <v>3442463.9233632721</v>
      </c>
      <c r="Y20" s="265">
        <f t="shared" ca="1" si="6"/>
        <v>3850891.8464858611</v>
      </c>
      <c r="Z20" s="265">
        <f t="shared" ca="1" si="6"/>
        <v>4142626.0773028666</v>
      </c>
      <c r="AA20" s="266">
        <f t="shared" ca="1" si="6"/>
        <v>4376013.4619666021</v>
      </c>
    </row>
    <row r="21" spans="1:27" ht="15" x14ac:dyDescent="0.25">
      <c r="A21" s="267" t="s">
        <v>154</v>
      </c>
      <c r="B21" s="268"/>
      <c r="C21" s="269">
        <f>+'S&amp;U Timing'!G11</f>
        <v>0</v>
      </c>
      <c r="D21" s="269">
        <f>+'S&amp;U Timing'!H11</f>
        <v>0</v>
      </c>
      <c r="E21" s="269">
        <f>+'S&amp;U Timing'!I11</f>
        <v>0</v>
      </c>
      <c r="F21" s="269">
        <f>+'S&amp;U Timing'!J11</f>
        <v>0</v>
      </c>
      <c r="G21" s="269">
        <f>+'S&amp;U Timing'!K11</f>
        <v>0</v>
      </c>
      <c r="H21" s="269">
        <f>+'S&amp;U Timing'!L11</f>
        <v>0</v>
      </c>
      <c r="I21" s="269">
        <f ca="1">+'S&amp;U Timing'!M11</f>
        <v>233387.38463621354</v>
      </c>
      <c r="J21" s="269">
        <f ca="1">+'S&amp;U Timing'!N11</f>
        <v>408427.92311337369</v>
      </c>
      <c r="K21" s="269">
        <f ca="1">+'S&amp;U Timing'!O11</f>
        <v>583468.46159053384</v>
      </c>
      <c r="L21" s="269">
        <f ca="1">+'S&amp;U Timing'!P11</f>
        <v>758509.000067694</v>
      </c>
      <c r="M21" s="269">
        <f ca="1">+'S&amp;U Timing'!Q11</f>
        <v>816855.84622674738</v>
      </c>
      <c r="N21" s="269">
        <f ca="1">+'S&amp;U Timing'!R11</f>
        <v>875202.69238580065</v>
      </c>
      <c r="O21" s="269">
        <f ca="1">+'S&amp;U Timing'!S11</f>
        <v>875202.69238580065</v>
      </c>
      <c r="P21" s="269">
        <f ca="1">+'S&amp;U Timing'!T11</f>
        <v>875202.69238580065</v>
      </c>
      <c r="Q21" s="269">
        <f ca="1">+'S&amp;U Timing'!U11</f>
        <v>875202.69238580065</v>
      </c>
      <c r="R21" s="269">
        <f ca="1">+'S&amp;U Timing'!V11</f>
        <v>875202.69238580065</v>
      </c>
      <c r="S21" s="269">
        <f ca="1">+'S&amp;U Timing'!W11</f>
        <v>816855.84622674738</v>
      </c>
      <c r="T21" s="269">
        <f ca="1">+'S&amp;U Timing'!X11</f>
        <v>816855.84622674738</v>
      </c>
      <c r="U21" s="269">
        <f ca="1">+'S&amp;U Timing'!Y11</f>
        <v>758509.000067694</v>
      </c>
      <c r="V21" s="269">
        <f ca="1">+'S&amp;U Timing'!Z11</f>
        <v>641815.30774958723</v>
      </c>
      <c r="W21" s="269">
        <f ca="1">+'S&amp;U Timing'!AA11</f>
        <v>525121.61543148034</v>
      </c>
      <c r="X21" s="269">
        <f ca="1">+'S&amp;U Timing'!AB11</f>
        <v>408427.92311337369</v>
      </c>
      <c r="Y21" s="269">
        <f ca="1">+'S&amp;U Timing'!AC11</f>
        <v>291734.23079526692</v>
      </c>
      <c r="Z21" s="269">
        <f ca="1">+'S&amp;U Timing'!AD11</f>
        <v>233387.38463621354</v>
      </c>
      <c r="AA21" s="269">
        <f>+'S&amp;U Timing'!AE11</f>
        <v>0</v>
      </c>
    </row>
    <row r="22" spans="1:27" ht="15" x14ac:dyDescent="0.25">
      <c r="A22" s="267" t="s">
        <v>151</v>
      </c>
      <c r="B22" s="268"/>
      <c r="C22" s="269">
        <f>+'S&amp;U Timing'!G12</f>
        <v>0</v>
      </c>
      <c r="D22" s="269">
        <f>+'S&amp;U Timing'!H12</f>
        <v>0</v>
      </c>
      <c r="E22" s="269">
        <f>+'S&amp;U Timing'!I12</f>
        <v>0</v>
      </c>
      <c r="F22" s="269">
        <f>+'S&amp;U Timing'!J12</f>
        <v>0</v>
      </c>
      <c r="G22" s="269">
        <f>+'S&amp;U Timing'!K12</f>
        <v>0</v>
      </c>
      <c r="H22" s="269">
        <f>+'S&amp;U Timing'!L12</f>
        <v>0</v>
      </c>
      <c r="I22" s="269">
        <f>+'S&amp;U Timing'!M12</f>
        <v>0</v>
      </c>
      <c r="J22" s="269">
        <f>+'S&amp;U Timing'!N12</f>
        <v>0</v>
      </c>
      <c r="K22" s="269">
        <f>+'S&amp;U Timing'!O12</f>
        <v>0</v>
      </c>
      <c r="L22" s="269">
        <f>+'S&amp;U Timing'!P12</f>
        <v>0</v>
      </c>
      <c r="M22" s="269">
        <f>+'S&amp;U Timing'!Q12</f>
        <v>0</v>
      </c>
      <c r="N22" s="269">
        <f>+'S&amp;U Timing'!R12</f>
        <v>0</v>
      </c>
      <c r="O22" s="269">
        <f>+'S&amp;U Timing'!S12</f>
        <v>0</v>
      </c>
      <c r="P22" s="269">
        <f>+'S&amp;U Timing'!T12</f>
        <v>0</v>
      </c>
      <c r="Q22" s="269">
        <f>+'S&amp;U Timing'!U12</f>
        <v>0</v>
      </c>
      <c r="R22" s="269">
        <f>+'S&amp;U Timing'!V12</f>
        <v>0</v>
      </c>
      <c r="S22" s="269">
        <f>+'S&amp;U Timing'!W12</f>
        <v>0</v>
      </c>
      <c r="T22" s="269">
        <f>+'S&amp;U Timing'!X12</f>
        <v>0</v>
      </c>
      <c r="U22" s="269">
        <f>+'S&amp;U Timing'!Y12</f>
        <v>0</v>
      </c>
      <c r="V22" s="269">
        <f ca="1">+'S&amp;U Timing'!Z12</f>
        <v>-7293355.7698816722</v>
      </c>
      <c r="W22" s="269">
        <f>+'S&amp;U Timing'!AA12</f>
        <v>0</v>
      </c>
      <c r="X22" s="269">
        <f>+'S&amp;U Timing'!AB12</f>
        <v>0</v>
      </c>
      <c r="Y22" s="269">
        <f>+'S&amp;U Timing'!AC12</f>
        <v>0</v>
      </c>
      <c r="Z22" s="269">
        <f>+'S&amp;U Timing'!AD12</f>
        <v>0</v>
      </c>
      <c r="AA22" s="265">
        <f ca="1">+'S&amp;U Timing'!AE12</f>
        <v>-4376013.4619290028</v>
      </c>
    </row>
    <row r="23" spans="1:27" ht="15" x14ac:dyDescent="0.25">
      <c r="A23" s="267" t="s">
        <v>155</v>
      </c>
      <c r="B23" s="270"/>
      <c r="C23" s="265">
        <f t="shared" ref="C23:H23" si="7">(C20+C21)*($C$17/12)</f>
        <v>0</v>
      </c>
      <c r="D23" s="265">
        <f t="shared" si="7"/>
        <v>0</v>
      </c>
      <c r="E23" s="265">
        <f t="shared" si="7"/>
        <v>0</v>
      </c>
      <c r="F23" s="265">
        <f t="shared" si="7"/>
        <v>0</v>
      </c>
      <c r="G23" s="265">
        <f t="shared" si="7"/>
        <v>0</v>
      </c>
      <c r="H23" s="265">
        <f t="shared" si="7"/>
        <v>0</v>
      </c>
      <c r="I23" s="265">
        <f t="shared" ref="I23:Z23" ca="1" si="8">(I20+I21)*($C$17/12)</f>
        <v>1166.9369231810676</v>
      </c>
      <c r="J23" s="265">
        <f t="shared" ca="1" si="8"/>
        <v>3209.0765387479751</v>
      </c>
      <c r="K23" s="265">
        <f t="shared" ca="1" si="8"/>
        <v>6126.4188467004633</v>
      </c>
      <c r="L23" s="265">
        <f t="shared" ca="1" si="8"/>
        <v>9918.9638470382088</v>
      </c>
      <c r="M23" s="265">
        <f t="shared" ca="1" si="8"/>
        <v>14003.243078170675</v>
      </c>
      <c r="N23" s="265">
        <f t="shared" ca="1" si="8"/>
        <v>18379.25654009857</v>
      </c>
      <c r="O23" s="265">
        <f t="shared" ca="1" si="8"/>
        <v>22755.270002028261</v>
      </c>
      <c r="P23" s="265">
        <f t="shared" ca="1" si="8"/>
        <v>27131.283463961641</v>
      </c>
      <c r="Q23" s="265">
        <f t="shared" ca="1" si="8"/>
        <v>31507.296925899416</v>
      </c>
      <c r="R23" s="265">
        <f t="shared" ca="1" si="8"/>
        <v>35883.310387839323</v>
      </c>
      <c r="S23" s="265">
        <f t="shared" ca="1" si="8"/>
        <v>39967.589618980011</v>
      </c>
      <c r="T23" s="265">
        <f t="shared" ca="1" si="8"/>
        <v>44051.868850108163</v>
      </c>
      <c r="U23" s="265">
        <f t="shared" ca="1" si="8"/>
        <v>47844.413850421915</v>
      </c>
      <c r="V23" s="265">
        <f t="shared" ca="1" si="8"/>
        <v>51053.490389127437</v>
      </c>
      <c r="W23" s="265">
        <f t="shared" ca="1" si="8"/>
        <v>17212.319616829747</v>
      </c>
      <c r="X23" s="265">
        <f t="shared" ca="1" si="8"/>
        <v>19254.459232383229</v>
      </c>
      <c r="Y23" s="265">
        <f t="shared" ca="1" si="8"/>
        <v>20713.130386405643</v>
      </c>
      <c r="Z23" s="265">
        <f t="shared" ca="1" si="8"/>
        <v>21880.067309695398</v>
      </c>
      <c r="AA23" s="265">
        <f ca="1">(AA20+AA21)*($C$17)</f>
        <v>262560.80771799613</v>
      </c>
    </row>
    <row r="24" spans="1:27" ht="15" x14ac:dyDescent="0.25">
      <c r="A24" s="267" t="s">
        <v>312</v>
      </c>
      <c r="B24" s="270"/>
      <c r="C24" s="265">
        <f t="shared" ref="C24:H24" si="9">+C20+C21+C22</f>
        <v>0</v>
      </c>
      <c r="D24" s="265">
        <f t="shared" si="9"/>
        <v>0</v>
      </c>
      <c r="E24" s="265">
        <f t="shared" si="9"/>
        <v>0</v>
      </c>
      <c r="F24" s="265">
        <f t="shared" si="9"/>
        <v>0</v>
      </c>
      <c r="G24" s="265">
        <f t="shared" si="9"/>
        <v>0</v>
      </c>
      <c r="H24" s="265">
        <f t="shared" si="9"/>
        <v>0</v>
      </c>
      <c r="I24" s="265">
        <f t="shared" ref="I24:AA24" ca="1" si="10">+I20+I21+I22</f>
        <v>233387.38463621354</v>
      </c>
      <c r="J24" s="265">
        <f t="shared" ca="1" si="10"/>
        <v>641815.30774959503</v>
      </c>
      <c r="K24" s="265">
        <f t="shared" ca="1" si="10"/>
        <v>1225283.7693400925</v>
      </c>
      <c r="L24" s="265">
        <f t="shared" ca="1" si="10"/>
        <v>1983792.7694076416</v>
      </c>
      <c r="M24" s="265">
        <f t="shared" ca="1" si="10"/>
        <v>2800648.615634135</v>
      </c>
      <c r="N24" s="265">
        <f t="shared" ca="1" si="10"/>
        <v>3675851.308019714</v>
      </c>
      <c r="O24" s="265">
        <f t="shared" ca="1" si="10"/>
        <v>4551054.0004056524</v>
      </c>
      <c r="P24" s="265">
        <f t="shared" ca="1" si="10"/>
        <v>5426256.6927923281</v>
      </c>
      <c r="Q24" s="265">
        <f t="shared" ca="1" si="10"/>
        <v>6301459.3851798829</v>
      </c>
      <c r="R24" s="265">
        <f t="shared" ca="1" si="10"/>
        <v>7176662.0775678642</v>
      </c>
      <c r="S24" s="265">
        <f t="shared" ca="1" si="10"/>
        <v>7993517.9237960018</v>
      </c>
      <c r="T24" s="265">
        <f t="shared" ca="1" si="10"/>
        <v>8810373.7700216323</v>
      </c>
      <c r="U24" s="265">
        <f t="shared" ca="1" si="10"/>
        <v>9568882.770084383</v>
      </c>
      <c r="V24" s="265">
        <f t="shared" ca="1" si="10"/>
        <v>2917342.3079438144</v>
      </c>
      <c r="W24" s="265">
        <f t="shared" ca="1" si="10"/>
        <v>3442463.9233659497</v>
      </c>
      <c r="X24" s="265">
        <f t="shared" ca="1" si="10"/>
        <v>3850891.8464766457</v>
      </c>
      <c r="Y24" s="265">
        <f t="shared" ca="1" si="10"/>
        <v>4142626.0772811281</v>
      </c>
      <c r="Z24" s="265">
        <f t="shared" ca="1" si="10"/>
        <v>4376013.4619390797</v>
      </c>
      <c r="AA24" s="265">
        <f t="shared" ca="1" si="10"/>
        <v>3.7599354982376099E-5</v>
      </c>
    </row>
    <row r="25" spans="1:27" ht="15" x14ac:dyDescent="0.25">
      <c r="A25" s="270"/>
      <c r="B25" s="270"/>
      <c r="C25" s="270"/>
      <c r="D25" s="270"/>
      <c r="E25" s="270"/>
      <c r="F25" s="271"/>
      <c r="G25" s="270"/>
      <c r="H25" s="270"/>
      <c r="I25" s="270"/>
      <c r="J25" s="270"/>
    </row>
    <row r="26" spans="1:27" ht="15" x14ac:dyDescent="0.25">
      <c r="A26" s="233" t="s">
        <v>316</v>
      </c>
      <c r="B26" s="31"/>
    </row>
    <row r="27" spans="1:27" ht="7.5" customHeight="1" x14ac:dyDescent="0.25">
      <c r="A27" s="233"/>
      <c r="B27" s="31"/>
    </row>
    <row r="28" spans="1:27" ht="15" x14ac:dyDescent="0.25">
      <c r="A28" s="241" t="s">
        <v>331</v>
      </c>
      <c r="B28" s="31"/>
      <c r="C28" s="249">
        <f ca="1">+C5</f>
        <v>26629503.686842505</v>
      </c>
    </row>
    <row r="29" spans="1:27" ht="15" x14ac:dyDescent="0.25">
      <c r="A29" s="241" t="s">
        <v>319</v>
      </c>
      <c r="B29" s="31"/>
      <c r="D29" s="249">
        <f ca="1">+C28-C5</f>
        <v>0</v>
      </c>
    </row>
    <row r="30" spans="1:27" ht="15" x14ac:dyDescent="0.25">
      <c r="A30" s="241" t="s">
        <v>148</v>
      </c>
      <c r="C30" s="262">
        <f>+'Financing Assumptions'!C28</f>
        <v>5.5E-2</v>
      </c>
      <c r="D30" s="237"/>
      <c r="E30" s="237"/>
    </row>
    <row r="31" spans="1:27" ht="15" x14ac:dyDescent="0.25">
      <c r="A31" s="263"/>
      <c r="B31" s="357"/>
      <c r="C31" s="237"/>
      <c r="D31" s="237"/>
      <c r="E31" s="237"/>
    </row>
    <row r="32" spans="1:27" ht="15" x14ac:dyDescent="0.25">
      <c r="A32" s="241" t="s">
        <v>150</v>
      </c>
      <c r="B32" s="237"/>
      <c r="C32" s="272">
        <v>1</v>
      </c>
      <c r="D32" s="272">
        <f t="shared" ref="D32:S32" si="11">+C32+1</f>
        <v>2</v>
      </c>
      <c r="E32" s="272">
        <f t="shared" si="11"/>
        <v>3</v>
      </c>
      <c r="F32" s="272">
        <f t="shared" si="11"/>
        <v>4</v>
      </c>
      <c r="G32" s="272">
        <f t="shared" si="11"/>
        <v>5</v>
      </c>
      <c r="H32" s="272">
        <f t="shared" si="11"/>
        <v>6</v>
      </c>
      <c r="I32" s="272">
        <f t="shared" si="11"/>
        <v>7</v>
      </c>
      <c r="J32" s="272">
        <f t="shared" si="11"/>
        <v>8</v>
      </c>
      <c r="K32" s="272">
        <f t="shared" si="11"/>
        <v>9</v>
      </c>
      <c r="L32" s="272">
        <f t="shared" si="11"/>
        <v>10</v>
      </c>
      <c r="M32" s="272">
        <f t="shared" si="11"/>
        <v>11</v>
      </c>
      <c r="N32" s="272">
        <f t="shared" si="11"/>
        <v>12</v>
      </c>
      <c r="O32" s="272">
        <f t="shared" si="11"/>
        <v>13</v>
      </c>
      <c r="P32" s="272">
        <f t="shared" si="11"/>
        <v>14</v>
      </c>
      <c r="Q32" s="272">
        <f t="shared" si="11"/>
        <v>15</v>
      </c>
      <c r="R32" s="272">
        <f t="shared" si="11"/>
        <v>16</v>
      </c>
      <c r="S32" s="272">
        <f t="shared" si="11"/>
        <v>17</v>
      </c>
      <c r="T32" s="273"/>
      <c r="U32" s="273"/>
      <c r="V32" s="273"/>
      <c r="W32" s="273"/>
      <c r="X32" s="273"/>
      <c r="Y32" s="273"/>
      <c r="Z32" s="273"/>
      <c r="AA32" s="274"/>
    </row>
    <row r="33" spans="1:27" ht="15" x14ac:dyDescent="0.25">
      <c r="A33" s="241" t="s">
        <v>311</v>
      </c>
      <c r="B33" s="237"/>
      <c r="C33" s="265">
        <v>0</v>
      </c>
      <c r="D33" s="265">
        <f ca="1">+C28</f>
        <v>26629503.686842505</v>
      </c>
      <c r="E33" s="265">
        <f t="shared" ref="E33:S33" ca="1" si="12">+D37</f>
        <v>26629503.686842311</v>
      </c>
      <c r="F33" s="265">
        <f t="shared" ca="1" si="12"/>
        <v>26629503.686847318</v>
      </c>
      <c r="G33" s="265">
        <f t="shared" ca="1" si="12"/>
        <v>26434566.576344982</v>
      </c>
      <c r="H33" s="265">
        <f t="shared" ca="1" si="12"/>
        <v>26228907.924761098</v>
      </c>
      <c r="I33" s="265">
        <f t="shared" ca="1" si="12"/>
        <v>26011938.04732905</v>
      </c>
      <c r="J33" s="265">
        <f t="shared" ca="1" si="12"/>
        <v>25783034.82662702</v>
      </c>
      <c r="K33" s="265">
        <f t="shared" ca="1" si="12"/>
        <v>25541541.928787939</v>
      </c>
      <c r="L33" s="265">
        <f t="shared" ca="1" si="12"/>
        <v>25286766.921593785</v>
      </c>
      <c r="M33" s="265">
        <f t="shared" ca="1" si="12"/>
        <v>25017979.289053567</v>
      </c>
      <c r="N33" s="265">
        <f t="shared" ca="1" si="12"/>
        <v>24734408.336771138</v>
      </c>
      <c r="O33" s="265">
        <f t="shared" ca="1" si="12"/>
        <v>24435240.982108913</v>
      </c>
      <c r="P33" s="265">
        <f t="shared" ca="1" si="12"/>
        <v>24119619.422834035</v>
      </c>
      <c r="Q33" s="265">
        <f t="shared" ca="1" si="12"/>
        <v>23786638.67757912</v>
      </c>
      <c r="R33" s="265">
        <f t="shared" ca="1" si="12"/>
        <v>23435343.991074052</v>
      </c>
      <c r="S33" s="265">
        <f t="shared" ca="1" si="12"/>
        <v>23064728.096688073</v>
      </c>
      <c r="T33" s="270"/>
      <c r="U33" s="270"/>
      <c r="V33" s="270"/>
      <c r="W33" s="270"/>
      <c r="X33" s="270"/>
      <c r="Y33" s="270"/>
      <c r="Z33" s="270"/>
      <c r="AA33" s="275"/>
    </row>
    <row r="34" spans="1:27" ht="15" x14ac:dyDescent="0.25">
      <c r="A34" s="267" t="s">
        <v>151</v>
      </c>
      <c r="B34" s="268"/>
      <c r="C34" s="265">
        <v>0</v>
      </c>
      <c r="D34" s="265">
        <f ca="1">+D35</f>
        <v>1464622.702776344</v>
      </c>
      <c r="E34" s="265">
        <f ca="1">+E35</f>
        <v>1464622.702776626</v>
      </c>
      <c r="F34" s="276">
        <f ca="1">-PMT($C$30,'Financing Assumptions'!$C$29,$C$28)</f>
        <v>1659559.8132873988</v>
      </c>
      <c r="G34" s="276">
        <f ca="1">-PMT($C$30,'Financing Assumptions'!$C$29,$C$28)</f>
        <v>1659559.8132873988</v>
      </c>
      <c r="H34" s="276">
        <f ca="1">-PMT($C$30,'Financing Assumptions'!$C$29,$C$28)</f>
        <v>1659559.8132873988</v>
      </c>
      <c r="I34" s="276">
        <f ca="1">-PMT($C$30,'Financing Assumptions'!$C$29,$C$28)</f>
        <v>1659559.8132873988</v>
      </c>
      <c r="J34" s="276">
        <f ca="1">-PMT($C$30,'Financing Assumptions'!$C$29,$C$28)</f>
        <v>1659559.8132873988</v>
      </c>
      <c r="K34" s="276">
        <f ca="1">-PMT($C$30,'Financing Assumptions'!$C$29,$C$28)</f>
        <v>1659559.8132873988</v>
      </c>
      <c r="L34" s="276">
        <f ca="1">-PMT($C$30,'Financing Assumptions'!$C$29,$C$28)</f>
        <v>1659559.8132873988</v>
      </c>
      <c r="M34" s="276">
        <f ca="1">-PMT($C$30,'Financing Assumptions'!$C$29,$C$28)</f>
        <v>1659559.8132873988</v>
      </c>
      <c r="N34" s="276">
        <f ca="1">-PMT($C$30,'Financing Assumptions'!$C$29,$C$28)</f>
        <v>1659559.8132873988</v>
      </c>
      <c r="O34" s="276">
        <f ca="1">-PMT($C$30,'Financing Assumptions'!$C$29,$C$28)</f>
        <v>1659559.8132873988</v>
      </c>
      <c r="P34" s="276">
        <f ca="1">-PMT($C$30,'Financing Assumptions'!$C$29,$C$28)</f>
        <v>1659559.8132873988</v>
      </c>
      <c r="Q34" s="276">
        <f ca="1">-PMT($C$30,'Financing Assumptions'!$C$29,$C$28)</f>
        <v>1659559.8132873988</v>
      </c>
      <c r="R34" s="276">
        <f ca="1">-PMT($C$30,'Financing Assumptions'!$C$29,$C$28)</f>
        <v>1659559.8132873988</v>
      </c>
      <c r="S34" s="276">
        <f ca="1">-PMT($C$30,'Financing Assumptions'!$C$29,$C$28)</f>
        <v>1659559.8132873988</v>
      </c>
      <c r="T34" s="277"/>
      <c r="U34" s="277"/>
      <c r="V34" s="277"/>
      <c r="W34" s="277"/>
      <c r="X34" s="277"/>
      <c r="Y34" s="277"/>
      <c r="Z34" s="277"/>
      <c r="AA34" s="270"/>
    </row>
    <row r="35" spans="1:27" ht="15" x14ac:dyDescent="0.25">
      <c r="A35" s="267" t="s">
        <v>155</v>
      </c>
      <c r="B35" s="270"/>
      <c r="C35" s="265">
        <f t="shared" ref="C35" si="13">+C33*$C$30</f>
        <v>0</v>
      </c>
      <c r="D35" s="265">
        <f t="shared" ref="D35:S35" ca="1" si="14">+D33*$C$30</f>
        <v>1464622.7027763377</v>
      </c>
      <c r="E35" s="265">
        <f t="shared" ca="1" si="14"/>
        <v>1464622.702776327</v>
      </c>
      <c r="F35" s="265">
        <f t="shared" ca="1" si="14"/>
        <v>1464622.7027766025</v>
      </c>
      <c r="G35" s="265">
        <f t="shared" ca="1" si="14"/>
        <v>1453901.161698974</v>
      </c>
      <c r="H35" s="265">
        <f t="shared" ca="1" si="14"/>
        <v>1442589.9358618604</v>
      </c>
      <c r="I35" s="265">
        <f t="shared" ca="1" si="14"/>
        <v>1430656.5926030977</v>
      </c>
      <c r="J35" s="265">
        <f t="shared" ca="1" si="14"/>
        <v>1418066.915464486</v>
      </c>
      <c r="K35" s="265">
        <f t="shared" ca="1" si="14"/>
        <v>1404784.8060833367</v>
      </c>
      <c r="L35" s="265">
        <f t="shared" ca="1" si="14"/>
        <v>1390772.1806876583</v>
      </c>
      <c r="M35" s="265">
        <f t="shared" ca="1" si="14"/>
        <v>1375988.8608979462</v>
      </c>
      <c r="N35" s="265">
        <f t="shared" ca="1" si="14"/>
        <v>1360392.4585224127</v>
      </c>
      <c r="O35" s="265">
        <f t="shared" ca="1" si="14"/>
        <v>1343938.2540159903</v>
      </c>
      <c r="P35" s="265">
        <f t="shared" ca="1" si="14"/>
        <v>1326579.068255872</v>
      </c>
      <c r="Q35" s="265">
        <f t="shared" ca="1" si="14"/>
        <v>1308265.1272668515</v>
      </c>
      <c r="R35" s="265">
        <f t="shared" ca="1" si="14"/>
        <v>1288943.9195090728</v>
      </c>
      <c r="S35" s="265">
        <f t="shared" ca="1" si="14"/>
        <v>1268560.045317844</v>
      </c>
      <c r="T35" s="270"/>
      <c r="U35" s="270"/>
      <c r="V35" s="270"/>
      <c r="W35" s="270"/>
      <c r="X35" s="270"/>
      <c r="Y35" s="270"/>
      <c r="Z35" s="270"/>
      <c r="AA35" s="270"/>
    </row>
    <row r="36" spans="1:27" ht="15" x14ac:dyDescent="0.25">
      <c r="A36" s="267" t="s">
        <v>152</v>
      </c>
      <c r="B36" s="270"/>
      <c r="C36" s="265">
        <f t="shared" ref="C36" si="15">+C34-C35</f>
        <v>0</v>
      </c>
      <c r="D36" s="265">
        <f t="shared" ref="D36:S36" ca="1" si="16">+D34-D35</f>
        <v>6.28642737865448E-9</v>
      </c>
      <c r="E36" s="265">
        <f t="shared" ca="1" si="16"/>
        <v>2.989545464515686E-7</v>
      </c>
      <c r="F36" s="276">
        <f t="shared" ca="1" si="16"/>
        <v>194937.11051079631</v>
      </c>
      <c r="G36" s="276">
        <f t="shared" ca="1" si="16"/>
        <v>205658.65158842481</v>
      </c>
      <c r="H36" s="276">
        <f t="shared" ca="1" si="16"/>
        <v>216969.87742553838</v>
      </c>
      <c r="I36" s="276">
        <f t="shared" ca="1" si="16"/>
        <v>228903.22068430111</v>
      </c>
      <c r="J36" s="276">
        <f t="shared" ca="1" si="16"/>
        <v>241492.89782291278</v>
      </c>
      <c r="K36" s="276">
        <f t="shared" ca="1" si="16"/>
        <v>254775.00720406207</v>
      </c>
      <c r="L36" s="276">
        <f t="shared" ca="1" si="16"/>
        <v>268787.63259974052</v>
      </c>
      <c r="M36" s="276">
        <f t="shared" ca="1" si="16"/>
        <v>283570.95238945261</v>
      </c>
      <c r="N36" s="276">
        <f t="shared" ca="1" si="16"/>
        <v>299167.35476498608</v>
      </c>
      <c r="O36" s="276">
        <f t="shared" ca="1" si="16"/>
        <v>315621.55927140848</v>
      </c>
      <c r="P36" s="276">
        <f t="shared" ca="1" si="16"/>
        <v>332980.74503152678</v>
      </c>
      <c r="Q36" s="276">
        <f t="shared" ca="1" si="16"/>
        <v>351294.68602054729</v>
      </c>
      <c r="R36" s="276">
        <f t="shared" ca="1" si="16"/>
        <v>370615.89377832599</v>
      </c>
      <c r="S36" s="276">
        <f t="shared" ca="1" si="16"/>
        <v>390999.76796955476</v>
      </c>
      <c r="T36" s="270"/>
      <c r="U36" s="270"/>
      <c r="V36" s="270"/>
      <c r="W36" s="270"/>
      <c r="X36" s="270"/>
      <c r="Y36" s="270"/>
      <c r="Z36" s="270"/>
      <c r="AA36" s="270"/>
    </row>
    <row r="37" spans="1:27" ht="15" x14ac:dyDescent="0.25">
      <c r="A37" s="267" t="s">
        <v>312</v>
      </c>
      <c r="B37" s="270"/>
      <c r="C37" s="265">
        <f t="shared" ref="C37" si="17">+C33-C36</f>
        <v>0</v>
      </c>
      <c r="D37" s="265">
        <f t="shared" ref="D37:S37" ca="1" si="18">+D33-D36</f>
        <v>26629503.686842497</v>
      </c>
      <c r="E37" s="265">
        <f t="shared" ca="1" si="18"/>
        <v>26629503.686842013</v>
      </c>
      <c r="F37" s="265">
        <f t="shared" ca="1" si="18"/>
        <v>26434566.576336522</v>
      </c>
      <c r="G37" s="265">
        <f t="shared" ca="1" si="18"/>
        <v>26228907.924756557</v>
      </c>
      <c r="H37" s="265">
        <f t="shared" ca="1" si="18"/>
        <v>26011938.047335558</v>
      </c>
      <c r="I37" s="265">
        <f t="shared" ca="1" si="18"/>
        <v>25783034.826644748</v>
      </c>
      <c r="J37" s="265">
        <f t="shared" ca="1" si="18"/>
        <v>25541541.928804107</v>
      </c>
      <c r="K37" s="265">
        <f t="shared" ca="1" si="18"/>
        <v>25286766.921583876</v>
      </c>
      <c r="L37" s="265">
        <f t="shared" ca="1" si="18"/>
        <v>25017979.288994044</v>
      </c>
      <c r="M37" s="265">
        <f t="shared" ca="1" si="18"/>
        <v>24734408.336664114</v>
      </c>
      <c r="N37" s="265">
        <f t="shared" ca="1" si="18"/>
        <v>24435240.982006151</v>
      </c>
      <c r="O37" s="265">
        <f t="shared" ca="1" si="18"/>
        <v>24119619.422837503</v>
      </c>
      <c r="P37" s="265">
        <f t="shared" ca="1" si="18"/>
        <v>23786638.677802507</v>
      </c>
      <c r="Q37" s="265">
        <f t="shared" ca="1" si="18"/>
        <v>23435343.991558574</v>
      </c>
      <c r="R37" s="265">
        <f t="shared" ca="1" si="18"/>
        <v>23064728.097295724</v>
      </c>
      <c r="S37" s="265">
        <f t="shared" ca="1" si="18"/>
        <v>22673728.328718517</v>
      </c>
      <c r="T37" s="270"/>
      <c r="U37" s="270"/>
      <c r="V37" s="270"/>
      <c r="W37" s="270"/>
      <c r="X37" s="270"/>
      <c r="Y37" s="270"/>
      <c r="Z37" s="270"/>
      <c r="AA37" s="270"/>
    </row>
    <row r="38" spans="1:27" ht="15" x14ac:dyDescent="0.25">
      <c r="A38" s="267" t="s">
        <v>109</v>
      </c>
      <c r="B38" s="270"/>
      <c r="C38" s="265">
        <f>+C34-C37</f>
        <v>0</v>
      </c>
      <c r="D38" s="265">
        <f ca="1">+D33*'Financing Assumptions'!$C$30</f>
        <v>53259.00737368501</v>
      </c>
      <c r="E38" s="265">
        <f ca="1">+E33*'Financing Assumptions'!$C$30</f>
        <v>53259.007373684624</v>
      </c>
      <c r="F38" s="265">
        <f ca="1">+F33*'Financing Assumptions'!$C$30</f>
        <v>53259.007373694636</v>
      </c>
      <c r="G38" s="265">
        <f ca="1">+G33*'Financing Assumptions'!$C$30</f>
        <v>52869.133152689967</v>
      </c>
      <c r="H38" s="265">
        <f ca="1">+H33*'Financing Assumptions'!$C$30</f>
        <v>52457.815849522194</v>
      </c>
      <c r="I38" s="265">
        <f ca="1">+I33*'Financing Assumptions'!$C$30</f>
        <v>52023.876094658102</v>
      </c>
      <c r="J38" s="265">
        <f ca="1">+J33*'Financing Assumptions'!$C$30</f>
        <v>51566.069653254039</v>
      </c>
      <c r="K38" s="265">
        <f ca="1">+K33*'Financing Assumptions'!$C$30</f>
        <v>51083.083857575883</v>
      </c>
      <c r="L38" s="265">
        <f ca="1">+L33*'Financing Assumptions'!$C$30</f>
        <v>50573.533843187572</v>
      </c>
      <c r="M38" s="265">
        <f ca="1">+M33*'Financing Assumptions'!$C$30</f>
        <v>50035.958578107136</v>
      </c>
      <c r="N38" s="265">
        <f ca="1">+N33*'Financing Assumptions'!$C$30</f>
        <v>49468.816673542278</v>
      </c>
      <c r="O38" s="265">
        <f ca="1">+O33*'Financing Assumptions'!$C$30</f>
        <v>48870.481964217826</v>
      </c>
      <c r="P38" s="265">
        <f ca="1">+P33*'Financing Assumptions'!$C$30</f>
        <v>48239.238845668071</v>
      </c>
      <c r="Q38" s="265">
        <f ca="1">+Q33*'Financing Assumptions'!$C$30</f>
        <v>47573.277355158243</v>
      </c>
      <c r="R38" s="265">
        <f ca="1">+R33*'Financing Assumptions'!$C$30</f>
        <v>46870.687982148105</v>
      </c>
      <c r="S38" s="265">
        <f ca="1">+S33*'Financing Assumptions'!$C$30</f>
        <v>46129.456193376151</v>
      </c>
    </row>
    <row r="39" spans="1:27" ht="15" x14ac:dyDescent="0.25">
      <c r="A39" s="267" t="s">
        <v>110</v>
      </c>
      <c r="B39" s="270"/>
      <c r="C39" s="265">
        <f>+C35-C38</f>
        <v>0</v>
      </c>
      <c r="D39" s="265">
        <f>+'Financing Assumptions'!C31</f>
        <v>5000</v>
      </c>
      <c r="E39" s="265">
        <f t="shared" ref="E39:S39" si="19">+D39</f>
        <v>5000</v>
      </c>
      <c r="F39" s="265">
        <f t="shared" si="19"/>
        <v>5000</v>
      </c>
      <c r="G39" s="265">
        <f t="shared" si="19"/>
        <v>5000</v>
      </c>
      <c r="H39" s="265">
        <f t="shared" si="19"/>
        <v>5000</v>
      </c>
      <c r="I39" s="265">
        <f t="shared" si="19"/>
        <v>5000</v>
      </c>
      <c r="J39" s="265">
        <f t="shared" si="19"/>
        <v>5000</v>
      </c>
      <c r="K39" s="265">
        <f t="shared" si="19"/>
        <v>5000</v>
      </c>
      <c r="L39" s="265">
        <f t="shared" si="19"/>
        <v>5000</v>
      </c>
      <c r="M39" s="265">
        <f t="shared" si="19"/>
        <v>5000</v>
      </c>
      <c r="N39" s="265">
        <f t="shared" si="19"/>
        <v>5000</v>
      </c>
      <c r="O39" s="265">
        <f t="shared" si="19"/>
        <v>5000</v>
      </c>
      <c r="P39" s="265">
        <f t="shared" si="19"/>
        <v>5000</v>
      </c>
      <c r="Q39" s="265">
        <f t="shared" si="19"/>
        <v>5000</v>
      </c>
      <c r="R39" s="265">
        <f t="shared" si="19"/>
        <v>5000</v>
      </c>
      <c r="S39" s="265">
        <f t="shared" si="19"/>
        <v>5000</v>
      </c>
    </row>
    <row r="40" spans="1:27" ht="15" x14ac:dyDescent="0.25">
      <c r="A40" s="267" t="s">
        <v>115</v>
      </c>
      <c r="B40" s="270"/>
      <c r="C40" s="265">
        <f>+C36-C39</f>
        <v>0</v>
      </c>
      <c r="D40" s="265">
        <f ca="1">+D33*'Financing Assumptions'!$C$32</f>
        <v>26629.503686842505</v>
      </c>
      <c r="E40" s="265">
        <f ca="1">+E33*'Financing Assumptions'!$C$32</f>
        <v>26629.503686842312</v>
      </c>
      <c r="F40" s="265">
        <f ca="1">+F33*'Financing Assumptions'!$C$32</f>
        <v>26629.503686847318</v>
      </c>
      <c r="G40" s="265">
        <f ca="1">+G33*'Financing Assumptions'!$C$32</f>
        <v>26434.566576344983</v>
      </c>
      <c r="H40" s="265">
        <f ca="1">+H33*'Financing Assumptions'!$C$32</f>
        <v>26228.907924761097</v>
      </c>
      <c r="I40" s="265">
        <f ca="1">+I33*'Financing Assumptions'!$C$32</f>
        <v>26011.938047329051</v>
      </c>
      <c r="J40" s="265">
        <f ca="1">+J33*'Financing Assumptions'!$C$32</f>
        <v>25783.034826627019</v>
      </c>
      <c r="K40" s="265">
        <f ca="1">+K33*'Financing Assumptions'!$C$32</f>
        <v>25541.541928787941</v>
      </c>
      <c r="L40" s="265">
        <f ca="1">+L33*'Financing Assumptions'!$C$32</f>
        <v>25286.766921593786</v>
      </c>
      <c r="M40" s="265">
        <f ca="1">+M33*'Financing Assumptions'!$C$32</f>
        <v>25017.979289053568</v>
      </c>
      <c r="N40" s="265">
        <f ca="1">+N33*'Financing Assumptions'!$C$32</f>
        <v>24734.408336771139</v>
      </c>
      <c r="O40" s="265">
        <f ca="1">+O33*'Financing Assumptions'!$C$32</f>
        <v>24435.240982108913</v>
      </c>
      <c r="P40" s="265">
        <f ca="1">+P33*'Financing Assumptions'!$C$32</f>
        <v>24119.619422834036</v>
      </c>
      <c r="Q40" s="265">
        <f ca="1">+Q33*'Financing Assumptions'!$C$32</f>
        <v>23786.638677579122</v>
      </c>
      <c r="R40" s="265">
        <f ca="1">+R33*'Financing Assumptions'!$C$32</f>
        <v>23435.343991074053</v>
      </c>
      <c r="S40" s="265">
        <f ca="1">+S33*'Financing Assumptions'!$C$32</f>
        <v>23064.728096688075</v>
      </c>
    </row>
    <row r="41" spans="1:27" ht="15" x14ac:dyDescent="0.25">
      <c r="A41" s="270"/>
      <c r="B41" s="270"/>
      <c r="C41" s="270"/>
      <c r="D41" s="270"/>
      <c r="E41" s="270"/>
      <c r="F41" s="271"/>
      <c r="G41" s="270"/>
      <c r="H41" s="270"/>
      <c r="I41" s="270"/>
      <c r="J41" s="270"/>
    </row>
    <row r="42" spans="1:27" ht="15" x14ac:dyDescent="0.25">
      <c r="A42" s="233" t="s">
        <v>321</v>
      </c>
      <c r="B42" s="31"/>
    </row>
    <row r="43" spans="1:27" ht="7.5" customHeight="1" x14ac:dyDescent="0.25">
      <c r="A43" s="233"/>
      <c r="B43" s="31"/>
    </row>
    <row r="44" spans="1:27" ht="15" x14ac:dyDescent="0.25">
      <c r="A44" s="241" t="s">
        <v>314</v>
      </c>
      <c r="B44" s="31"/>
      <c r="C44" s="249">
        <f ca="1">+'Sources &amp; Uses'!I24</f>
        <v>2131813.0761792511</v>
      </c>
    </row>
    <row r="45" spans="1:27" ht="15" x14ac:dyDescent="0.25">
      <c r="A45" s="241" t="s">
        <v>148</v>
      </c>
      <c r="C45" s="262">
        <v>0</v>
      </c>
      <c r="D45" s="237"/>
      <c r="E45" s="237"/>
    </row>
    <row r="46" spans="1:27" ht="15" x14ac:dyDescent="0.25">
      <c r="A46" s="263"/>
      <c r="B46" s="357"/>
      <c r="C46" s="237"/>
      <c r="D46" s="237"/>
      <c r="E46" s="237"/>
    </row>
    <row r="47" spans="1:27" ht="15" x14ac:dyDescent="0.25">
      <c r="A47" s="241" t="s">
        <v>150</v>
      </c>
      <c r="B47" s="237"/>
      <c r="C47" s="272">
        <v>1</v>
      </c>
      <c r="D47" s="272">
        <f t="shared" ref="D47:S47" si="20">+C47+1</f>
        <v>2</v>
      </c>
      <c r="E47" s="272">
        <f t="shared" si="20"/>
        <v>3</v>
      </c>
      <c r="F47" s="272">
        <f t="shared" si="20"/>
        <v>4</v>
      </c>
      <c r="G47" s="272">
        <f t="shared" si="20"/>
        <v>5</v>
      </c>
      <c r="H47" s="272">
        <f t="shared" si="20"/>
        <v>6</v>
      </c>
      <c r="I47" s="272">
        <f t="shared" si="20"/>
        <v>7</v>
      </c>
      <c r="J47" s="272">
        <f t="shared" si="20"/>
        <v>8</v>
      </c>
      <c r="K47" s="272">
        <f t="shared" si="20"/>
        <v>9</v>
      </c>
      <c r="L47" s="272">
        <f t="shared" si="20"/>
        <v>10</v>
      </c>
      <c r="M47" s="272">
        <f t="shared" si="20"/>
        <v>11</v>
      </c>
      <c r="N47" s="272">
        <f t="shared" si="20"/>
        <v>12</v>
      </c>
      <c r="O47" s="272">
        <f t="shared" si="20"/>
        <v>13</v>
      </c>
      <c r="P47" s="272">
        <f t="shared" si="20"/>
        <v>14</v>
      </c>
      <c r="Q47" s="272">
        <f t="shared" si="20"/>
        <v>15</v>
      </c>
      <c r="R47" s="272">
        <f t="shared" si="20"/>
        <v>16</v>
      </c>
      <c r="S47" s="272">
        <f t="shared" si="20"/>
        <v>17</v>
      </c>
      <c r="T47" s="278"/>
      <c r="U47" s="278"/>
      <c r="V47" s="278"/>
      <c r="W47" s="278"/>
      <c r="X47" s="278"/>
      <c r="Y47" s="278"/>
      <c r="Z47" s="278"/>
      <c r="AA47" s="278"/>
    </row>
    <row r="48" spans="1:27" ht="15" x14ac:dyDescent="0.25">
      <c r="A48" s="241" t="s">
        <v>311</v>
      </c>
      <c r="B48" s="237"/>
      <c r="C48" s="265">
        <f ca="1">+C44</f>
        <v>2131813.0761792511</v>
      </c>
      <c r="D48" s="265">
        <f t="shared" ref="D48:S48" ca="1" si="21">+C51</f>
        <v>2131813.0761792557</v>
      </c>
      <c r="E48" s="265">
        <f t="shared" ca="1" si="21"/>
        <v>1856968.7939075159</v>
      </c>
      <c r="F48" s="265">
        <f t="shared" ca="1" si="21"/>
        <v>1559450.0778398733</v>
      </c>
      <c r="G48" s="265">
        <f t="shared" ca="1" si="21"/>
        <v>1414600.341680137</v>
      </c>
      <c r="H48" s="265">
        <f t="shared" ca="1" si="21"/>
        <v>1246299.9942554897</v>
      </c>
      <c r="I48" s="265">
        <f t="shared" ca="1" si="21"/>
        <v>1054434.5861939227</v>
      </c>
      <c r="J48" s="265">
        <f t="shared" ca="1" si="21"/>
        <v>838897.50431234366</v>
      </c>
      <c r="K48" s="265">
        <f t="shared" ca="1" si="21"/>
        <v>599590.40395120974</v>
      </c>
      <c r="L48" s="265">
        <f t="shared" ca="1" si="21"/>
        <v>336423.65667560545</v>
      </c>
      <c r="M48" s="265">
        <f t="shared" ca="1" si="21"/>
        <v>49316.81376698555</v>
      </c>
      <c r="N48" s="265">
        <f t="shared" ca="1" si="21"/>
        <v>0</v>
      </c>
      <c r="O48" s="265">
        <f t="shared" ca="1" si="21"/>
        <v>0</v>
      </c>
      <c r="P48" s="265">
        <f t="shared" ca="1" si="21"/>
        <v>0</v>
      </c>
      <c r="Q48" s="265">
        <f t="shared" ca="1" si="21"/>
        <v>0</v>
      </c>
      <c r="R48" s="265">
        <f t="shared" ca="1" si="21"/>
        <v>0</v>
      </c>
      <c r="S48" s="265">
        <f t="shared" ca="1" si="21"/>
        <v>0</v>
      </c>
      <c r="T48" s="270"/>
      <c r="U48" s="270"/>
      <c r="V48" s="270"/>
      <c r="W48" s="270"/>
      <c r="X48" s="270"/>
      <c r="Y48" s="270"/>
      <c r="Z48" s="270"/>
      <c r="AA48" s="275"/>
    </row>
    <row r="49" spans="1:27" ht="15" x14ac:dyDescent="0.25">
      <c r="A49" s="267" t="s">
        <v>151</v>
      </c>
      <c r="B49" s="338"/>
      <c r="C49" s="269">
        <f ca="1">MAX(0,MIN(C48,'17-year Pro Forma'!D40))</f>
        <v>0</v>
      </c>
      <c r="D49" s="269">
        <f ca="1">MAX(0,MIN(D48,'17-year Pro Forma'!E40))</f>
        <v>274844.28227248805</v>
      </c>
      <c r="E49" s="269">
        <f ca="1">MAX(0,MIN(E48,'17-year Pro Forma'!F40))</f>
        <v>297518.71606874629</v>
      </c>
      <c r="F49" s="269">
        <f ca="1">MAX(0,MIN(F48,'17-year Pro Forma'!G40))</f>
        <v>144849.73616038129</v>
      </c>
      <c r="G49" s="269">
        <f ca="1">MAX(0,MIN(G48,'17-year Pro Forma'!H40))</f>
        <v>168300.34742464352</v>
      </c>
      <c r="H49" s="269">
        <f ca="1">MAX(0,MIN(H48,'17-year Pro Forma'!I40))</f>
        <v>191865.40806130064</v>
      </c>
      <c r="I49" s="269">
        <f ca="1">MAX(0,MIN(I48,'17-year Pro Forma'!J40))</f>
        <v>215537.08188212849</v>
      </c>
      <c r="J49" s="269">
        <f ca="1">MAX(0,MIN(J48,'17-year Pro Forma'!K40))</f>
        <v>239307.10036387853</v>
      </c>
      <c r="K49" s="269">
        <f ca="1">MAX(0,MIN(K48,'17-year Pro Forma'!L40))</f>
        <v>263166.74728116288</v>
      </c>
      <c r="L49" s="269">
        <f ca="1">MAX(0,MIN(L48,'17-year Pro Forma'!M40))</f>
        <v>287106.84291555587</v>
      </c>
      <c r="M49" s="269">
        <f ca="1">MAX(0,MIN(M48,'17-year Pro Forma'!N40))</f>
        <v>49316.81376698555</v>
      </c>
      <c r="N49" s="269">
        <f ca="1">MAX(0,MIN(N48,'17-year Pro Forma'!O40))</f>
        <v>0</v>
      </c>
      <c r="O49" s="269">
        <f ca="1">MAX(0,MIN(O48,'17-year Pro Forma'!P40))</f>
        <v>0</v>
      </c>
      <c r="P49" s="269">
        <f ca="1">MAX(0,MIN(P48,'17-year Pro Forma'!Q40))</f>
        <v>0</v>
      </c>
      <c r="Q49" s="269">
        <f ca="1">MAX(0,MIN(Q48,'17-year Pro Forma'!R40))</f>
        <v>0</v>
      </c>
      <c r="R49" s="269">
        <f ca="1">MAX(0,MIN(R48,'17-year Pro Forma'!S40))</f>
        <v>0</v>
      </c>
      <c r="S49" s="269">
        <f ca="1">MAX(0,MIN(S48,'17-year Pro Forma'!T40))</f>
        <v>0</v>
      </c>
      <c r="T49" s="277"/>
      <c r="U49" s="277"/>
      <c r="V49" s="277"/>
      <c r="W49" s="277"/>
      <c r="X49" s="277"/>
      <c r="Y49" s="277"/>
      <c r="Z49" s="277"/>
      <c r="AA49" s="270"/>
    </row>
    <row r="50" spans="1:27" ht="15" x14ac:dyDescent="0.25">
      <c r="A50" s="267" t="s">
        <v>155</v>
      </c>
      <c r="B50" s="270"/>
      <c r="C50" s="265">
        <f t="shared" ref="C50:S50" ca="1" si="22">(C48)*($C$45)</f>
        <v>0</v>
      </c>
      <c r="D50" s="265">
        <f t="shared" ca="1" si="22"/>
        <v>0</v>
      </c>
      <c r="E50" s="265">
        <f t="shared" ca="1" si="22"/>
        <v>0</v>
      </c>
      <c r="F50" s="265">
        <f t="shared" ca="1" si="22"/>
        <v>0</v>
      </c>
      <c r="G50" s="265">
        <f t="shared" ca="1" si="22"/>
        <v>0</v>
      </c>
      <c r="H50" s="265">
        <f t="shared" ca="1" si="22"/>
        <v>0</v>
      </c>
      <c r="I50" s="265">
        <f t="shared" ca="1" si="22"/>
        <v>0</v>
      </c>
      <c r="J50" s="265">
        <f t="shared" ca="1" si="22"/>
        <v>0</v>
      </c>
      <c r="K50" s="265">
        <f t="shared" ca="1" si="22"/>
        <v>0</v>
      </c>
      <c r="L50" s="265">
        <f t="shared" ca="1" si="22"/>
        <v>0</v>
      </c>
      <c r="M50" s="265">
        <f t="shared" ca="1" si="22"/>
        <v>0</v>
      </c>
      <c r="N50" s="265">
        <f t="shared" ca="1" si="22"/>
        <v>0</v>
      </c>
      <c r="O50" s="265">
        <f t="shared" ca="1" si="22"/>
        <v>0</v>
      </c>
      <c r="P50" s="265">
        <f t="shared" ca="1" si="22"/>
        <v>0</v>
      </c>
      <c r="Q50" s="265">
        <f t="shared" ca="1" si="22"/>
        <v>0</v>
      </c>
      <c r="R50" s="265">
        <f t="shared" ca="1" si="22"/>
        <v>0</v>
      </c>
      <c r="S50" s="265">
        <f t="shared" ca="1" si="22"/>
        <v>0</v>
      </c>
      <c r="T50" s="270"/>
      <c r="U50" s="270"/>
      <c r="V50" s="270"/>
      <c r="W50" s="270"/>
      <c r="X50" s="270"/>
      <c r="Y50" s="270"/>
      <c r="Z50" s="270"/>
      <c r="AA50" s="270"/>
    </row>
    <row r="51" spans="1:27" ht="15" x14ac:dyDescent="0.25">
      <c r="A51" s="267" t="s">
        <v>312</v>
      </c>
      <c r="B51" s="270"/>
      <c r="C51" s="265">
        <f t="shared" ref="C51:S51" ca="1" si="23">+C48-C49</f>
        <v>2131813.0761792511</v>
      </c>
      <c r="D51" s="265">
        <f t="shared" ca="1" si="23"/>
        <v>1856968.7939067676</v>
      </c>
      <c r="E51" s="265">
        <f t="shared" ca="1" si="23"/>
        <v>1559450.0778387696</v>
      </c>
      <c r="F51" s="265">
        <f t="shared" ca="1" si="23"/>
        <v>1414600.341679492</v>
      </c>
      <c r="G51" s="265">
        <f t="shared" ca="1" si="23"/>
        <v>1246299.9942554934</v>
      </c>
      <c r="H51" s="265">
        <f t="shared" ca="1" si="23"/>
        <v>1054434.586194189</v>
      </c>
      <c r="I51" s="265">
        <f t="shared" ca="1" si="23"/>
        <v>838897.50431179418</v>
      </c>
      <c r="J51" s="265">
        <f t="shared" ca="1" si="23"/>
        <v>599590.40394846513</v>
      </c>
      <c r="K51" s="265">
        <f t="shared" ca="1" si="23"/>
        <v>336423.65667004685</v>
      </c>
      <c r="L51" s="265">
        <f t="shared" ca="1" si="23"/>
        <v>49316.813760049583</v>
      </c>
      <c r="M51" s="265">
        <f t="shared" ca="1" si="23"/>
        <v>0</v>
      </c>
      <c r="N51" s="265">
        <f t="shared" ca="1" si="23"/>
        <v>0</v>
      </c>
      <c r="O51" s="265">
        <f t="shared" ca="1" si="23"/>
        <v>0</v>
      </c>
      <c r="P51" s="265">
        <f t="shared" ca="1" si="23"/>
        <v>0</v>
      </c>
      <c r="Q51" s="265">
        <f t="shared" ca="1" si="23"/>
        <v>0</v>
      </c>
      <c r="R51" s="265">
        <f t="shared" ca="1" si="23"/>
        <v>0</v>
      </c>
      <c r="S51" s="265">
        <f t="shared" ca="1" si="23"/>
        <v>0</v>
      </c>
      <c r="T51" s="270"/>
      <c r="U51" s="270"/>
      <c r="V51" s="270"/>
      <c r="W51" s="270"/>
      <c r="X51" s="270"/>
      <c r="Y51" s="270"/>
      <c r="Z51" s="270"/>
      <c r="AA51" s="270"/>
    </row>
    <row r="52" spans="1:27" ht="15" x14ac:dyDescent="0.25">
      <c r="A52" s="270"/>
      <c r="B52" s="270"/>
      <c r="C52" s="270"/>
      <c r="D52" s="270"/>
      <c r="E52" s="270"/>
      <c r="F52" s="271"/>
      <c r="G52" s="270"/>
      <c r="H52" s="270"/>
      <c r="I52" s="270"/>
      <c r="J52" s="270"/>
    </row>
    <row r="53" spans="1:27" ht="15" x14ac:dyDescent="0.25">
      <c r="A53" s="270"/>
      <c r="B53" s="270"/>
      <c r="C53" s="270"/>
      <c r="D53" s="270"/>
      <c r="E53" s="270"/>
      <c r="F53" s="271"/>
      <c r="G53" s="270"/>
      <c r="H53" s="270"/>
      <c r="I53" s="270"/>
      <c r="J53" s="270"/>
    </row>
    <row r="54" spans="1:27" ht="15" x14ac:dyDescent="0.25">
      <c r="A54" s="270"/>
      <c r="B54" s="270"/>
      <c r="C54" s="270"/>
      <c r="D54" s="270"/>
      <c r="E54" s="270"/>
      <c r="F54" s="271"/>
      <c r="G54" s="270"/>
      <c r="H54" s="270"/>
      <c r="I54" s="270"/>
      <c r="J54" s="270"/>
    </row>
    <row r="55" spans="1:27" ht="15" x14ac:dyDescent="0.25">
      <c r="A55" s="270"/>
      <c r="B55" s="270"/>
      <c r="C55" s="270"/>
      <c r="D55" s="270"/>
      <c r="E55" s="270"/>
      <c r="F55" s="271"/>
      <c r="G55" s="270"/>
      <c r="H55" s="270"/>
      <c r="I55" s="270"/>
      <c r="J55" s="270"/>
    </row>
    <row r="56" spans="1:27" ht="15" x14ac:dyDescent="0.25">
      <c r="A56" s="270"/>
      <c r="B56" s="270"/>
      <c r="C56" s="270"/>
      <c r="D56" s="270"/>
      <c r="E56" s="270"/>
      <c r="F56" s="271"/>
      <c r="G56" s="270"/>
      <c r="H56" s="270"/>
      <c r="I56" s="270"/>
      <c r="J56" s="270"/>
    </row>
    <row r="57" spans="1:27" ht="15" x14ac:dyDescent="0.25">
      <c r="A57" s="270"/>
      <c r="B57" s="270"/>
      <c r="C57" s="270"/>
      <c r="D57" s="270"/>
      <c r="E57" s="270"/>
      <c r="F57" s="271"/>
      <c r="G57" s="270"/>
      <c r="H57" s="270"/>
      <c r="I57" s="270"/>
      <c r="J57" s="270"/>
    </row>
    <row r="58" spans="1:27" ht="15" x14ac:dyDescent="0.25">
      <c r="A58" s="270"/>
      <c r="B58" s="270"/>
      <c r="C58" s="270"/>
      <c r="D58" s="270"/>
      <c r="E58" s="270"/>
      <c r="F58" s="271"/>
      <c r="G58" s="270"/>
      <c r="H58" s="270"/>
      <c r="I58" s="270"/>
      <c r="J58" s="270"/>
    </row>
    <row r="59" spans="1:27" ht="15" x14ac:dyDescent="0.25">
      <c r="A59" s="270"/>
      <c r="B59" s="270"/>
      <c r="C59" s="270"/>
      <c r="D59" s="270"/>
      <c r="E59" s="270"/>
      <c r="F59" s="271"/>
      <c r="G59" s="270"/>
      <c r="H59" s="270"/>
      <c r="I59" s="270"/>
      <c r="J59" s="270"/>
    </row>
    <row r="60" spans="1:27" ht="15" x14ac:dyDescent="0.25">
      <c r="A60" s="270"/>
      <c r="B60" s="270"/>
      <c r="C60" s="270"/>
      <c r="D60" s="270"/>
      <c r="E60" s="270"/>
      <c r="F60" s="271"/>
      <c r="G60" s="270"/>
      <c r="H60" s="270"/>
      <c r="I60" s="270"/>
      <c r="J60" s="270"/>
    </row>
    <row r="61" spans="1:27" ht="15" x14ac:dyDescent="0.25">
      <c r="A61" s="270"/>
      <c r="B61" s="270"/>
      <c r="C61" s="270"/>
      <c r="D61" s="270"/>
      <c r="E61" s="270"/>
      <c r="F61" s="271"/>
      <c r="G61" s="270"/>
      <c r="H61" s="270"/>
      <c r="I61" s="270"/>
      <c r="J61" s="270"/>
    </row>
    <row r="62" spans="1:27" ht="15" x14ac:dyDescent="0.25">
      <c r="A62" s="270"/>
      <c r="B62" s="270"/>
      <c r="C62" s="270"/>
      <c r="D62" s="270"/>
      <c r="E62" s="270"/>
      <c r="F62" s="271"/>
      <c r="G62" s="270"/>
      <c r="H62" s="270"/>
      <c r="I62" s="270"/>
      <c r="J62" s="270"/>
    </row>
    <row r="63" spans="1:27" ht="15" x14ac:dyDescent="0.25">
      <c r="A63" s="270"/>
      <c r="B63" s="270"/>
      <c r="C63" s="270"/>
      <c r="D63" s="270"/>
      <c r="E63" s="270"/>
      <c r="F63" s="271"/>
      <c r="G63" s="270"/>
      <c r="H63" s="270"/>
      <c r="I63" s="270"/>
      <c r="J63" s="270"/>
    </row>
    <row r="64" spans="1:27" ht="15" x14ac:dyDescent="0.25">
      <c r="A64" s="270"/>
      <c r="B64" s="270"/>
      <c r="C64" s="270"/>
      <c r="D64" s="270"/>
      <c r="E64" s="270"/>
      <c r="F64" s="271"/>
      <c r="G64" s="270"/>
      <c r="H64" s="270"/>
      <c r="I64" s="270"/>
      <c r="J64" s="270"/>
    </row>
    <row r="65" spans="1:10" ht="15" x14ac:dyDescent="0.25">
      <c r="A65" s="270"/>
      <c r="B65" s="270"/>
      <c r="C65" s="270"/>
      <c r="D65" s="270"/>
      <c r="E65" s="270"/>
      <c r="F65" s="271"/>
      <c r="G65" s="270"/>
      <c r="H65" s="270"/>
      <c r="I65" s="270"/>
      <c r="J65" s="270"/>
    </row>
  </sheetData>
  <conditionalFormatting sqref="D29">
    <cfRule type="cellIs" dxfId="2" priority="1" operator="lessThan">
      <formula>0</formula>
    </cfRule>
  </conditionalFormatting>
  <pageMargins left="0.7" right="0.7" top="0.75" bottom="0.75" header="0.3" footer="0.3"/>
  <pageSetup scale="43" orientation="portrait" r:id="rId1"/>
  <headerFooter>
    <oddFooter>&amp;C*Confidential*
Subject to Change&amp;R&amp;G</oddFooter>
  </headerFooter>
  <legacyDrawingHF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C758B-699A-4537-9C44-80FE62F9219B}">
  <sheetPr>
    <tabColor rgb="FF1F4E5F"/>
  </sheetPr>
  <dimension ref="A1:N63"/>
  <sheetViews>
    <sheetView showGridLines="0" topLeftCell="A18" workbookViewId="0"/>
  </sheetViews>
  <sheetFormatPr defaultRowHeight="15" x14ac:dyDescent="0.25"/>
  <cols>
    <col min="1" max="1" width="22.85546875" customWidth="1"/>
    <col min="2" max="2" width="21" customWidth="1"/>
    <col min="3" max="3" width="38.140625" customWidth="1"/>
    <col min="4" max="4" width="13.28515625" customWidth="1"/>
    <col min="5" max="5" width="10.42578125" customWidth="1"/>
    <col min="6" max="6" width="14.28515625" customWidth="1"/>
    <col min="7" max="7" width="11.42578125" customWidth="1"/>
    <col min="8" max="8" width="13.28515625" customWidth="1"/>
    <col min="9" max="9" width="34.28515625" customWidth="1"/>
    <col min="10" max="10" width="45.7109375" customWidth="1"/>
    <col min="11" max="11" width="36.140625" customWidth="1"/>
    <col min="12" max="12" width="24.7109375" customWidth="1"/>
    <col min="13" max="13" width="26.7109375" customWidth="1"/>
    <col min="14" max="14" width="49.5703125" customWidth="1"/>
  </cols>
  <sheetData>
    <row r="1" spans="1:14" ht="18" x14ac:dyDescent="0.25">
      <c r="A1" s="279" t="s">
        <v>388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  <c r="N1" s="280"/>
    </row>
    <row r="2" spans="1:14" x14ac:dyDescent="0.25">
      <c r="A2" s="281" t="s">
        <v>389</v>
      </c>
      <c r="B2" s="280"/>
      <c r="C2" s="280"/>
      <c r="D2" s="280"/>
      <c r="E2" s="280"/>
      <c r="F2" s="280"/>
      <c r="G2" s="280"/>
      <c r="H2" s="280"/>
      <c r="I2" s="280"/>
      <c r="J2" s="280"/>
      <c r="K2" s="280"/>
      <c r="L2" s="280"/>
      <c r="M2" s="280"/>
      <c r="N2" s="280"/>
    </row>
    <row r="3" spans="1:14" x14ac:dyDescent="0.25">
      <c r="A3" s="282" t="s">
        <v>390</v>
      </c>
      <c r="B3" s="363" t="s">
        <v>391</v>
      </c>
      <c r="C3" s="280"/>
      <c r="D3" s="280"/>
      <c r="E3" s="280"/>
      <c r="F3" s="280"/>
      <c r="G3" s="280"/>
      <c r="H3" s="280"/>
      <c r="I3" s="280"/>
      <c r="J3" s="280"/>
      <c r="K3" s="280"/>
      <c r="L3" s="280"/>
      <c r="M3" s="280"/>
      <c r="N3" s="280"/>
    </row>
    <row r="4" spans="1:14" x14ac:dyDescent="0.25">
      <c r="A4" s="280"/>
      <c r="B4" s="280"/>
      <c r="C4" s="280"/>
      <c r="D4" s="280"/>
      <c r="E4" s="280"/>
      <c r="F4" s="280"/>
      <c r="G4" s="280"/>
      <c r="H4" s="280"/>
      <c r="I4" s="280"/>
      <c r="J4" s="280"/>
      <c r="K4" s="280"/>
      <c r="L4" s="280"/>
      <c r="M4" s="280"/>
      <c r="N4" s="280"/>
    </row>
    <row r="5" spans="1:14" x14ac:dyDescent="0.25">
      <c r="A5" s="283" t="s">
        <v>392</v>
      </c>
      <c r="B5" s="283" t="s">
        <v>393</v>
      </c>
      <c r="C5" s="283" t="s">
        <v>394</v>
      </c>
      <c r="D5" s="283" t="s">
        <v>395</v>
      </c>
      <c r="E5" s="283" t="s">
        <v>396</v>
      </c>
      <c r="F5" s="283" t="s">
        <v>397</v>
      </c>
      <c r="G5" s="283" t="s">
        <v>398</v>
      </c>
      <c r="H5" s="283" t="s">
        <v>399</v>
      </c>
      <c r="I5" s="283" t="s">
        <v>400</v>
      </c>
      <c r="J5" s="283" t="s">
        <v>401</v>
      </c>
      <c r="K5" s="283" t="s">
        <v>402</v>
      </c>
      <c r="L5" s="283" t="s">
        <v>403</v>
      </c>
      <c r="M5" s="283" t="s">
        <v>404</v>
      </c>
      <c r="N5" s="283" t="s">
        <v>405</v>
      </c>
    </row>
    <row r="6" spans="1:14" x14ac:dyDescent="0.25">
      <c r="A6" s="284" t="s">
        <v>406</v>
      </c>
      <c r="B6" s="284" t="s">
        <v>407</v>
      </c>
      <c r="C6" s="284" t="s">
        <v>408</v>
      </c>
      <c r="D6" s="284" t="s">
        <v>409</v>
      </c>
      <c r="E6" s="284" t="s">
        <v>410</v>
      </c>
      <c r="F6" s="284" t="s">
        <v>411</v>
      </c>
      <c r="G6" s="284" t="s">
        <v>412</v>
      </c>
      <c r="H6" s="284">
        <v>0</v>
      </c>
      <c r="I6" s="284" t="s">
        <v>413</v>
      </c>
      <c r="J6" s="284" t="s">
        <v>414</v>
      </c>
      <c r="K6" s="285" t="s">
        <v>415</v>
      </c>
      <c r="L6" s="284" t="s">
        <v>406</v>
      </c>
      <c r="M6" s="284" t="s">
        <v>416</v>
      </c>
      <c r="N6" s="284" t="s">
        <v>417</v>
      </c>
    </row>
    <row r="7" spans="1:14" x14ac:dyDescent="0.25">
      <c r="A7" s="284" t="s">
        <v>418</v>
      </c>
      <c r="B7" s="284" t="s">
        <v>407</v>
      </c>
      <c r="C7" s="284" t="s">
        <v>419</v>
      </c>
      <c r="D7" s="284" t="s">
        <v>409</v>
      </c>
      <c r="E7" s="284" t="s">
        <v>410</v>
      </c>
      <c r="F7" s="284" t="s">
        <v>411</v>
      </c>
      <c r="G7" s="284" t="s">
        <v>420</v>
      </c>
      <c r="H7" s="284">
        <v>0</v>
      </c>
      <c r="I7" s="284" t="s">
        <v>421</v>
      </c>
      <c r="J7" s="284" t="s">
        <v>422</v>
      </c>
      <c r="K7" s="285" t="s">
        <v>415</v>
      </c>
      <c r="L7" s="284" t="s">
        <v>418</v>
      </c>
      <c r="M7" s="284" t="s">
        <v>416</v>
      </c>
      <c r="N7" s="284" t="s">
        <v>423</v>
      </c>
    </row>
    <row r="8" spans="1:14" x14ac:dyDescent="0.25">
      <c r="A8" s="284" t="s">
        <v>424</v>
      </c>
      <c r="B8" s="284" t="s">
        <v>425</v>
      </c>
      <c r="C8" s="284" t="s">
        <v>426</v>
      </c>
      <c r="D8" s="284" t="s">
        <v>409</v>
      </c>
      <c r="E8" s="284" t="s">
        <v>410</v>
      </c>
      <c r="F8" s="284" t="s">
        <v>411</v>
      </c>
      <c r="G8" s="284" t="s">
        <v>427</v>
      </c>
      <c r="H8" s="284"/>
      <c r="I8" s="284" t="s">
        <v>428</v>
      </c>
      <c r="J8" s="284" t="s">
        <v>429</v>
      </c>
      <c r="K8" s="285" t="s">
        <v>430</v>
      </c>
      <c r="L8" s="284" t="s">
        <v>424</v>
      </c>
      <c r="M8" s="284" t="s">
        <v>431</v>
      </c>
      <c r="N8" s="284" t="s">
        <v>432</v>
      </c>
    </row>
    <row r="9" spans="1:14" x14ac:dyDescent="0.25">
      <c r="A9" s="284" t="s">
        <v>433</v>
      </c>
      <c r="B9" s="284" t="s">
        <v>425</v>
      </c>
      <c r="C9" s="284" t="s">
        <v>434</v>
      </c>
      <c r="D9" s="284" t="s">
        <v>409</v>
      </c>
      <c r="E9" s="284" t="s">
        <v>410</v>
      </c>
      <c r="F9" s="284" t="s">
        <v>411</v>
      </c>
      <c r="G9" s="284" t="s">
        <v>427</v>
      </c>
      <c r="H9" s="284"/>
      <c r="I9" s="284" t="s">
        <v>435</v>
      </c>
      <c r="J9" s="285" t="s">
        <v>436</v>
      </c>
      <c r="K9" s="285" t="s">
        <v>430</v>
      </c>
      <c r="L9" s="284" t="s">
        <v>433</v>
      </c>
      <c r="M9" s="284" t="s">
        <v>437</v>
      </c>
      <c r="N9" s="284" t="s">
        <v>438</v>
      </c>
    </row>
    <row r="10" spans="1:14" x14ac:dyDescent="0.25">
      <c r="A10" s="284" t="s">
        <v>439</v>
      </c>
      <c r="B10" s="284" t="s">
        <v>425</v>
      </c>
      <c r="C10" s="284" t="s">
        <v>440</v>
      </c>
      <c r="D10" s="284" t="s">
        <v>409</v>
      </c>
      <c r="E10" s="284" t="s">
        <v>410</v>
      </c>
      <c r="F10" s="284" t="s">
        <v>411</v>
      </c>
      <c r="G10" s="284" t="s">
        <v>427</v>
      </c>
      <c r="H10" s="284">
        <v>0.3</v>
      </c>
      <c r="I10" s="284" t="s">
        <v>441</v>
      </c>
      <c r="J10" s="285" t="s">
        <v>442</v>
      </c>
      <c r="K10" s="285" t="s">
        <v>443</v>
      </c>
      <c r="L10" s="284" t="s">
        <v>439</v>
      </c>
      <c r="M10" s="284" t="s">
        <v>444</v>
      </c>
      <c r="N10" s="284" t="s">
        <v>445</v>
      </c>
    </row>
    <row r="11" spans="1:14" x14ac:dyDescent="0.25">
      <c r="A11" s="284" t="s">
        <v>446</v>
      </c>
      <c r="B11" s="284" t="s">
        <v>425</v>
      </c>
      <c r="C11" s="284" t="s">
        <v>447</v>
      </c>
      <c r="D11" s="284" t="s">
        <v>409</v>
      </c>
      <c r="E11" s="284" t="s">
        <v>448</v>
      </c>
      <c r="F11" s="284" t="s">
        <v>449</v>
      </c>
      <c r="G11" s="284" t="s">
        <v>450</v>
      </c>
      <c r="H11" s="284"/>
      <c r="I11" s="284" t="s">
        <v>451</v>
      </c>
      <c r="J11" s="284" t="s">
        <v>452</v>
      </c>
      <c r="K11" s="284" t="s">
        <v>453</v>
      </c>
      <c r="L11" s="284" t="s">
        <v>446</v>
      </c>
      <c r="M11" s="284" t="s">
        <v>444</v>
      </c>
      <c r="N11" s="284" t="s">
        <v>454</v>
      </c>
    </row>
    <row r="12" spans="1:14" x14ac:dyDescent="0.25">
      <c r="A12" s="284" t="s">
        <v>455</v>
      </c>
      <c r="B12" s="284" t="s">
        <v>407</v>
      </c>
      <c r="C12" s="284" t="s">
        <v>456</v>
      </c>
      <c r="D12" s="284" t="s">
        <v>409</v>
      </c>
      <c r="E12" s="284" t="s">
        <v>410</v>
      </c>
      <c r="F12" s="284" t="s">
        <v>457</v>
      </c>
      <c r="G12" s="284" t="s">
        <v>450</v>
      </c>
      <c r="H12" s="284"/>
      <c r="I12" s="284" t="s">
        <v>458</v>
      </c>
      <c r="J12" s="284" t="s">
        <v>459</v>
      </c>
      <c r="K12" s="284" t="s">
        <v>460</v>
      </c>
      <c r="L12" s="284" t="s">
        <v>455</v>
      </c>
      <c r="M12" s="284" t="s">
        <v>461</v>
      </c>
      <c r="N12" s="284" t="s">
        <v>462</v>
      </c>
    </row>
    <row r="13" spans="1:14" x14ac:dyDescent="0.25">
      <c r="A13" s="284" t="s">
        <v>463</v>
      </c>
      <c r="B13" s="284" t="s">
        <v>464</v>
      </c>
      <c r="C13" s="284" t="s">
        <v>465</v>
      </c>
      <c r="D13" s="284" t="s">
        <v>466</v>
      </c>
      <c r="E13" s="284" t="s">
        <v>410</v>
      </c>
      <c r="F13" s="284" t="s">
        <v>411</v>
      </c>
      <c r="G13" s="284" t="s">
        <v>467</v>
      </c>
      <c r="H13" s="284"/>
      <c r="I13" s="284" t="s">
        <v>468</v>
      </c>
      <c r="J13" s="284" t="s">
        <v>469</v>
      </c>
      <c r="K13" s="285" t="s">
        <v>470</v>
      </c>
      <c r="L13" s="284" t="s">
        <v>471</v>
      </c>
      <c r="M13" s="284" t="s">
        <v>472</v>
      </c>
      <c r="N13" s="284" t="s">
        <v>473</v>
      </c>
    </row>
    <row r="14" spans="1:14" x14ac:dyDescent="0.25">
      <c r="A14" s="284" t="s">
        <v>474</v>
      </c>
      <c r="B14" s="284" t="s">
        <v>464</v>
      </c>
      <c r="C14" s="284" t="s">
        <v>475</v>
      </c>
      <c r="D14" s="284" t="s">
        <v>466</v>
      </c>
      <c r="E14" s="284" t="s">
        <v>410</v>
      </c>
      <c r="F14" s="284" t="s">
        <v>411</v>
      </c>
      <c r="G14" s="284" t="s">
        <v>467</v>
      </c>
      <c r="H14" s="284"/>
      <c r="I14" s="284" t="s">
        <v>476</v>
      </c>
      <c r="J14" s="284" t="s">
        <v>477</v>
      </c>
      <c r="K14" s="285" t="s">
        <v>478</v>
      </c>
      <c r="L14" s="284" t="s">
        <v>471</v>
      </c>
      <c r="M14" s="284" t="s">
        <v>472</v>
      </c>
      <c r="N14" s="284" t="s">
        <v>479</v>
      </c>
    </row>
    <row r="15" spans="1:14" x14ac:dyDescent="0.25">
      <c r="A15" s="284" t="s">
        <v>480</v>
      </c>
      <c r="B15" s="284" t="s">
        <v>481</v>
      </c>
      <c r="C15" s="284" t="s">
        <v>482</v>
      </c>
      <c r="D15" s="284" t="s">
        <v>466</v>
      </c>
      <c r="E15" s="284" t="s">
        <v>410</v>
      </c>
      <c r="F15" s="284" t="s">
        <v>411</v>
      </c>
      <c r="G15" s="284" t="s">
        <v>427</v>
      </c>
      <c r="H15" s="284"/>
      <c r="I15" s="284" t="s">
        <v>483</v>
      </c>
      <c r="J15" s="284" t="s">
        <v>484</v>
      </c>
      <c r="K15" s="285" t="s">
        <v>485</v>
      </c>
      <c r="L15" s="284" t="s">
        <v>480</v>
      </c>
      <c r="M15" s="284" t="s">
        <v>486</v>
      </c>
      <c r="N15" s="284" t="s">
        <v>487</v>
      </c>
    </row>
    <row r="16" spans="1:14" x14ac:dyDescent="0.25">
      <c r="A16" s="284" t="s">
        <v>488</v>
      </c>
      <c r="B16" s="284" t="s">
        <v>481</v>
      </c>
      <c r="C16" s="284" t="s">
        <v>489</v>
      </c>
      <c r="D16" s="284" t="s">
        <v>466</v>
      </c>
      <c r="E16" s="284" t="s">
        <v>410</v>
      </c>
      <c r="F16" s="284" t="s">
        <v>411</v>
      </c>
      <c r="G16" s="284" t="s">
        <v>427</v>
      </c>
      <c r="H16" s="284">
        <v>7.0000000000000007E-2</v>
      </c>
      <c r="I16" s="284" t="s">
        <v>490</v>
      </c>
      <c r="J16" s="285" t="s">
        <v>491</v>
      </c>
      <c r="K16" s="285" t="s">
        <v>492</v>
      </c>
      <c r="L16" s="284" t="s">
        <v>488</v>
      </c>
      <c r="M16" s="284" t="s">
        <v>493</v>
      </c>
      <c r="N16" s="284" t="s">
        <v>494</v>
      </c>
    </row>
    <row r="17" spans="1:14" x14ac:dyDescent="0.25">
      <c r="A17" s="284" t="s">
        <v>495</v>
      </c>
      <c r="B17" s="284" t="s">
        <v>481</v>
      </c>
      <c r="C17" s="284" t="s">
        <v>496</v>
      </c>
      <c r="D17" s="284" t="s">
        <v>466</v>
      </c>
      <c r="E17" s="284" t="s">
        <v>410</v>
      </c>
      <c r="F17" s="284" t="s">
        <v>411</v>
      </c>
      <c r="G17" s="284" t="s">
        <v>427</v>
      </c>
      <c r="H17" s="284">
        <v>0.06</v>
      </c>
      <c r="I17" s="284" t="s">
        <v>497</v>
      </c>
      <c r="J17" s="285" t="s">
        <v>498</v>
      </c>
      <c r="K17" s="285" t="s">
        <v>499</v>
      </c>
      <c r="L17" s="284" t="s">
        <v>495</v>
      </c>
      <c r="M17" s="284" t="s">
        <v>500</v>
      </c>
      <c r="N17" s="284" t="s">
        <v>501</v>
      </c>
    </row>
    <row r="18" spans="1:14" x14ac:dyDescent="0.25">
      <c r="A18" s="284" t="s">
        <v>502</v>
      </c>
      <c r="B18" s="284" t="s">
        <v>481</v>
      </c>
      <c r="C18" s="284" t="s">
        <v>503</v>
      </c>
      <c r="D18" s="284" t="s">
        <v>466</v>
      </c>
      <c r="E18" s="284" t="s">
        <v>410</v>
      </c>
      <c r="F18" s="284" t="s">
        <v>411</v>
      </c>
      <c r="G18" s="284" t="s">
        <v>427</v>
      </c>
      <c r="H18" s="284">
        <v>0.02</v>
      </c>
      <c r="I18" s="284" t="s">
        <v>504</v>
      </c>
      <c r="J18" s="285" t="s">
        <v>505</v>
      </c>
      <c r="K18" s="285" t="s">
        <v>506</v>
      </c>
      <c r="L18" s="284" t="s">
        <v>502</v>
      </c>
      <c r="M18" s="284" t="s">
        <v>507</v>
      </c>
      <c r="N18" s="284" t="s">
        <v>508</v>
      </c>
    </row>
    <row r="19" spans="1:14" x14ac:dyDescent="0.25">
      <c r="A19" s="284" t="s">
        <v>509</v>
      </c>
      <c r="B19" s="284" t="s">
        <v>481</v>
      </c>
      <c r="C19" s="284" t="s">
        <v>510</v>
      </c>
      <c r="D19" s="284" t="s">
        <v>466</v>
      </c>
      <c r="E19" s="284" t="s">
        <v>410</v>
      </c>
      <c r="F19" s="284" t="s">
        <v>411</v>
      </c>
      <c r="G19" s="284" t="s">
        <v>427</v>
      </c>
      <c r="H19" s="284">
        <v>0.06</v>
      </c>
      <c r="I19" s="284" t="s">
        <v>497</v>
      </c>
      <c r="J19" s="285" t="s">
        <v>511</v>
      </c>
      <c r="K19" s="285" t="s">
        <v>512</v>
      </c>
      <c r="L19" s="284" t="s">
        <v>509</v>
      </c>
      <c r="M19" s="284" t="s">
        <v>513</v>
      </c>
      <c r="N19" s="284" t="s">
        <v>514</v>
      </c>
    </row>
    <row r="20" spans="1:14" x14ac:dyDescent="0.25">
      <c r="A20" s="284" t="s">
        <v>515</v>
      </c>
      <c r="B20" s="284" t="s">
        <v>481</v>
      </c>
      <c r="C20" s="284" t="s">
        <v>516</v>
      </c>
      <c r="D20" s="284" t="s">
        <v>466</v>
      </c>
      <c r="E20" s="284" t="s">
        <v>410</v>
      </c>
      <c r="F20" s="284" t="s">
        <v>411</v>
      </c>
      <c r="G20" s="284" t="s">
        <v>427</v>
      </c>
      <c r="H20" s="284">
        <v>0.1</v>
      </c>
      <c r="I20" s="284" t="s">
        <v>517</v>
      </c>
      <c r="J20" s="285" t="s">
        <v>518</v>
      </c>
      <c r="K20" s="285" t="s">
        <v>519</v>
      </c>
      <c r="L20" s="284" t="s">
        <v>515</v>
      </c>
      <c r="M20" s="284" t="s">
        <v>520</v>
      </c>
      <c r="N20" s="284" t="s">
        <v>521</v>
      </c>
    </row>
    <row r="21" spans="1:14" x14ac:dyDescent="0.25">
      <c r="A21" s="284" t="s">
        <v>522</v>
      </c>
      <c r="B21" s="284" t="s">
        <v>523</v>
      </c>
      <c r="C21" s="284" t="s">
        <v>524</v>
      </c>
      <c r="D21" s="284" t="s">
        <v>466</v>
      </c>
      <c r="E21" s="284" t="s">
        <v>448</v>
      </c>
      <c r="F21" s="284" t="s">
        <v>411</v>
      </c>
      <c r="G21" s="284" t="s">
        <v>525</v>
      </c>
      <c r="H21" s="284">
        <v>4500</v>
      </c>
      <c r="I21" s="284" t="s">
        <v>526</v>
      </c>
      <c r="J21" s="285" t="s">
        <v>527</v>
      </c>
      <c r="K21" s="285" t="s">
        <v>528</v>
      </c>
      <c r="L21" s="284" t="s">
        <v>522</v>
      </c>
      <c r="M21" s="284" t="s">
        <v>529</v>
      </c>
      <c r="N21" s="284" t="s">
        <v>530</v>
      </c>
    </row>
    <row r="22" spans="1:14" x14ac:dyDescent="0.25">
      <c r="A22" s="284" t="s">
        <v>531</v>
      </c>
      <c r="B22" s="284" t="s">
        <v>523</v>
      </c>
      <c r="C22" s="284" t="s">
        <v>532</v>
      </c>
      <c r="D22" s="284" t="s">
        <v>466</v>
      </c>
      <c r="E22" s="284" t="s">
        <v>448</v>
      </c>
      <c r="F22" s="284" t="s">
        <v>411</v>
      </c>
      <c r="G22" s="284" t="s">
        <v>525</v>
      </c>
      <c r="H22" s="284">
        <v>0.5</v>
      </c>
      <c r="I22" s="284" t="s">
        <v>533</v>
      </c>
      <c r="J22" s="285" t="s">
        <v>534</v>
      </c>
      <c r="K22" s="285" t="s">
        <v>535</v>
      </c>
      <c r="L22" s="284" t="s">
        <v>531</v>
      </c>
      <c r="M22" s="284" t="s">
        <v>536</v>
      </c>
      <c r="N22" s="284" t="s">
        <v>537</v>
      </c>
    </row>
    <row r="23" spans="1:14" x14ac:dyDescent="0.25">
      <c r="A23" s="284" t="s">
        <v>538</v>
      </c>
      <c r="B23" s="284" t="s">
        <v>523</v>
      </c>
      <c r="C23" s="284" t="s">
        <v>539</v>
      </c>
      <c r="D23" s="284" t="s">
        <v>466</v>
      </c>
      <c r="E23" s="284" t="s">
        <v>448</v>
      </c>
      <c r="F23" s="284" t="s">
        <v>457</v>
      </c>
      <c r="G23" s="284" t="s">
        <v>427</v>
      </c>
      <c r="H23" s="284">
        <v>5000</v>
      </c>
      <c r="I23" s="284" t="s">
        <v>540</v>
      </c>
      <c r="J23" s="284" t="s">
        <v>541</v>
      </c>
      <c r="K23" s="284" t="s">
        <v>542</v>
      </c>
      <c r="L23" s="284" t="s">
        <v>538</v>
      </c>
      <c r="M23" s="284" t="s">
        <v>543</v>
      </c>
      <c r="N23" s="284" t="s">
        <v>544</v>
      </c>
    </row>
    <row r="24" spans="1:14" x14ac:dyDescent="0.25">
      <c r="A24" s="284" t="s">
        <v>545</v>
      </c>
      <c r="B24" s="284" t="s">
        <v>523</v>
      </c>
      <c r="C24" s="284" t="s">
        <v>546</v>
      </c>
      <c r="D24" s="284" t="s">
        <v>466</v>
      </c>
      <c r="E24" s="284" t="s">
        <v>448</v>
      </c>
      <c r="F24" s="284" t="s">
        <v>411</v>
      </c>
      <c r="G24" s="284" t="s">
        <v>525</v>
      </c>
      <c r="H24" s="284"/>
      <c r="I24" s="284" t="s">
        <v>547</v>
      </c>
      <c r="J24" s="285" t="s">
        <v>548</v>
      </c>
      <c r="K24" s="285" t="s">
        <v>549</v>
      </c>
      <c r="L24" s="284" t="s">
        <v>545</v>
      </c>
      <c r="M24" s="284" t="s">
        <v>550</v>
      </c>
      <c r="N24" s="284" t="s">
        <v>551</v>
      </c>
    </row>
    <row r="25" spans="1:14" x14ac:dyDescent="0.25">
      <c r="A25" s="284" t="s">
        <v>552</v>
      </c>
      <c r="B25" s="284" t="s">
        <v>523</v>
      </c>
      <c r="C25" s="284" t="s">
        <v>553</v>
      </c>
      <c r="D25" s="284" t="s">
        <v>466</v>
      </c>
      <c r="E25" s="284" t="s">
        <v>448</v>
      </c>
      <c r="F25" s="284" t="s">
        <v>411</v>
      </c>
      <c r="G25" s="284" t="s">
        <v>525</v>
      </c>
      <c r="H25" s="284"/>
      <c r="I25" s="284" t="s">
        <v>554</v>
      </c>
      <c r="J25" s="284" t="s">
        <v>555</v>
      </c>
      <c r="K25" s="285" t="s">
        <v>556</v>
      </c>
      <c r="L25" s="284" t="s">
        <v>552</v>
      </c>
      <c r="M25" s="284" t="s">
        <v>550</v>
      </c>
      <c r="N25" s="284" t="s">
        <v>557</v>
      </c>
    </row>
    <row r="26" spans="1:14" x14ac:dyDescent="0.25">
      <c r="A26" s="284" t="s">
        <v>558</v>
      </c>
      <c r="B26" s="284" t="s">
        <v>559</v>
      </c>
      <c r="C26" s="284" t="s">
        <v>560</v>
      </c>
      <c r="D26" s="284" t="s">
        <v>466</v>
      </c>
      <c r="E26" s="284" t="s">
        <v>448</v>
      </c>
      <c r="F26" s="284" t="s">
        <v>411</v>
      </c>
      <c r="G26" s="284" t="s">
        <v>525</v>
      </c>
      <c r="H26" s="284">
        <v>7.0000000000000007E-2</v>
      </c>
      <c r="I26" s="284" t="s">
        <v>561</v>
      </c>
      <c r="J26" s="285" t="s">
        <v>562</v>
      </c>
      <c r="K26" s="285" t="s">
        <v>563</v>
      </c>
      <c r="L26" s="284" t="s">
        <v>558</v>
      </c>
      <c r="M26" s="284" t="s">
        <v>564</v>
      </c>
      <c r="N26" s="284" t="s">
        <v>565</v>
      </c>
    </row>
    <row r="27" spans="1:14" x14ac:dyDescent="0.25">
      <c r="A27" s="284" t="s">
        <v>566</v>
      </c>
      <c r="B27" s="284" t="s">
        <v>559</v>
      </c>
      <c r="C27" s="284" t="s">
        <v>567</v>
      </c>
      <c r="D27" s="284" t="s">
        <v>466</v>
      </c>
      <c r="E27" s="284" t="s">
        <v>448</v>
      </c>
      <c r="F27" s="284" t="s">
        <v>411</v>
      </c>
      <c r="G27" s="284" t="s">
        <v>525</v>
      </c>
      <c r="H27" s="284">
        <v>7.0000000000000007E-2</v>
      </c>
      <c r="I27" s="284" t="s">
        <v>561</v>
      </c>
      <c r="J27" s="285" t="s">
        <v>562</v>
      </c>
      <c r="K27" s="285" t="s">
        <v>563</v>
      </c>
      <c r="L27" s="284" t="s">
        <v>566</v>
      </c>
      <c r="M27" s="284" t="s">
        <v>564</v>
      </c>
      <c r="N27" s="284" t="s">
        <v>568</v>
      </c>
    </row>
    <row r="28" spans="1:14" x14ac:dyDescent="0.25">
      <c r="A28" s="284" t="s">
        <v>569</v>
      </c>
      <c r="B28" s="284" t="s">
        <v>559</v>
      </c>
      <c r="C28" s="284" t="s">
        <v>570</v>
      </c>
      <c r="D28" s="284" t="s">
        <v>466</v>
      </c>
      <c r="E28" s="284" t="s">
        <v>448</v>
      </c>
      <c r="F28" s="284" t="s">
        <v>411</v>
      </c>
      <c r="G28" s="284" t="s">
        <v>427</v>
      </c>
      <c r="H28" s="284">
        <v>0.02</v>
      </c>
      <c r="I28" s="284" t="s">
        <v>571</v>
      </c>
      <c r="J28" s="285" t="s">
        <v>572</v>
      </c>
      <c r="K28" s="285" t="s">
        <v>573</v>
      </c>
      <c r="L28" s="284" t="s">
        <v>569</v>
      </c>
      <c r="M28" s="284" t="s">
        <v>574</v>
      </c>
      <c r="N28" s="284" t="s">
        <v>575</v>
      </c>
    </row>
    <row r="29" spans="1:14" x14ac:dyDescent="0.25">
      <c r="A29" s="284" t="s">
        <v>576</v>
      </c>
      <c r="B29" s="284" t="s">
        <v>559</v>
      </c>
      <c r="C29" s="284" t="s">
        <v>577</v>
      </c>
      <c r="D29" s="284" t="s">
        <v>466</v>
      </c>
      <c r="E29" s="284" t="s">
        <v>448</v>
      </c>
      <c r="F29" s="284" t="s">
        <v>411</v>
      </c>
      <c r="G29" s="284" t="s">
        <v>427</v>
      </c>
      <c r="H29" s="284">
        <v>0.02</v>
      </c>
      <c r="I29" s="284" t="s">
        <v>571</v>
      </c>
      <c r="J29" s="284" t="s">
        <v>578</v>
      </c>
      <c r="K29" s="285" t="s">
        <v>573</v>
      </c>
      <c r="L29" s="284" t="s">
        <v>576</v>
      </c>
      <c r="M29" s="284" t="s">
        <v>574</v>
      </c>
      <c r="N29" s="284" t="s">
        <v>579</v>
      </c>
    </row>
    <row r="30" spans="1:14" x14ac:dyDescent="0.25">
      <c r="A30" s="284" t="s">
        <v>580</v>
      </c>
      <c r="B30" s="284" t="s">
        <v>559</v>
      </c>
      <c r="C30" s="284" t="s">
        <v>581</v>
      </c>
      <c r="D30" s="284" t="s">
        <v>466</v>
      </c>
      <c r="E30" s="284" t="s">
        <v>448</v>
      </c>
      <c r="F30" s="284" t="s">
        <v>411</v>
      </c>
      <c r="G30" s="284" t="s">
        <v>525</v>
      </c>
      <c r="H30" s="284">
        <v>2.8000000000000001E-2</v>
      </c>
      <c r="I30" s="284" t="s">
        <v>582</v>
      </c>
      <c r="J30" s="284" t="s">
        <v>583</v>
      </c>
      <c r="K30" s="285" t="s">
        <v>584</v>
      </c>
      <c r="L30" s="284" t="s">
        <v>580</v>
      </c>
      <c r="M30" s="284" t="s">
        <v>574</v>
      </c>
      <c r="N30" s="284" t="s">
        <v>585</v>
      </c>
    </row>
    <row r="31" spans="1:14" x14ac:dyDescent="0.25">
      <c r="A31" s="284" t="s">
        <v>586</v>
      </c>
      <c r="B31" s="284" t="s">
        <v>587</v>
      </c>
      <c r="C31" s="284" t="s">
        <v>588</v>
      </c>
      <c r="D31" s="284" t="s">
        <v>466</v>
      </c>
      <c r="E31" s="284" t="s">
        <v>410</v>
      </c>
      <c r="F31" s="284" t="s">
        <v>449</v>
      </c>
      <c r="G31" s="284" t="s">
        <v>427</v>
      </c>
      <c r="H31" s="284"/>
      <c r="I31" s="284" t="s">
        <v>589</v>
      </c>
      <c r="J31" s="284" t="s">
        <v>590</v>
      </c>
      <c r="K31" s="285" t="s">
        <v>591</v>
      </c>
      <c r="L31" s="284" t="s">
        <v>586</v>
      </c>
      <c r="M31" s="284" t="s">
        <v>592</v>
      </c>
      <c r="N31" s="284" t="s">
        <v>593</v>
      </c>
    </row>
    <row r="32" spans="1:14" x14ac:dyDescent="0.25">
      <c r="A32" s="284" t="s">
        <v>594</v>
      </c>
      <c r="B32" s="284" t="s">
        <v>587</v>
      </c>
      <c r="C32" s="284" t="s">
        <v>595</v>
      </c>
      <c r="D32" s="284" t="s">
        <v>466</v>
      </c>
      <c r="E32" s="284" t="s">
        <v>448</v>
      </c>
      <c r="F32" s="284" t="s">
        <v>411</v>
      </c>
      <c r="G32" s="284" t="s">
        <v>412</v>
      </c>
      <c r="H32" s="284">
        <v>1</v>
      </c>
      <c r="I32" s="284" t="s">
        <v>596</v>
      </c>
      <c r="J32" s="284" t="s">
        <v>597</v>
      </c>
      <c r="K32" s="285" t="s">
        <v>598</v>
      </c>
      <c r="L32" s="284" t="s">
        <v>594</v>
      </c>
      <c r="M32" s="284" t="s">
        <v>461</v>
      </c>
      <c r="N32" s="284" t="s">
        <v>599</v>
      </c>
    </row>
    <row r="33" spans="1:14" x14ac:dyDescent="0.25">
      <c r="A33" s="284" t="s">
        <v>600</v>
      </c>
      <c r="B33" s="284" t="s">
        <v>587</v>
      </c>
      <c r="C33" s="284" t="s">
        <v>601</v>
      </c>
      <c r="D33" s="284" t="s">
        <v>466</v>
      </c>
      <c r="E33" s="284" t="s">
        <v>448</v>
      </c>
      <c r="F33" s="284" t="s">
        <v>457</v>
      </c>
      <c r="G33" s="284" t="s">
        <v>450</v>
      </c>
      <c r="H33" s="284"/>
      <c r="I33" s="284" t="s">
        <v>602</v>
      </c>
      <c r="J33" s="284" t="s">
        <v>603</v>
      </c>
      <c r="K33" s="284" t="s">
        <v>460</v>
      </c>
      <c r="L33" s="284" t="s">
        <v>600</v>
      </c>
      <c r="M33" s="284" t="s">
        <v>604</v>
      </c>
      <c r="N33" s="284" t="s">
        <v>605</v>
      </c>
    </row>
    <row r="34" spans="1:14" x14ac:dyDescent="0.25">
      <c r="A34" s="284" t="s">
        <v>606</v>
      </c>
      <c r="B34" s="284" t="s">
        <v>607</v>
      </c>
      <c r="C34" s="284" t="s">
        <v>608</v>
      </c>
      <c r="D34" s="284" t="s">
        <v>466</v>
      </c>
      <c r="E34" s="284" t="s">
        <v>410</v>
      </c>
      <c r="F34" s="284" t="s">
        <v>411</v>
      </c>
      <c r="G34" s="284" t="s">
        <v>427</v>
      </c>
      <c r="H34" s="284"/>
      <c r="I34" s="284" t="s">
        <v>609</v>
      </c>
      <c r="J34" s="285" t="s">
        <v>610</v>
      </c>
      <c r="K34" s="285" t="s">
        <v>611</v>
      </c>
      <c r="L34" s="284" t="s">
        <v>606</v>
      </c>
      <c r="M34" s="284" t="s">
        <v>612</v>
      </c>
      <c r="N34" s="284" t="s">
        <v>613</v>
      </c>
    </row>
    <row r="35" spans="1:14" x14ac:dyDescent="0.25">
      <c r="A35" s="284" t="s">
        <v>614</v>
      </c>
      <c r="B35" s="284" t="s">
        <v>607</v>
      </c>
      <c r="C35" s="284" t="s">
        <v>615</v>
      </c>
      <c r="D35" s="284" t="s">
        <v>466</v>
      </c>
      <c r="E35" s="284" t="s">
        <v>448</v>
      </c>
      <c r="F35" s="284" t="s">
        <v>457</v>
      </c>
      <c r="G35" s="284" t="s">
        <v>450</v>
      </c>
      <c r="H35" s="284"/>
      <c r="I35" s="284" t="s">
        <v>616</v>
      </c>
      <c r="J35" s="284" t="s">
        <v>617</v>
      </c>
      <c r="K35" s="284" t="s">
        <v>460</v>
      </c>
      <c r="L35" s="284" t="s">
        <v>614</v>
      </c>
      <c r="M35" s="284" t="s">
        <v>612</v>
      </c>
      <c r="N35" s="284" t="s">
        <v>618</v>
      </c>
    </row>
    <row r="36" spans="1:14" x14ac:dyDescent="0.25">
      <c r="A36" s="284" t="s">
        <v>619</v>
      </c>
      <c r="B36" s="284" t="s">
        <v>620</v>
      </c>
      <c r="C36" s="284" t="s">
        <v>621</v>
      </c>
      <c r="D36" s="284" t="s">
        <v>466</v>
      </c>
      <c r="E36" s="284" t="s">
        <v>448</v>
      </c>
      <c r="F36" s="284" t="s">
        <v>411</v>
      </c>
      <c r="G36" s="284" t="s">
        <v>427</v>
      </c>
      <c r="H36" s="284">
        <v>0.1</v>
      </c>
      <c r="I36" s="284" t="s">
        <v>622</v>
      </c>
      <c r="J36" s="284" t="s">
        <v>623</v>
      </c>
      <c r="K36" s="285" t="s">
        <v>624</v>
      </c>
      <c r="L36" s="284" t="s">
        <v>619</v>
      </c>
      <c r="M36" s="284" t="s">
        <v>574</v>
      </c>
      <c r="N36" s="284" t="s">
        <v>625</v>
      </c>
    </row>
    <row r="37" spans="1:14" x14ac:dyDescent="0.25">
      <c r="A37" s="284" t="s">
        <v>626</v>
      </c>
      <c r="B37" s="284" t="s">
        <v>10</v>
      </c>
      <c r="C37" s="284" t="s">
        <v>627</v>
      </c>
      <c r="D37" s="284" t="s">
        <v>466</v>
      </c>
      <c r="E37" s="284" t="s">
        <v>448</v>
      </c>
      <c r="F37" s="284" t="s">
        <v>411</v>
      </c>
      <c r="G37" s="284" t="s">
        <v>525</v>
      </c>
      <c r="H37" s="284"/>
      <c r="I37" s="284" t="s">
        <v>628</v>
      </c>
      <c r="J37" s="284" t="s">
        <v>629</v>
      </c>
      <c r="K37" s="285" t="s">
        <v>630</v>
      </c>
      <c r="L37" s="284" t="s">
        <v>631</v>
      </c>
      <c r="M37" s="284" t="s">
        <v>632</v>
      </c>
      <c r="N37" s="284" t="s">
        <v>633</v>
      </c>
    </row>
    <row r="38" spans="1:14" x14ac:dyDescent="0.25">
      <c r="A38" s="280"/>
      <c r="B38" s="280"/>
      <c r="C38" s="280"/>
      <c r="D38" s="280"/>
      <c r="E38" s="280"/>
      <c r="F38" s="280"/>
      <c r="G38" s="280"/>
      <c r="H38" s="280"/>
      <c r="I38" s="280"/>
      <c r="J38" s="280"/>
      <c r="K38" s="280"/>
      <c r="L38" s="280"/>
      <c r="M38" s="280"/>
      <c r="N38" s="280"/>
    </row>
    <row r="39" spans="1:14" x14ac:dyDescent="0.25">
      <c r="A39" s="286" t="s">
        <v>634</v>
      </c>
      <c r="B39" s="280"/>
      <c r="C39" s="280"/>
      <c r="D39" s="280"/>
      <c r="E39" s="280"/>
      <c r="F39" s="280"/>
      <c r="G39" s="280"/>
      <c r="H39" s="280"/>
      <c r="I39" s="280"/>
      <c r="J39" s="280"/>
      <c r="K39" s="280"/>
      <c r="L39" s="280"/>
      <c r="M39" s="280"/>
      <c r="N39" s="280"/>
    </row>
    <row r="40" spans="1:14" x14ac:dyDescent="0.25">
      <c r="A40" s="287" t="s">
        <v>635</v>
      </c>
      <c r="B40" s="287" t="s">
        <v>636</v>
      </c>
      <c r="C40" s="280"/>
      <c r="D40" s="280"/>
      <c r="E40" s="280"/>
      <c r="F40" s="280"/>
      <c r="G40" s="280"/>
      <c r="H40" s="280"/>
      <c r="I40" s="280"/>
      <c r="J40" s="280"/>
      <c r="K40" s="280"/>
      <c r="L40" s="280"/>
      <c r="M40" s="280"/>
      <c r="N40" s="280"/>
    </row>
    <row r="41" spans="1:14" x14ac:dyDescent="0.25">
      <c r="A41" s="280" t="s">
        <v>637</v>
      </c>
      <c r="B41" s="288">
        <v>300</v>
      </c>
      <c r="C41" s="280"/>
      <c r="D41" s="280"/>
      <c r="E41" s="280"/>
      <c r="F41" s="280"/>
      <c r="G41" s="280"/>
      <c r="H41" s="280"/>
      <c r="I41" s="280"/>
      <c r="J41" s="280"/>
      <c r="K41" s="280"/>
      <c r="L41" s="280"/>
      <c r="M41" s="280"/>
      <c r="N41" s="280"/>
    </row>
    <row r="42" spans="1:14" x14ac:dyDescent="0.25">
      <c r="A42" s="280" t="s">
        <v>638</v>
      </c>
      <c r="B42" s="288">
        <v>350</v>
      </c>
      <c r="C42" s="280"/>
      <c r="D42" s="280"/>
      <c r="E42" s="280"/>
      <c r="F42" s="280"/>
      <c r="G42" s="280"/>
      <c r="H42" s="280"/>
      <c r="I42" s="280"/>
      <c r="J42" s="280"/>
      <c r="K42" s="280"/>
      <c r="L42" s="280"/>
      <c r="M42" s="280"/>
      <c r="N42" s="280"/>
    </row>
    <row r="43" spans="1:14" x14ac:dyDescent="0.25">
      <c r="A43" s="280" t="s">
        <v>639</v>
      </c>
      <c r="B43" s="288">
        <v>500</v>
      </c>
      <c r="C43" s="280"/>
      <c r="D43" s="280"/>
      <c r="E43" s="280"/>
      <c r="F43" s="280"/>
      <c r="G43" s="280"/>
      <c r="H43" s="280"/>
      <c r="I43" s="280"/>
      <c r="J43" s="280"/>
      <c r="K43" s="280"/>
      <c r="L43" s="280"/>
      <c r="M43" s="280"/>
      <c r="N43" s="280"/>
    </row>
    <row r="44" spans="1:14" x14ac:dyDescent="0.25">
      <c r="A44" s="280" t="s">
        <v>640</v>
      </c>
      <c r="B44" s="288">
        <v>1500000</v>
      </c>
      <c r="C44" s="280"/>
      <c r="D44" s="280"/>
      <c r="E44" s="280"/>
      <c r="F44" s="280"/>
      <c r="G44" s="280"/>
      <c r="H44" s="280"/>
      <c r="I44" s="280"/>
      <c r="J44" s="280"/>
      <c r="K44" s="280"/>
      <c r="L44" s="280"/>
      <c r="M44" s="280"/>
      <c r="N44" s="280"/>
    </row>
    <row r="45" spans="1:14" x14ac:dyDescent="0.25">
      <c r="A45" s="280" t="s">
        <v>641</v>
      </c>
      <c r="B45" s="288">
        <v>1000000</v>
      </c>
      <c r="C45" s="280"/>
      <c r="D45" s="280"/>
      <c r="E45" s="280"/>
      <c r="F45" s="280"/>
      <c r="G45" s="280"/>
      <c r="H45" s="280"/>
      <c r="I45" s="280"/>
      <c r="J45" s="280"/>
      <c r="K45" s="280"/>
      <c r="L45" s="280"/>
      <c r="M45" s="280"/>
      <c r="N45" s="280"/>
    </row>
    <row r="46" spans="1:14" x14ac:dyDescent="0.25">
      <c r="A46" s="280" t="s">
        <v>642</v>
      </c>
      <c r="B46" s="288">
        <v>1000000</v>
      </c>
      <c r="C46" s="280"/>
      <c r="D46" s="280"/>
      <c r="E46" s="280"/>
      <c r="F46" s="280"/>
      <c r="G46" s="280"/>
      <c r="H46" s="280"/>
      <c r="I46" s="280"/>
      <c r="J46" s="280"/>
      <c r="K46" s="280"/>
      <c r="L46" s="280"/>
      <c r="M46" s="280"/>
      <c r="N46" s="280"/>
    </row>
    <row r="47" spans="1:14" x14ac:dyDescent="0.25">
      <c r="A47" s="280" t="s">
        <v>643</v>
      </c>
      <c r="B47" s="288">
        <v>1000000000000</v>
      </c>
      <c r="C47" s="280"/>
      <c r="D47" s="280"/>
      <c r="E47" s="280"/>
      <c r="F47" s="280"/>
      <c r="G47" s="280"/>
      <c r="H47" s="280"/>
      <c r="I47" s="280"/>
      <c r="J47" s="280"/>
      <c r="K47" s="280"/>
      <c r="L47" s="280"/>
      <c r="M47" s="280"/>
      <c r="N47" s="280"/>
    </row>
    <row r="48" spans="1:14" x14ac:dyDescent="0.25">
      <c r="A48" s="280" t="s">
        <v>644</v>
      </c>
      <c r="B48" s="288">
        <v>2000000</v>
      </c>
      <c r="C48" s="280"/>
      <c r="D48" s="280"/>
      <c r="E48" s="280"/>
      <c r="F48" s="280"/>
      <c r="G48" s="280"/>
      <c r="H48" s="280"/>
      <c r="I48" s="280"/>
      <c r="J48" s="280"/>
      <c r="K48" s="280"/>
      <c r="L48" s="280"/>
      <c r="M48" s="280"/>
      <c r="N48" s="280"/>
    </row>
    <row r="49" spans="1:14" x14ac:dyDescent="0.25">
      <c r="A49" s="280" t="s">
        <v>645</v>
      </c>
      <c r="B49" s="289">
        <v>0.15</v>
      </c>
      <c r="C49" s="280"/>
      <c r="D49" s="280"/>
      <c r="E49" s="280"/>
      <c r="F49" s="280"/>
      <c r="G49" s="280"/>
      <c r="H49" s="280"/>
      <c r="I49" s="280"/>
      <c r="J49" s="280"/>
      <c r="K49" s="280"/>
      <c r="L49" s="280"/>
      <c r="M49" s="280"/>
      <c r="N49" s="280"/>
    </row>
    <row r="50" spans="1:14" x14ac:dyDescent="0.25">
      <c r="A50" s="280" t="s">
        <v>646</v>
      </c>
      <c r="B50" s="289">
        <v>0.1</v>
      </c>
      <c r="C50" s="280"/>
      <c r="D50" s="280"/>
      <c r="E50" s="280"/>
      <c r="F50" s="280"/>
      <c r="G50" s="280"/>
      <c r="H50" s="280"/>
      <c r="I50" s="280"/>
      <c r="J50" s="280"/>
      <c r="K50" s="280"/>
      <c r="L50" s="280"/>
      <c r="M50" s="280"/>
      <c r="N50" s="280"/>
    </row>
    <row r="51" spans="1:14" x14ac:dyDescent="0.25">
      <c r="A51" s="280" t="s">
        <v>647</v>
      </c>
      <c r="B51" s="289">
        <v>0.15</v>
      </c>
      <c r="C51" s="280"/>
      <c r="D51" s="280"/>
      <c r="E51" s="280"/>
      <c r="F51" s="280"/>
      <c r="G51" s="280"/>
      <c r="H51" s="280"/>
      <c r="I51" s="280"/>
      <c r="J51" s="280"/>
      <c r="K51" s="280"/>
      <c r="L51" s="280"/>
      <c r="M51" s="280"/>
      <c r="N51" s="280"/>
    </row>
    <row r="52" spans="1:14" x14ac:dyDescent="0.25">
      <c r="A52" s="280" t="s">
        <v>648</v>
      </c>
      <c r="B52" s="290">
        <v>1.1499999999999999</v>
      </c>
      <c r="C52" s="280"/>
      <c r="D52" s="280"/>
      <c r="E52" s="280"/>
      <c r="F52" s="280"/>
      <c r="G52" s="280"/>
      <c r="H52" s="280"/>
      <c r="I52" s="280"/>
      <c r="J52" s="280"/>
      <c r="K52" s="280"/>
      <c r="L52" s="280"/>
      <c r="M52" s="280"/>
      <c r="N52" s="280"/>
    </row>
    <row r="53" spans="1:14" x14ac:dyDescent="0.25">
      <c r="A53" s="280" t="s">
        <v>649</v>
      </c>
      <c r="B53" s="290">
        <v>1.4</v>
      </c>
      <c r="C53" s="280"/>
      <c r="D53" s="280"/>
      <c r="E53" s="280"/>
      <c r="F53" s="280"/>
      <c r="G53" s="280"/>
      <c r="H53" s="280"/>
      <c r="I53" s="280"/>
      <c r="J53" s="280"/>
      <c r="K53" s="280"/>
      <c r="L53" s="280"/>
      <c r="M53" s="280"/>
      <c r="N53" s="280"/>
    </row>
    <row r="54" spans="1:14" x14ac:dyDescent="0.25">
      <c r="A54" s="280" t="s">
        <v>650</v>
      </c>
      <c r="B54" s="290">
        <v>1</v>
      </c>
      <c r="C54" s="280"/>
      <c r="D54" s="280"/>
      <c r="E54" s="280"/>
      <c r="F54" s="280"/>
      <c r="G54" s="280"/>
      <c r="H54" s="280"/>
      <c r="I54" s="280"/>
      <c r="J54" s="280"/>
      <c r="K54" s="280"/>
      <c r="L54" s="280"/>
      <c r="M54" s="280"/>
      <c r="N54" s="280"/>
    </row>
    <row r="55" spans="1:14" x14ac:dyDescent="0.25">
      <c r="A55" s="280"/>
      <c r="B55" s="280"/>
      <c r="C55" s="280"/>
      <c r="D55" s="280"/>
      <c r="E55" s="280"/>
      <c r="F55" s="280"/>
      <c r="G55" s="280"/>
      <c r="H55" s="280"/>
      <c r="I55" s="280"/>
      <c r="J55" s="280"/>
      <c r="K55" s="280"/>
      <c r="L55" s="280"/>
      <c r="M55" s="280"/>
      <c r="N55" s="280"/>
    </row>
    <row r="56" spans="1:14" x14ac:dyDescent="0.25">
      <c r="A56" s="280"/>
      <c r="B56" s="280"/>
      <c r="C56" s="280"/>
      <c r="D56" s="280"/>
      <c r="E56" s="280"/>
      <c r="F56" s="280"/>
      <c r="G56" s="280"/>
      <c r="H56" s="280"/>
      <c r="I56" s="280"/>
      <c r="J56" s="280"/>
      <c r="K56" s="280"/>
      <c r="L56" s="280"/>
      <c r="M56" s="280"/>
      <c r="N56" s="280"/>
    </row>
    <row r="57" spans="1:14" x14ac:dyDescent="0.25">
      <c r="A57" s="286" t="s">
        <v>651</v>
      </c>
      <c r="B57" s="280"/>
      <c r="C57" s="280"/>
      <c r="D57" s="280"/>
      <c r="E57" s="280"/>
      <c r="F57" s="280"/>
      <c r="G57" s="280"/>
      <c r="H57" s="280"/>
      <c r="I57" s="280"/>
      <c r="J57" s="280"/>
      <c r="K57" s="280"/>
      <c r="L57" s="280"/>
      <c r="M57" s="280"/>
      <c r="N57" s="280"/>
    </row>
    <row r="58" spans="1:14" x14ac:dyDescent="0.25">
      <c r="A58" s="282" t="s">
        <v>410</v>
      </c>
      <c r="B58" s="280" t="s">
        <v>652</v>
      </c>
      <c r="C58" s="280"/>
      <c r="D58" s="280"/>
      <c r="E58" s="280"/>
      <c r="F58" s="280"/>
      <c r="G58" s="280"/>
      <c r="H58" s="280"/>
      <c r="I58" s="280"/>
      <c r="J58" s="280"/>
      <c r="K58" s="280"/>
      <c r="L58" s="280"/>
      <c r="M58" s="280"/>
      <c r="N58" s="280"/>
    </row>
    <row r="59" spans="1:14" x14ac:dyDescent="0.25">
      <c r="A59" s="282" t="s">
        <v>448</v>
      </c>
      <c r="B59" s="280" t="s">
        <v>653</v>
      </c>
      <c r="C59" s="280"/>
      <c r="D59" s="280"/>
      <c r="E59" s="280"/>
      <c r="F59" s="280"/>
      <c r="G59" s="280"/>
      <c r="H59" s="280"/>
      <c r="I59" s="280"/>
      <c r="J59" s="280"/>
      <c r="K59" s="280"/>
      <c r="L59" s="280"/>
      <c r="M59" s="280"/>
      <c r="N59" s="280"/>
    </row>
    <row r="60" spans="1:14" x14ac:dyDescent="0.25">
      <c r="A60" s="282" t="s">
        <v>411</v>
      </c>
      <c r="B60" s="280" t="s">
        <v>654</v>
      </c>
      <c r="C60" s="280"/>
      <c r="D60" s="280"/>
      <c r="E60" s="280"/>
      <c r="F60" s="280"/>
      <c r="G60" s="280"/>
      <c r="H60" s="280"/>
      <c r="I60" s="280"/>
      <c r="J60" s="280"/>
      <c r="K60" s="280"/>
      <c r="L60" s="280"/>
      <c r="M60" s="280"/>
      <c r="N60" s="280"/>
    </row>
    <row r="61" spans="1:14" x14ac:dyDescent="0.25">
      <c r="A61" s="282" t="s">
        <v>449</v>
      </c>
      <c r="B61" s="280" t="s">
        <v>655</v>
      </c>
      <c r="C61" s="280"/>
      <c r="D61" s="280"/>
      <c r="E61" s="280"/>
      <c r="F61" s="280"/>
      <c r="G61" s="280"/>
      <c r="H61" s="280"/>
      <c r="I61" s="280"/>
      <c r="J61" s="280"/>
      <c r="K61" s="280"/>
      <c r="L61" s="280"/>
      <c r="M61" s="280"/>
      <c r="N61" s="280"/>
    </row>
    <row r="62" spans="1:14" x14ac:dyDescent="0.25">
      <c r="A62" s="282" t="s">
        <v>457</v>
      </c>
      <c r="B62" s="280" t="s">
        <v>656</v>
      </c>
      <c r="C62" s="280"/>
      <c r="D62" s="280"/>
      <c r="E62" s="280"/>
      <c r="F62" s="280"/>
      <c r="G62" s="280"/>
      <c r="H62" s="280"/>
      <c r="I62" s="280"/>
      <c r="J62" s="280"/>
      <c r="K62" s="280"/>
      <c r="L62" s="280"/>
      <c r="M62" s="280"/>
      <c r="N62" s="280"/>
    </row>
    <row r="63" spans="1:14" x14ac:dyDescent="0.25">
      <c r="A63" s="282" t="s">
        <v>657</v>
      </c>
      <c r="B63" s="280" t="s">
        <v>658</v>
      </c>
      <c r="C63" s="280"/>
      <c r="D63" s="280"/>
      <c r="E63" s="280"/>
      <c r="F63" s="280"/>
      <c r="G63" s="280"/>
      <c r="H63" s="280"/>
      <c r="I63" s="280"/>
      <c r="J63" s="280"/>
      <c r="K63" s="280"/>
      <c r="L63" s="280"/>
      <c r="M63" s="280"/>
      <c r="N63" s="280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51365-2215-4EDB-B3E3-EB5FE6E6B0E3}">
  <sheetPr>
    <tabColor rgb="FF808080"/>
  </sheetPr>
  <dimension ref="A1:V63"/>
  <sheetViews>
    <sheetView showGridLines="0" zoomScale="80" zoomScaleNormal="80" workbookViewId="0">
      <selection activeCell="P17" sqref="P17"/>
    </sheetView>
  </sheetViews>
  <sheetFormatPr defaultRowHeight="15" x14ac:dyDescent="0.25"/>
  <cols>
    <col min="1" max="1" width="29" customWidth="1"/>
    <col min="2" max="2" width="19.85546875" customWidth="1"/>
    <col min="3" max="3" width="11.85546875" customWidth="1"/>
    <col min="4" max="4" width="12.7109375" customWidth="1"/>
    <col min="5" max="5" width="10.7109375" customWidth="1"/>
    <col min="6" max="6" width="13.7109375" customWidth="1"/>
    <col min="7" max="7" width="14.140625" customWidth="1"/>
    <col min="8" max="8" width="15.5703125" customWidth="1"/>
    <col min="9" max="9" width="11.85546875" customWidth="1"/>
    <col min="10" max="10" width="13.7109375" customWidth="1"/>
    <col min="11" max="11" width="23.5703125" customWidth="1"/>
    <col min="12" max="12" width="20.5703125" customWidth="1"/>
    <col min="13" max="13" width="29.28515625" customWidth="1"/>
    <col min="14" max="14" width="12.7109375" customWidth="1"/>
    <col min="15" max="15" width="18.140625" customWidth="1"/>
    <col min="16" max="16" width="6.85546875" customWidth="1"/>
    <col min="17" max="17" width="8.7109375" customWidth="1"/>
    <col min="18" max="18" width="11.5703125" customWidth="1"/>
    <col min="19" max="19" width="102.140625" customWidth="1"/>
    <col min="20" max="20" width="13.7109375" customWidth="1"/>
    <col min="21" max="21" width="25.28515625" customWidth="1"/>
    <col min="22" max="22" width="13.7109375" customWidth="1"/>
  </cols>
  <sheetData>
    <row r="1" spans="1:22" x14ac:dyDescent="0.25">
      <c r="A1" s="291" t="s">
        <v>659</v>
      </c>
      <c r="B1" s="292"/>
      <c r="C1" s="292"/>
      <c r="D1" s="291" t="s">
        <v>791</v>
      </c>
      <c r="E1" s="292"/>
      <c r="F1" s="292"/>
      <c r="G1" s="292"/>
      <c r="H1" s="292"/>
      <c r="I1" s="292"/>
      <c r="J1" s="291" t="s">
        <v>792</v>
      </c>
      <c r="K1" s="292"/>
      <c r="L1" s="292"/>
      <c r="M1" s="292"/>
      <c r="N1" s="292"/>
      <c r="O1" s="292"/>
      <c r="P1" s="292"/>
      <c r="Q1" s="292"/>
      <c r="R1" s="292"/>
      <c r="S1" s="292"/>
      <c r="T1" s="292"/>
      <c r="U1" s="292"/>
      <c r="V1" s="292"/>
    </row>
    <row r="2" spans="1:22" x14ac:dyDescent="0.25">
      <c r="A2" s="293" t="s">
        <v>786</v>
      </c>
      <c r="B2" s="293" t="s">
        <v>636</v>
      </c>
      <c r="C2" s="292"/>
      <c r="D2" s="293" t="s">
        <v>672</v>
      </c>
      <c r="E2" s="293" t="s">
        <v>673</v>
      </c>
      <c r="F2" s="293" t="s">
        <v>674</v>
      </c>
      <c r="G2" s="293" t="s">
        <v>675</v>
      </c>
      <c r="H2" s="293" t="s">
        <v>676</v>
      </c>
      <c r="I2" s="292"/>
      <c r="J2" s="293" t="s">
        <v>221</v>
      </c>
      <c r="K2" s="293" t="s">
        <v>685</v>
      </c>
      <c r="L2" s="293" t="s">
        <v>393</v>
      </c>
      <c r="M2" s="293" t="s">
        <v>394</v>
      </c>
      <c r="N2" s="293" t="s">
        <v>686</v>
      </c>
      <c r="O2" s="293" t="s">
        <v>687</v>
      </c>
      <c r="P2" s="293" t="s">
        <v>688</v>
      </c>
      <c r="Q2" s="293" t="s">
        <v>396</v>
      </c>
      <c r="R2" s="293" t="s">
        <v>397</v>
      </c>
      <c r="S2" s="293" t="s">
        <v>689</v>
      </c>
      <c r="T2" s="293" t="s">
        <v>690</v>
      </c>
      <c r="U2" s="293" t="s">
        <v>404</v>
      </c>
      <c r="V2" s="293" t="s">
        <v>740</v>
      </c>
    </row>
    <row r="3" spans="1:22" x14ac:dyDescent="0.25">
      <c r="A3" s="294" t="s">
        <v>660</v>
      </c>
      <c r="B3" s="364" t="s">
        <v>767</v>
      </c>
      <c r="C3" s="292"/>
      <c r="D3" s="295">
        <v>2</v>
      </c>
      <c r="E3" s="296" cm="1">
        <f t="array" aca="1" ref="E3" ca="1">IF((INDEX('17-year Pro Forma'!$D$30:$T$30,1,$D3)+INDEX('17-year Pro Forma'!$D$31:$T$31,1,$D3))=0,"",INDEX('17-year Pro Forma'!$D$26:$T$26,1,$D3)/(INDEX('17-year Pro Forma'!$D$30:$T$30,1,$D3)+INDEX('17-year Pro Forma'!$D$31:$T$31,1,$D3)))</f>
        <v>1.3713605576864356</v>
      </c>
      <c r="F3" s="296" cm="1">
        <f t="array" aca="1" ref="F3" ca="1">IF((INDEX('17-year Pro Forma'!$D$30:$T$30,1,$D3)+INDEX('17-year Pro Forma'!$D$31:$T$31,1,$D3))=0,"",(INDEX('17-year Pro Forma'!$D$26:$T$26,1,$D3)-INDEX('17-year Pro Forma'!$D$28:$T$28,1,$D3))/(INDEX('17-year Pro Forma'!$D$30:$T$30,1,$D3)+INDEX('17-year Pro Forma'!$D$31:$T$31,1,$D3)))</f>
        <v>1.2729051672800027</v>
      </c>
      <c r="G3" s="297" cm="1">
        <f t="array" aca="1" ref="G3" ca="1">INDEX('17-year Pro Forma'!$D$40:$T$40,1,$D3)</f>
        <v>274844.28227248805</v>
      </c>
      <c r="H3" s="297">
        <f ca="1">G3</f>
        <v>274844.28227248805</v>
      </c>
      <c r="I3" s="292"/>
      <c r="J3" s="298">
        <v>1</v>
      </c>
      <c r="K3" s="294" t="s">
        <v>418</v>
      </c>
      <c r="L3" s="294" t="s">
        <v>407</v>
      </c>
      <c r="M3" s="294" t="s">
        <v>419</v>
      </c>
      <c r="N3" s="294">
        <f ca="1">IF(CreditType="4% bond",'Sources &amp; Uses'!I12,"n/a")</f>
        <v>26629503.686842505</v>
      </c>
      <c r="O3" s="294" t="s">
        <v>691</v>
      </c>
      <c r="P3" s="298" t="str">
        <f ca="1">IF(CreditType="4% bond",IF('Sources &amp; Uses'!I12&gt;0,"PASS","FAIL"),"N/A")</f>
        <v>PASS</v>
      </c>
      <c r="Q3" s="294" t="s">
        <v>410</v>
      </c>
      <c r="R3" s="294" t="s">
        <v>411</v>
      </c>
      <c r="S3" s="294" t="str">
        <f ca="1">IF(P3="FAIL","4% credit elected but no tax-exempt bonds present","")</f>
        <v/>
      </c>
      <c r="T3" s="294">
        <f ca="1">IF($R3="APP-SIDE",99,IF($P3="FAIL",IF($Q3="error",1,2),IF($P3="PENDING",3,90)))</f>
        <v>90</v>
      </c>
      <c r="U3" s="294" t="str">
        <f>IFERROR(INDEX(QAP_Rule_Register!$M$6:$M$37,MATCH(K3,QAP_Rule_Register!$A$6:$A$37,0)),"")</f>
        <v>QAP §II · IRC §42(h)(4)</v>
      </c>
      <c r="V3" s="294" t="str">
        <f ca="1">IF(T3&lt;90,T3*1000+ROW(),"")</f>
        <v/>
      </c>
    </row>
    <row r="4" spans="1:22" x14ac:dyDescent="0.25">
      <c r="A4" s="294" t="s">
        <v>661</v>
      </c>
      <c r="B4" s="364" t="s">
        <v>662</v>
      </c>
      <c r="C4" s="292"/>
      <c r="D4" s="295">
        <f t="shared" ref="D4:D18" si="0">D3+1</f>
        <v>3</v>
      </c>
      <c r="E4" s="296" cm="1">
        <f t="array" aca="1" ref="E4" ca="1">IF((INDEX('17-year Pro Forma'!$D$30:$T$30,1,$D4)+INDEX('17-year Pro Forma'!$D$31:$T$31,1,$D4))=0,"",INDEX('17-year Pro Forma'!$D$26:$T$26,1,$D4)/(INDEX('17-year Pro Forma'!$D$30:$T$30,1,$D4)+INDEX('17-year Pro Forma'!$D$31:$T$31,1,$D4)))</f>
        <v>1.3915157930744093</v>
      </c>
      <c r="F4" s="296" cm="1">
        <f t="array" aca="1" ref="F4" ca="1">IF((INDEX('17-year Pro Forma'!$D$30:$T$30,1,$D4)+INDEX('17-year Pro Forma'!$D$31:$T$31,1,$D4))=0,"",(INDEX('17-year Pro Forma'!$D$26:$T$26,1,$D4)-INDEX('17-year Pro Forma'!$D$28:$T$28,1,$D4))/(INDEX('17-year Pro Forma'!$D$30:$T$30,1,$D4)+INDEX('17-year Pro Forma'!$D$31:$T$31,1,$D4)))</f>
        <v>1.2901067409558116</v>
      </c>
      <c r="G4" s="297" cm="1">
        <f t="array" aca="1" ref="G4" ca="1">INDEX('17-year Pro Forma'!$D$40:$T$40,1,$D4)</f>
        <v>297518.71606874629</v>
      </c>
      <c r="H4" s="297">
        <f t="shared" ref="H4:H18" ca="1" si="1">H3+G4</f>
        <v>572362.9983412344</v>
      </c>
      <c r="I4" s="292"/>
      <c r="J4" s="298">
        <v>2</v>
      </c>
      <c r="K4" s="294" t="s">
        <v>406</v>
      </c>
      <c r="L4" s="294" t="s">
        <v>407</v>
      </c>
      <c r="M4" s="294" t="s">
        <v>692</v>
      </c>
      <c r="N4" s="294" t="str">
        <f>IF(CreditType="9% competitive",'Sources &amp; Uses'!I12,"n/a")</f>
        <v>n/a</v>
      </c>
      <c r="O4" s="294" t="s">
        <v>693</v>
      </c>
      <c r="P4" s="298" t="str">
        <f>IF(CreditType="9% competitive",IF('Sources &amp; Uses'!I12=0,"PASS","FAIL"),"N/A")</f>
        <v>N/A</v>
      </c>
      <c r="Q4" s="294" t="s">
        <v>410</v>
      </c>
      <c r="R4" s="294" t="s">
        <v>411</v>
      </c>
      <c r="S4" s="294" t="str">
        <f>IF(P4="FAIL","9% credit cannot combine with tax-exempt bonds","")</f>
        <v/>
      </c>
      <c r="T4" s="294">
        <f t="shared" ref="T4:T34" si="2">IF($R4="APP-SIDE",99,IF($P4="FAIL",IF($Q4="error",1,2),IF($P4="PENDING",3,90)))</f>
        <v>90</v>
      </c>
      <c r="U4" s="294" t="str">
        <f>IFERROR(INDEX(QAP_Rule_Register!$M$6:$M$37,MATCH(K4,QAP_Rule_Register!$A$6:$A$37,0)),"")</f>
        <v>QAP §II · IRC §42(h)(4)</v>
      </c>
      <c r="V4" s="294" t="str">
        <f t="shared" ref="V4:V34" si="3">IF(T4&lt;90,T4*1000+ROW(),"")</f>
        <v/>
      </c>
    </row>
    <row r="5" spans="1:22" x14ac:dyDescent="0.25">
      <c r="A5" s="294" t="s">
        <v>663</v>
      </c>
      <c r="B5" s="364" t="s">
        <v>664</v>
      </c>
      <c r="C5" s="292"/>
      <c r="D5" s="295">
        <f t="shared" si="0"/>
        <v>4</v>
      </c>
      <c r="E5" s="296" cm="1">
        <f t="array" aca="1" ref="E5" ca="1">IF((INDEX('17-year Pro Forma'!$D$30:$T$30,1,$D5)+INDEX('17-year Pro Forma'!$D$31:$T$31,1,$D5))=0,"",INDEX('17-year Pro Forma'!$D$26:$T$26,1,$D5)/(INDEX('17-year Pro Forma'!$D$30:$T$30,1,$D5)+INDEX('17-year Pro Forma'!$D$31:$T$31,1,$D5)))</f>
        <v>1.2459968576400355</v>
      </c>
      <c r="F5" s="296" cm="1">
        <f t="array" aca="1" ref="F5" ca="1">IF((INDEX('17-year Pro Forma'!$D$30:$T$30,1,$D5)+INDEX('17-year Pro Forma'!$D$31:$T$31,1,$D5))=0,"",(INDEX('17-year Pro Forma'!$D$26:$T$26,1,$D5)-INDEX('17-year Pro Forma'!$D$28:$T$28,1,$D5))/(INDEX('17-year Pro Forma'!$D$30:$T$30,1,$D5)+INDEX('17-year Pro Forma'!$D$31:$T$31,1,$D5)))</f>
        <v>1.153814714655409</v>
      </c>
      <c r="G5" s="297" cm="1">
        <f t="array" aca="1" ref="G5" ca="1">INDEX('17-year Pro Forma'!$D$40:$T$40,1,$D5)</f>
        <v>144849.73616038129</v>
      </c>
      <c r="H5" s="297">
        <f t="shared" ca="1" si="1"/>
        <v>717212.73450161563</v>
      </c>
      <c r="I5" s="292"/>
      <c r="J5" s="298">
        <v>3</v>
      </c>
      <c r="K5" s="294" t="s">
        <v>439</v>
      </c>
      <c r="L5" s="294" t="s">
        <v>425</v>
      </c>
      <c r="M5" s="294" t="s">
        <v>440</v>
      </c>
      <c r="N5" s="299">
        <f>'Tax Credit Calc'!F17</f>
        <v>0</v>
      </c>
      <c r="O5" s="294">
        <f>BoostCapPct</f>
        <v>0.3</v>
      </c>
      <c r="P5" s="298" t="str">
        <f>IF('Tax Credit Calc'!F17&lt;=BoostCapPct,"PASS","FAIL")</f>
        <v>PASS</v>
      </c>
      <c r="Q5" s="294" t="s">
        <v>410</v>
      </c>
      <c r="R5" s="294" t="s">
        <v>411</v>
      </c>
      <c r="S5" s="294" t="str">
        <f>IF(P5="FAIL","Basis boost "&amp;TEXT('Tax Credit Calc'!F17,"0.0%")&amp;" exceeds 30% cap","")</f>
        <v/>
      </c>
      <c r="T5" s="294">
        <f t="shared" si="2"/>
        <v>90</v>
      </c>
      <c r="U5" s="294" t="str">
        <f>IFERROR(INDEX(QAP_Rule_Register!$M$6:$M$37,MATCH(K5,QAP_Rule_Register!$A$6:$A$37,0)),"")</f>
        <v>QAP §II.C</v>
      </c>
      <c r="V5" s="294" t="str">
        <f t="shared" si="3"/>
        <v/>
      </c>
    </row>
    <row r="6" spans="1:22" x14ac:dyDescent="0.25">
      <c r="A6" s="294" t="s">
        <v>665</v>
      </c>
      <c r="B6" s="364" t="s">
        <v>188</v>
      </c>
      <c r="C6" s="292"/>
      <c r="D6" s="295">
        <f t="shared" si="0"/>
        <v>5</v>
      </c>
      <c r="E6" s="296" cm="1">
        <f t="array" aca="1" ref="E6" ca="1">IF((INDEX('17-year Pro Forma'!$D$30:$T$30,1,$D6)+INDEX('17-year Pro Forma'!$D$31:$T$31,1,$D6))=0,"",INDEX('17-year Pro Forma'!$D$26:$T$26,1,$D6)/(INDEX('17-year Pro Forma'!$D$30:$T$30,1,$D6)+INDEX('17-year Pro Forma'!$D$31:$T$31,1,$D6)))</f>
        <v>1.2640714684672869</v>
      </c>
      <c r="F6" s="296" cm="1">
        <f t="array" aca="1" ref="F6" ca="1">IF((INDEX('17-year Pro Forma'!$D$30:$T$30,1,$D6)+INDEX('17-year Pro Forma'!$D$31:$T$31,1,$D6))=0,"",(INDEX('17-year Pro Forma'!$D$26:$T$26,1,$D6)-INDEX('17-year Pro Forma'!$D$28:$T$28,1,$D6))/(INDEX('17-year Pro Forma'!$D$30:$T$30,1,$D6)+INDEX('17-year Pro Forma'!$D$31:$T$31,1,$D6)))</f>
        <v>1.1691238611931214</v>
      </c>
      <c r="G6" s="297" cm="1">
        <f t="array" aca="1" ref="G6" ca="1">INDEX('17-year Pro Forma'!$D$40:$T$40,1,$D6)</f>
        <v>168300.34742464352</v>
      </c>
      <c r="H6" s="297">
        <f t="shared" ca="1" si="1"/>
        <v>885513.08192625921</v>
      </c>
      <c r="I6" s="292"/>
      <c r="J6" s="298">
        <v>4</v>
      </c>
      <c r="K6" s="294" t="s">
        <v>446</v>
      </c>
      <c r="L6" s="294" t="s">
        <v>425</v>
      </c>
      <c r="M6" s="294" t="s">
        <v>694</v>
      </c>
      <c r="N6" s="294" t="str">
        <f>BoostEligible</f>
        <v>No</v>
      </c>
      <c r="O6" s="294" t="s">
        <v>695</v>
      </c>
      <c r="P6" s="298" t="str">
        <f>IF(BoostEligible="","PENDING",IF(OR('Tax Credit Calc'!F17=0,BoostEligible="Yes"),"PASS","FAIL"))</f>
        <v>PASS</v>
      </c>
      <c r="Q6" s="294" t="s">
        <v>448</v>
      </c>
      <c r="R6" s="294" t="s">
        <v>449</v>
      </c>
      <c r="S6" s="294" t="str">
        <f>IF(P6="FAIL","Boost claimed but geography not eligible ('Dashboard Calc' M6)",IF(P6="PENDING","Set basis-boost geography eligibility on 'Dashboard Calc' M6",""))</f>
        <v/>
      </c>
      <c r="T6" s="294">
        <f t="shared" si="2"/>
        <v>90</v>
      </c>
      <c r="U6" s="294" t="str">
        <f>IFERROR(INDEX(QAP_Rule_Register!$M$6:$M$37,MATCH(K6,QAP_Rule_Register!$A$6:$A$37,0)),"")</f>
        <v>QAP §II.C</v>
      </c>
      <c r="V6" s="294" t="str">
        <f t="shared" si="3"/>
        <v/>
      </c>
    </row>
    <row r="7" spans="1:22" x14ac:dyDescent="0.25">
      <c r="A7" s="294" t="s">
        <v>666</v>
      </c>
      <c r="B7" s="364" t="s">
        <v>188</v>
      </c>
      <c r="C7" s="292"/>
      <c r="D7" s="295">
        <f t="shared" si="0"/>
        <v>6</v>
      </c>
      <c r="E7" s="296" cm="1">
        <f t="array" aca="1" ref="E7" ca="1">IF((INDEX('17-year Pro Forma'!$D$30:$T$30,1,$D7)+INDEX('17-year Pro Forma'!$D$31:$T$31,1,$D7))=0,"",INDEX('17-year Pro Forma'!$D$26:$T$26,1,$D7)/(INDEX('17-year Pro Forma'!$D$30:$T$30,1,$D7)+INDEX('17-year Pro Forma'!$D$31:$T$31,1,$D7)))</f>
        <v>1.2822841346386111</v>
      </c>
      <c r="F7" s="296" cm="1">
        <f t="array" aca="1" ref="F7" ca="1">IF((INDEX('17-year Pro Forma'!$D$30:$T$30,1,$D7)+INDEX('17-year Pro Forma'!$D$31:$T$31,1,$D7))=0,"",(INDEX('17-year Pro Forma'!$D$26:$T$26,1,$D7)-INDEX('17-year Pro Forma'!$D$28:$T$28,1,$D7))/(INDEX('17-year Pro Forma'!$D$30:$T$30,1,$D7)+INDEX('17-year Pro Forma'!$D$31:$T$31,1,$D7)))</f>
        <v>1.1844880991462208</v>
      </c>
      <c r="G7" s="297" cm="1">
        <f t="array" aca="1" ref="G7" ca="1">INDEX('17-year Pro Forma'!$D$40:$T$40,1,$D7)</f>
        <v>191865.40806130064</v>
      </c>
      <c r="H7" s="297">
        <f t="shared" ca="1" si="1"/>
        <v>1077378.4899875598</v>
      </c>
      <c r="I7" s="292"/>
      <c r="J7" s="298">
        <v>5</v>
      </c>
      <c r="K7" s="294" t="s">
        <v>424</v>
      </c>
      <c r="L7" s="294" t="s">
        <v>425</v>
      </c>
      <c r="M7" s="294" t="s">
        <v>696</v>
      </c>
      <c r="N7" s="294" t="str">
        <f>IF(CreditType="4% bond","n/a",'Tax Credit Calc'!F22)</f>
        <v>n/a</v>
      </c>
      <c r="O7" s="294" t="str">
        <f>IF(CreditType="4% bond","N/A (PAB cap)",IF(Pool="Metro",PoolCapMetro,IF(Pool="Rural",PoolCapRural,IF(Pool="Rural QNP-CHDO",PoolCapRuralQNP,PoolCapReproc))))</f>
        <v>N/A (PAB cap)</v>
      </c>
      <c r="P7" s="298" t="str">
        <f>IF(CreditType="4% bond","N/A",IF('Tax Credit Calc'!F22&lt;=IF(Pool="Metro",PoolCapMetro,IF(Pool="Rural",PoolCapRural,IF(Pool="Rural QNP-CHDO",PoolCapRuralQNP,PoolCapReproc))),"PASS","FAIL"))</f>
        <v>N/A</v>
      </c>
      <c r="Q7" s="294" t="s">
        <v>410</v>
      </c>
      <c r="R7" s="294" t="s">
        <v>411</v>
      </c>
      <c r="S7" s="294" t="str">
        <f>IF(P7="FAIL","Annual credits exceed the "&amp;Pool&amp;" pool cap","")</f>
        <v/>
      </c>
      <c r="T7" s="294">
        <f t="shared" si="2"/>
        <v>90</v>
      </c>
      <c r="U7" s="294" t="str">
        <f>IFERROR(INDEX(QAP_Rule_Register!$M$6:$M$37,MATCH(K7,QAP_Rule_Register!$A$6:$A$37,0)),"")</f>
        <v>QAP §II.B.1</v>
      </c>
      <c r="V7" s="294" t="str">
        <f t="shared" si="3"/>
        <v/>
      </c>
    </row>
    <row r="8" spans="1:22" x14ac:dyDescent="0.25">
      <c r="A8" s="294" t="s">
        <v>667</v>
      </c>
      <c r="B8" s="364" t="s">
        <v>668</v>
      </c>
      <c r="C8" s="292"/>
      <c r="D8" s="295">
        <f t="shared" si="0"/>
        <v>7</v>
      </c>
      <c r="E8" s="296" cm="1">
        <f t="array" aca="1" ref="E8" ca="1">IF((INDEX('17-year Pro Forma'!$D$30:$T$30,1,$D8)+INDEX('17-year Pro Forma'!$D$31:$T$31,1,$D8))=0,"",INDEX('17-year Pro Forma'!$D$26:$T$26,1,$D8)/(INDEX('17-year Pro Forma'!$D$30:$T$30,1,$D8)+INDEX('17-year Pro Forma'!$D$31:$T$31,1,$D8)))</f>
        <v>1.3006309141547152</v>
      </c>
      <c r="F8" s="296" cm="1">
        <f t="array" aca="1" ref="F8" ca="1">IF((INDEX('17-year Pro Forma'!$D$30:$T$30,1,$D8)+INDEX('17-year Pro Forma'!$D$31:$T$31,1,$D8))=0,"",(INDEX('17-year Pro Forma'!$D$26:$T$26,1,$D8)-INDEX('17-year Pro Forma'!$D$28:$T$28,1,$D8))/(INDEX('17-year Pro Forma'!$D$30:$T$30,1,$D8)+INDEX('17-year Pro Forma'!$D$31:$T$31,1,$D8)))</f>
        <v>1.1999009975975532</v>
      </c>
      <c r="G8" s="297" cm="1">
        <f t="array" aca="1" ref="G8" ca="1">INDEX('17-year Pro Forma'!$D$40:$T$40,1,$D8)</f>
        <v>215537.08188212849</v>
      </c>
      <c r="H8" s="297">
        <f t="shared" ca="1" si="1"/>
        <v>1292915.5718696883</v>
      </c>
      <c r="I8" s="292"/>
      <c r="J8" s="298">
        <v>6</v>
      </c>
      <c r="K8" s="294" t="s">
        <v>433</v>
      </c>
      <c r="L8" s="294" t="s">
        <v>425</v>
      </c>
      <c r="M8" s="294" t="s">
        <v>434</v>
      </c>
      <c r="N8" s="294">
        <f ca="1">'Tax Credit Calc'!F22</f>
        <v>1841756.5075450579</v>
      </c>
      <c r="O8" s="297">
        <f ca="1">MIN('Tax Credit Calc'!F22,$B$25)</f>
        <v>1841756.5075450579</v>
      </c>
      <c r="P8" s="298" t="str">
        <f ca="1">IF('Tax Credit Calc'!F22&lt;=MIN('Tax Credit Calc'!F22,$B$25)*1.001,"PASS","FAIL")</f>
        <v>PASS</v>
      </c>
      <c r="Q8" s="294" t="s">
        <v>410</v>
      </c>
      <c r="R8" s="294" t="s">
        <v>411</v>
      </c>
      <c r="S8" s="294" t="str">
        <f ca="1">IF(P8="FAIL","Credits requested exceed MIN(basis, equity-gap)","")</f>
        <v/>
      </c>
      <c r="T8" s="294">
        <f ca="1">IF($R8="APP-SIDE",99,IF($P8="FAIL",IF($Q8="error",1,2),IF($P8="PENDING",3,90)))</f>
        <v>90</v>
      </c>
      <c r="U8" s="294" t="str">
        <f>IFERROR(INDEX(QAP_Rule_Register!$M$6:$M$37,MATCH(K8,QAP_Rule_Register!$A$6:$A$37,0)),"")</f>
        <v>QAP §II.B · §IV.D</v>
      </c>
      <c r="V8" s="294" t="str">
        <f ca="1">IF(T8&lt;90,T8*1000+ROW(),"")</f>
        <v/>
      </c>
    </row>
    <row r="9" spans="1:22" x14ac:dyDescent="0.25">
      <c r="A9" s="294" t="s">
        <v>669</v>
      </c>
      <c r="B9" s="364" t="s">
        <v>670</v>
      </c>
      <c r="C9" s="292"/>
      <c r="D9" s="295">
        <f t="shared" si="0"/>
        <v>8</v>
      </c>
      <c r="E9" s="296" cm="1">
        <f t="array" aca="1" ref="E9" ca="1">IF((INDEX('17-year Pro Forma'!$D$30:$T$30,1,$D9)+INDEX('17-year Pro Forma'!$D$31:$T$31,1,$D9))=0,"",INDEX('17-year Pro Forma'!$D$26:$T$26,1,$D9)/(INDEX('17-year Pro Forma'!$D$30:$T$30,1,$D9)+INDEX('17-year Pro Forma'!$D$31:$T$31,1,$D9)))</f>
        <v>1.3191075850831357</v>
      </c>
      <c r="F9" s="296" cm="1">
        <f t="array" aca="1" ref="F9" ca="1">IF((INDEX('17-year Pro Forma'!$D$30:$T$30,1,$D9)+INDEX('17-year Pro Forma'!$D$31:$T$31,1,$D9))=0,"",(INDEX('17-year Pro Forma'!$D$26:$T$26,1,$D9)-INDEX('17-year Pro Forma'!$D$28:$T$28,1,$D9))/(INDEX('17-year Pro Forma'!$D$30:$T$30,1,$D9)+INDEX('17-year Pro Forma'!$D$31:$T$31,1,$D9)))</f>
        <v>1.2153557710292586</v>
      </c>
      <c r="G9" s="297" cm="1">
        <f t="array" aca="1" ref="G9" ca="1">INDEX('17-year Pro Forma'!$D$40:$T$40,1,$D9)</f>
        <v>239307.10036387853</v>
      </c>
      <c r="H9" s="297">
        <f t="shared" ca="1" si="1"/>
        <v>1532222.6722335669</v>
      </c>
      <c r="I9" s="292"/>
      <c r="J9" s="298">
        <v>7</v>
      </c>
      <c r="K9" s="294" t="s">
        <v>463</v>
      </c>
      <c r="L9" s="294" t="s">
        <v>464</v>
      </c>
      <c r="M9" s="294" t="s">
        <v>697</v>
      </c>
      <c r="N9" s="296">
        <f ca="1">$B$18</f>
        <v>1.2459968576397762</v>
      </c>
      <c r="O9" s="294" t="s">
        <v>698</v>
      </c>
      <c r="P9" s="298" t="str">
        <f ca="1">$B$21</f>
        <v>FAIL</v>
      </c>
      <c r="Q9" s="294" t="s">
        <v>410</v>
      </c>
      <c r="R9" s="294" t="s">
        <v>411</v>
      </c>
      <c r="S9" s="294" t="str">
        <f ca="1">IF(P9="FAIL","Min DSCR "&amp;TEXT($B$18,"0.00")&amp;"x at Yr "&amp;$B$19&amp;" below 1.15 floor (P&amp;I starts Yr4)","")</f>
        <v>Min DSCR 1.25x at Yr 4 below 1.15 floor (P&amp;I starts Yr4)</v>
      </c>
      <c r="T9" s="294">
        <f ca="1">IF($R9="APP-SIDE",99,IF($P9="FAIL",IF($Q9="error",1,2),IF($P9="PENDING",3,90)))</f>
        <v>1</v>
      </c>
      <c r="U9" s="294" t="str">
        <f>IFERROR(INDEX(QAP_Rule_Register!$M$6:$M$37,MATCH(K9,QAP_Rule_Register!$A$6:$A$37,0)),"")</f>
        <v>QAP §IV.D.6</v>
      </c>
      <c r="V9" s="294">
        <f ca="1">IF(T9&lt;90,T9*1000+ROW(),"")</f>
        <v>1009</v>
      </c>
    </row>
    <row r="10" spans="1:22" x14ac:dyDescent="0.25">
      <c r="A10" s="294" t="s">
        <v>787</v>
      </c>
      <c r="B10" s="364" t="s">
        <v>764</v>
      </c>
      <c r="C10" s="292"/>
      <c r="D10" s="295">
        <f t="shared" si="0"/>
        <v>9</v>
      </c>
      <c r="E10" s="296" cm="1">
        <f t="array" aca="1" ref="E10" ca="1">IF((INDEX('17-year Pro Forma'!$D$30:$T$30,1,$D10)+INDEX('17-year Pro Forma'!$D$31:$T$31,1,$D10))=0,"",INDEX('17-year Pro Forma'!$D$26:$T$26,1,$D10)/(INDEX('17-year Pro Forma'!$D$30:$T$30,1,$D10)+INDEX('17-year Pro Forma'!$D$31:$T$31,1,$D10)))</f>
        <v>1.3377096339267787</v>
      </c>
      <c r="F10" s="296" cm="1">
        <f t="array" aca="1" ref="F10" ca="1">IF((INDEX('17-year Pro Forma'!$D$30:$T$30,1,$D10)+INDEX('17-year Pro Forma'!$D$31:$T$31,1,$D10))=0,"",(INDEX('17-year Pro Forma'!$D$26:$T$26,1,$D10)-INDEX('17-year Pro Forma'!$D$28:$T$28,1,$D10))/(INDEX('17-year Pro Forma'!$D$30:$T$30,1,$D10)+INDEX('17-year Pro Forma'!$D$31:$T$31,1,$D10)))</f>
        <v>1.2308452654512854</v>
      </c>
      <c r="G10" s="297" cm="1">
        <f t="array" aca="1" ref="G10" ca="1">INDEX('17-year Pro Forma'!$D$40:$T$40,1,$D10)</f>
        <v>263166.74728116288</v>
      </c>
      <c r="H10" s="297">
        <f t="shared" ca="1" si="1"/>
        <v>1795389.4195147296</v>
      </c>
      <c r="I10" s="292"/>
      <c r="J10" s="298">
        <v>8</v>
      </c>
      <c r="K10" s="294" t="s">
        <v>474</v>
      </c>
      <c r="L10" s="294" t="s">
        <v>464</v>
      </c>
      <c r="M10" s="294" t="s">
        <v>699</v>
      </c>
      <c r="N10" s="296">
        <f ca="1">$B$22</f>
        <v>1.2640714684670236</v>
      </c>
      <c r="O10" s="294" t="s">
        <v>700</v>
      </c>
      <c r="P10" s="298" t="str">
        <f ca="1">IF(AND($B$22&gt;=DSCR15Floor,MAX(E6,E11,E16)&lt;=DSCRCeil),"PASS","FAIL")</f>
        <v>FAIL</v>
      </c>
      <c r="Q10" s="294" t="s">
        <v>410</v>
      </c>
      <c r="R10" s="294" t="s">
        <v>411</v>
      </c>
      <c r="S10" s="294" t="str">
        <f ca="1">IF(P10="FAIL","QAP checkpoint DSCR out of 1.00-1.40 band","")</f>
        <v>QAP checkpoint DSCR out of 1.00-1.40 band</v>
      </c>
      <c r="T10" s="294">
        <f ca="1">IF($R10="APP-SIDE",99,IF($P10="FAIL",IF($Q10="error",1,2),IF($P10="PENDING",3,90)))</f>
        <v>1</v>
      </c>
      <c r="U10" s="294" t="str">
        <f>IFERROR(INDEX(QAP_Rule_Register!$M$6:$M$37,MATCH(K10,QAP_Rule_Register!$A$6:$A$37,0)),"")</f>
        <v>QAP §IV.D.6</v>
      </c>
      <c r="V10" s="294">
        <f ca="1">IF(T10&lt;90,T10*1000+ROW(),"")</f>
        <v>1010</v>
      </c>
    </row>
    <row r="11" spans="1:22" x14ac:dyDescent="0.25">
      <c r="A11" s="294" t="s">
        <v>788</v>
      </c>
      <c r="B11" s="364" t="s">
        <v>789</v>
      </c>
      <c r="C11" s="292"/>
      <c r="D11" s="295">
        <f t="shared" si="0"/>
        <v>10</v>
      </c>
      <c r="E11" s="296" cm="1">
        <f t="array" aca="1" ref="E11" ca="1">IF((INDEX('17-year Pro Forma'!$D$30:$T$30,1,$D11)+INDEX('17-year Pro Forma'!$D$31:$T$31,1,$D11))=0,"",INDEX('17-year Pro Forma'!$D$26:$T$26,1,$D11)/(INDEX('17-year Pro Forma'!$D$30:$T$30,1,$D11)+INDEX('17-year Pro Forma'!$D$31:$T$31,1,$D11)))</f>
        <v>1.3564322435788476</v>
      </c>
      <c r="F11" s="296" cm="1">
        <f t="array" aca="1" ref="F11" ca="1">IF((INDEX('17-year Pro Forma'!$D$30:$T$30,1,$D11)+INDEX('17-year Pro Forma'!$D$31:$T$31,1,$D11))=0,"",(INDEX('17-year Pro Forma'!$D$26:$T$26,1,$D11)-INDEX('17-year Pro Forma'!$D$28:$T$28,1,$D11))/(INDEX('17-year Pro Forma'!$D$30:$T$30,1,$D11)+INDEX('17-year Pro Forma'!$D$31:$T$31,1,$D11)))</f>
        <v>1.2463619440490896</v>
      </c>
      <c r="G11" s="297" cm="1">
        <f t="array" aca="1" ref="G11" ca="1">INDEX('17-year Pro Forma'!$D$40:$T$40,1,$D11)</f>
        <v>287106.84291555587</v>
      </c>
      <c r="H11" s="297">
        <f t="shared" ca="1" si="1"/>
        <v>2082496.2624302856</v>
      </c>
      <c r="I11" s="292"/>
      <c r="J11" s="298">
        <v>9</v>
      </c>
      <c r="K11" s="294" t="s">
        <v>480</v>
      </c>
      <c r="L11" s="294" t="s">
        <v>481</v>
      </c>
      <c r="M11" s="294" t="s">
        <v>482</v>
      </c>
      <c r="N11" s="300">
        <f ca="1">'Sources &amp; Uses'!I65</f>
        <v>5921702.9893874349</v>
      </c>
      <c r="O11" s="294" t="str">
        <f>IF(CreditType="4% bond","No cap (4% bond)",MIN(DevFeeCapAbs,DevFeeCapPct*'Sources &amp; Uses'!I82))</f>
        <v>No cap (4% bond)</v>
      </c>
      <c r="P11" s="298" t="str">
        <f>IF(CreditType="4% bond","PASS",IF('Sources &amp; Uses'!I65&lt;=MIN(DevFeeCapAbs,DevFeeCapPct*'Sources &amp; Uses'!I82),"PASS","FAIL"))</f>
        <v>PASS</v>
      </c>
      <c r="Q11" s="294" t="s">
        <v>410</v>
      </c>
      <c r="R11" s="294" t="s">
        <v>411</v>
      </c>
      <c r="S11" s="294" t="str">
        <f>IF(P11="FAIL","Developer fee exceeds MIN($2.0M, 15% x base)","")</f>
        <v/>
      </c>
      <c r="T11" s="294">
        <f t="shared" si="2"/>
        <v>90</v>
      </c>
      <c r="U11" s="294" t="str">
        <f>IFERROR(INDEX(QAP_Rule_Register!$M$6:$M$37,MATCH(K11,QAP_Rule_Register!$A$6:$A$37,0)),"")</f>
        <v>QAP §IV.D.18</v>
      </c>
      <c r="V11" s="294" t="str">
        <f t="shared" si="3"/>
        <v/>
      </c>
    </row>
    <row r="12" spans="1:22" x14ac:dyDescent="0.25">
      <c r="A12" s="294" t="s">
        <v>793</v>
      </c>
      <c r="B12" s="301">
        <f>S63</f>
        <v>69223310</v>
      </c>
      <c r="C12" s="292"/>
      <c r="D12" s="295">
        <f t="shared" si="0"/>
        <v>11</v>
      </c>
      <c r="E12" s="296" cm="1">
        <f t="array" aca="1" ref="E12" ca="1">IF((INDEX('17-year Pro Forma'!$D$30:$T$30,1,$D12)+INDEX('17-year Pro Forma'!$D$31:$T$31,1,$D12))=0,"",INDEX('17-year Pro Forma'!$D$26:$T$26,1,$D12)/(INDEX('17-year Pro Forma'!$D$30:$T$30,1,$D12)+INDEX('17-year Pro Forma'!$D$31:$T$31,1,$D12)))</f>
        <v>1.3752702808504587</v>
      </c>
      <c r="F12" s="296" cm="1">
        <f t="array" aca="1" ref="F12" ca="1">IF((INDEX('17-year Pro Forma'!$D$30:$T$30,1,$D12)+INDEX('17-year Pro Forma'!$D$31:$T$31,1,$D12))=0,"",(INDEX('17-year Pro Forma'!$D$26:$T$26,1,$D12)-INDEX('17-year Pro Forma'!$D$28:$T$28,1,$D12))/(INDEX('17-year Pro Forma'!$D$30:$T$30,1,$D12)+INDEX('17-year Pro Forma'!$D$31:$T$31,1,$D12)))</f>
        <v>1.2618978723348078</v>
      </c>
      <c r="G12" s="297" cm="1">
        <f t="array" aca="1" ref="G12" ca="1">INDEX('17-year Pro Forma'!$D$40:$T$40,1,$D12)</f>
        <v>311117.72783362499</v>
      </c>
      <c r="H12" s="297">
        <f t="shared" ca="1" si="1"/>
        <v>2393613.9902639105</v>
      </c>
      <c r="I12" s="292"/>
      <c r="J12" s="298">
        <v>10</v>
      </c>
      <c r="K12" s="294" t="s">
        <v>488</v>
      </c>
      <c r="L12" s="294" t="s">
        <v>481</v>
      </c>
      <c r="M12" s="294" t="s">
        <v>701</v>
      </c>
      <c r="N12" s="302">
        <f>'Sources &amp; Uses'!I46</f>
        <v>750000</v>
      </c>
      <c r="O12" s="300">
        <f ca="1">ArchPct*'Sources &amp; Uses'!I43</f>
        <v>2440288.8217522665</v>
      </c>
      <c r="P12" s="298" t="str">
        <f ca="1">IF('Sources &amp; Uses'!I46&lt;=ArchPct*'Sources &amp; Uses'!I43,"PASS","FAIL")</f>
        <v>PASS</v>
      </c>
      <c r="Q12" s="294" t="s">
        <v>410</v>
      </c>
      <c r="R12" s="294" t="s">
        <v>411</v>
      </c>
      <c r="S12" s="294" t="str">
        <f ca="1">IF(P12="FAIL","Architect fee exceeds 7% of hard costs","")</f>
        <v/>
      </c>
      <c r="T12" s="294">
        <f t="shared" ca="1" si="2"/>
        <v>90</v>
      </c>
      <c r="U12" s="294" t="str">
        <f>IFERROR(INDEX(QAP_Rule_Register!$M$6:$M$37,MATCH(K12,QAP_Rule_Register!$A$6:$A$37,0)),"")</f>
        <v>QAP §IV.D.19</v>
      </c>
      <c r="V12" s="294" t="str">
        <f t="shared" ca="1" si="3"/>
        <v/>
      </c>
    </row>
    <row r="13" spans="1:22" x14ac:dyDescent="0.25">
      <c r="A13" s="294" t="s">
        <v>671</v>
      </c>
      <c r="B13" s="301">
        <f ca="1">'Sources &amp; Uses'!I22</f>
        <v>2131813.0761792511</v>
      </c>
      <c r="C13" s="292"/>
      <c r="D13" s="295">
        <f t="shared" si="0"/>
        <v>12</v>
      </c>
      <c r="E13" s="296" cm="1">
        <f t="array" aca="1" ref="E13" ca="1">IF((INDEX('17-year Pro Forma'!$D$30:$T$30,1,$D13)+INDEX('17-year Pro Forma'!$D$31:$T$31,1,$D13))=0,"",INDEX('17-year Pro Forma'!$D$26:$T$26,1,$D13)/(INDEX('17-year Pro Forma'!$D$30:$T$30,1,$D13)+INDEX('17-year Pro Forma'!$D$31:$T$31,1,$D13)))</f>
        <v>1.3933144294215074</v>
      </c>
      <c r="F13" s="296" cm="1">
        <f t="array" aca="1" ref="F13" ca="1">IF((INDEX('17-year Pro Forma'!$D$30:$T$30,1,$D13)+INDEX('17-year Pro Forma'!$D$31:$T$31,1,$D13))=0,"",(INDEX('17-year Pro Forma'!$D$26:$T$26,1,$D13)-INDEX('17-year Pro Forma'!$D$28:$T$28,1,$D13))/(INDEX('17-year Pro Forma'!$D$30:$T$30,1,$D13)+INDEX('17-year Pro Forma'!$D$31:$T$31,1,$D13)))</f>
        <v>1.2765408486503871</v>
      </c>
      <c r="G13" s="297" cm="1">
        <f t="array" aca="1" ref="G13" ca="1">INDEX('17-year Pro Forma'!$D$40:$T$40,1,$D13)</f>
        <v>333839.24622671376</v>
      </c>
      <c r="H13" s="297">
        <f t="shared" ca="1" si="1"/>
        <v>2727453.236490624</v>
      </c>
      <c r="I13" s="292"/>
      <c r="J13" s="298">
        <v>11</v>
      </c>
      <c r="K13" s="294" t="s">
        <v>495</v>
      </c>
      <c r="L13" s="294" t="s">
        <v>481</v>
      </c>
      <c r="M13" s="294" t="s">
        <v>496</v>
      </c>
      <c r="N13" s="302">
        <f ca="1">'Sources &amp; Uses'!I40</f>
        <v>1834803.6253776436</v>
      </c>
      <c r="O13" s="300">
        <f ca="1">BuilderProfitPct*'Sources &amp; Uses'!I81</f>
        <v>1834803.6253776436</v>
      </c>
      <c r="P13" s="298" t="str">
        <f ca="1">IF('Sources &amp; Uses'!I40&lt;=BuilderProfitPct*'Sources &amp; Uses'!I81+1,"PASS","FAIL")</f>
        <v>PASS</v>
      </c>
      <c r="Q13" s="294" t="s">
        <v>410</v>
      </c>
      <c r="R13" s="294" t="s">
        <v>411</v>
      </c>
      <c r="S13" s="294" t="str">
        <f ca="1">IF(P13="FAIL","Builder profit exceeds 6% of base","")</f>
        <v/>
      </c>
      <c r="T13" s="294">
        <f t="shared" ca="1" si="2"/>
        <v>90</v>
      </c>
      <c r="U13" s="294" t="str">
        <f>IFERROR(INDEX(QAP_Rule_Register!$M$6:$M$37,MATCH(K13,QAP_Rule_Register!$A$6:$A$37,0)),"")</f>
        <v>QAP §IV.D.20</v>
      </c>
      <c r="V13" s="294" t="str">
        <f t="shared" ca="1" si="3"/>
        <v/>
      </c>
    </row>
    <row r="14" spans="1:22" x14ac:dyDescent="0.25">
      <c r="A14" s="292"/>
      <c r="B14" s="292"/>
      <c r="C14" s="292"/>
      <c r="D14" s="295">
        <f t="shared" si="0"/>
        <v>13</v>
      </c>
      <c r="E14" s="296" cm="1">
        <f t="array" aca="1" ref="E14" ca="1">IF((INDEX('17-year Pro Forma'!$D$30:$T$30,1,$D14)+INDEX('17-year Pro Forma'!$D$31:$T$31,1,$D14))=0,"",INDEX('17-year Pro Forma'!$D$26:$T$26,1,$D14)/(INDEX('17-year Pro Forma'!$D$30:$T$30,1,$D14)+INDEX('17-year Pro Forma'!$D$31:$T$31,1,$D14)))</f>
        <v>1.4114356232525982</v>
      </c>
      <c r="F14" s="296" cm="1">
        <f t="array" aca="1" ref="F14" ca="1">IF((INDEX('17-year Pro Forma'!$D$30:$T$30,1,$D14)+INDEX('17-year Pro Forma'!$D$31:$T$31,1,$D14))=0,"",(INDEX('17-year Pro Forma'!$D$26:$T$26,1,$D14)-INDEX('17-year Pro Forma'!$D$28:$T$28,1,$D14))/(INDEX('17-year Pro Forma'!$D$30:$T$30,1,$D14)+INDEX('17-year Pro Forma'!$D$31:$T$31,1,$D14)))</f>
        <v>1.2911588350583441</v>
      </c>
      <c r="G14" s="297" cm="1">
        <f t="array" aca="1" ref="G14" ca="1">INDEX('17-year Pro Forma'!$D$40:$T$40,1,$D14)</f>
        <v>356570.22880544682</v>
      </c>
      <c r="H14" s="297">
        <f t="shared" ca="1" si="1"/>
        <v>3084023.465296071</v>
      </c>
      <c r="I14" s="292"/>
      <c r="J14" s="298">
        <v>12</v>
      </c>
      <c r="K14" s="294" t="s">
        <v>502</v>
      </c>
      <c r="L14" s="294" t="s">
        <v>481</v>
      </c>
      <c r="M14" s="294" t="s">
        <v>503</v>
      </c>
      <c r="N14" s="302">
        <f ca="1">'Sources &amp; Uses'!I39</f>
        <v>611601.20845921454</v>
      </c>
      <c r="O14" s="300">
        <f ca="1">BuilderOHPct*'Sources &amp; Uses'!I81</f>
        <v>611601.20845921454</v>
      </c>
      <c r="P14" s="298" t="str">
        <f ca="1">IF('Sources &amp; Uses'!I39&lt;=BuilderOHPct*'Sources &amp; Uses'!I81+1,"PASS","FAIL")</f>
        <v>PASS</v>
      </c>
      <c r="Q14" s="294" t="s">
        <v>410</v>
      </c>
      <c r="R14" s="294" t="s">
        <v>411</v>
      </c>
      <c r="S14" s="294" t="str">
        <f ca="1">IF(P14="FAIL","Builder overhead exceeds 2% of base","")</f>
        <v/>
      </c>
      <c r="T14" s="294">
        <f t="shared" ca="1" si="2"/>
        <v>90</v>
      </c>
      <c r="U14" s="294" t="str">
        <f>IFERROR(INDEX(QAP_Rule_Register!$M$6:$M$37,MATCH(K14,QAP_Rule_Register!$A$6:$A$37,0)),"")</f>
        <v>QAP §IV.D.21</v>
      </c>
      <c r="V14" s="294" t="str">
        <f t="shared" ca="1" si="3"/>
        <v/>
      </c>
    </row>
    <row r="15" spans="1:22" x14ac:dyDescent="0.25">
      <c r="A15" s="292"/>
      <c r="B15" s="292"/>
      <c r="C15" s="292"/>
      <c r="D15" s="295">
        <f t="shared" si="0"/>
        <v>14</v>
      </c>
      <c r="E15" s="296" cm="1">
        <f t="array" aca="1" ref="E15" ca="1">IF((INDEX('17-year Pro Forma'!$D$30:$T$30,1,$D15)+INDEX('17-year Pro Forma'!$D$31:$T$31,1,$D15))=0,"",INDEX('17-year Pro Forma'!$D$26:$T$26,1,$D15)/(INDEX('17-year Pro Forma'!$D$30:$T$30,1,$D15)+INDEX('17-year Pro Forma'!$D$31:$T$31,1,$D15)))</f>
        <v>1.4296268881175915</v>
      </c>
      <c r="F15" s="296" cm="1">
        <f t="array" aca="1" ref="F15" ca="1">IF((INDEX('17-year Pro Forma'!$D$30:$T$30,1,$D15)+INDEX('17-year Pro Forma'!$D$31:$T$31,1,$D15))=0,"",(INDEX('17-year Pro Forma'!$D$26:$T$26,1,$D15)-INDEX('17-year Pro Forma'!$D$28:$T$28,1,$D15))/(INDEX('17-year Pro Forma'!$D$30:$T$30,1,$D15)+INDEX('17-year Pro Forma'!$D$31:$T$31,1,$D15)))</f>
        <v>1.30574179627751</v>
      </c>
      <c r="G15" s="297" cm="1">
        <f t="array" aca="1" ref="G15" ca="1">INDEX('17-year Pro Forma'!$D$40:$T$40,1,$D15)</f>
        <v>379298.26024214737</v>
      </c>
      <c r="H15" s="297">
        <f t="shared" ca="1" si="1"/>
        <v>3463321.7255382184</v>
      </c>
      <c r="I15" s="292"/>
      <c r="J15" s="298">
        <v>13</v>
      </c>
      <c r="K15" s="294" t="s">
        <v>509</v>
      </c>
      <c r="L15" s="294" t="s">
        <v>481</v>
      </c>
      <c r="M15" s="294" t="s">
        <v>510</v>
      </c>
      <c r="N15" s="302">
        <f ca="1">'Sources &amp; Uses'!I38</f>
        <v>1834803.6253776436</v>
      </c>
      <c r="O15" s="300">
        <f ca="1">GenReqPct*'Sources &amp; Uses'!I81</f>
        <v>1834803.6253776436</v>
      </c>
      <c r="P15" s="298" t="str">
        <f ca="1">IF('Sources &amp; Uses'!I38&lt;=GenReqPct*'Sources &amp; Uses'!I81+1,"PASS","FAIL")</f>
        <v>PASS</v>
      </c>
      <c r="Q15" s="294" t="s">
        <v>410</v>
      </c>
      <c r="R15" s="294" t="s">
        <v>411</v>
      </c>
      <c r="S15" s="294" t="str">
        <f ca="1">IF(P15="FAIL","General requirements exceed 6% of base","")</f>
        <v/>
      </c>
      <c r="T15" s="294">
        <f t="shared" ca="1" si="2"/>
        <v>90</v>
      </c>
      <c r="U15" s="294" t="str">
        <f>IFERROR(INDEX(QAP_Rule_Register!$M$6:$M$37,MATCH(K15,QAP_Rule_Register!$A$6:$A$37,0)),"")</f>
        <v>QAP §IV.D.23</v>
      </c>
      <c r="V15" s="294" t="str">
        <f t="shared" ca="1" si="3"/>
        <v/>
      </c>
    </row>
    <row r="16" spans="1:22" x14ac:dyDescent="0.25">
      <c r="A16" s="291" t="s">
        <v>790</v>
      </c>
      <c r="B16" s="292"/>
      <c r="C16" s="292"/>
      <c r="D16" s="295">
        <f t="shared" si="0"/>
        <v>15</v>
      </c>
      <c r="E16" s="296" cm="1">
        <f t="array" aca="1" ref="E16" ca="1">IF((INDEX('17-year Pro Forma'!$D$30:$T$30,1,$D16)+INDEX('17-year Pro Forma'!$D$31:$T$31,1,$D16))=0,"",INDEX('17-year Pro Forma'!$D$26:$T$26,1,$D16)/(INDEX('17-year Pro Forma'!$D$30:$T$30,1,$D16)+INDEX('17-year Pro Forma'!$D$31:$T$31,1,$D16)))</f>
        <v>1.447880854851882</v>
      </c>
      <c r="F16" s="296" cm="1">
        <f t="array" aca="1" ref="F16" ca="1">IF((INDEX('17-year Pro Forma'!$D$30:$T$30,1,$D16)+INDEX('17-year Pro Forma'!$D$31:$T$31,1,$D16))=0,"",(INDEX('17-year Pro Forma'!$D$26:$T$26,1,$D16)-INDEX('17-year Pro Forma'!$D$28:$T$28,1,$D16))/(INDEX('17-year Pro Forma'!$D$30:$T$30,1,$D16)+INDEX('17-year Pro Forma'!$D$31:$T$31,1,$D16)))</f>
        <v>1.3202792102565979</v>
      </c>
      <c r="G16" s="297" cm="1">
        <f t="array" aca="1" ref="G16" ca="1">INDEX('17-year Pro Forma'!$D$40:$T$40,1,$D16)</f>
        <v>402010.33970459003</v>
      </c>
      <c r="H16" s="297">
        <f t="shared" ca="1" si="1"/>
        <v>3865332.0652428083</v>
      </c>
      <c r="I16" s="292"/>
      <c r="J16" s="298">
        <v>14</v>
      </c>
      <c r="K16" s="294" t="s">
        <v>515</v>
      </c>
      <c r="L16" s="294" t="s">
        <v>481</v>
      </c>
      <c r="M16" s="294" t="s">
        <v>516</v>
      </c>
      <c r="N16" s="302">
        <f ca="1">'Sources &amp; Uses'!I41</f>
        <v>1660060.4229607251</v>
      </c>
      <c r="O16" s="300">
        <f ca="1">ContingencyPct*'Sources &amp; Uses'!I43</f>
        <v>3486126.8882175232</v>
      </c>
      <c r="P16" s="298" t="str">
        <f ca="1">IF('Sources &amp; Uses'!I41&lt;=ContingencyPct*'Sources &amp; Uses'!I43,"PASS","FAIL")</f>
        <v>PASS</v>
      </c>
      <c r="Q16" s="294" t="s">
        <v>410</v>
      </c>
      <c r="R16" s="294" t="s">
        <v>411</v>
      </c>
      <c r="S16" s="294" t="str">
        <f ca="1">IF(P16="FAIL","Contingency exceeds 10% of hard costs","")</f>
        <v/>
      </c>
      <c r="T16" s="294">
        <f t="shared" ca="1" si="2"/>
        <v>90</v>
      </c>
      <c r="U16" s="294" t="str">
        <f>IFERROR(INDEX(QAP_Rule_Register!$M$6:$M$37,MATCH(K16,QAP_Rule_Register!$A$6:$A$37,0)),"")</f>
        <v>QAP §IV.D</v>
      </c>
      <c r="V16" s="294" t="str">
        <f t="shared" ca="1" si="3"/>
        <v/>
      </c>
    </row>
    <row r="17" spans="1:22" x14ac:dyDescent="0.25">
      <c r="A17" s="293" t="s">
        <v>724</v>
      </c>
      <c r="B17" s="293" t="s">
        <v>636</v>
      </c>
      <c r="C17" s="292"/>
      <c r="D17" s="295">
        <f t="shared" si="0"/>
        <v>16</v>
      </c>
      <c r="E17" s="296" cm="1">
        <f t="array" aca="1" ref="E17" ca="1">IF((INDEX('17-year Pro Forma'!$D$30:$T$30,1,$D17)+INDEX('17-year Pro Forma'!$D$31:$T$31,1,$D17))=0,"",INDEX('17-year Pro Forma'!$D$26:$T$26,1,$D17)/(INDEX('17-year Pro Forma'!$D$30:$T$30,1,$D17)+INDEX('17-year Pro Forma'!$D$31:$T$31,1,$D17)))</f>
        <v>1.4661897437900169</v>
      </c>
      <c r="F17" s="296" cm="1">
        <f t="array" aca="1" ref="F17" ca="1">IF((INDEX('17-year Pro Forma'!$D$30:$T$30,1,$D17)+INDEX('17-year Pro Forma'!$D$31:$T$31,1,$D17))=0,"",(INDEX('17-year Pro Forma'!$D$26:$T$26,1,$D17)-INDEX('17-year Pro Forma'!$D$28:$T$28,1,$D17))/(INDEX('17-year Pro Forma'!$D$30:$T$30,1,$D17)+INDEX('17-year Pro Forma'!$D$31:$T$31,1,$D17)))</f>
        <v>1.3347600498568741</v>
      </c>
      <c r="G17" s="297" cm="1">
        <f t="array" aca="1" ref="G17" ca="1">INDEX('17-year Pro Forma'!$D$40:$T$40,1,$D17)</f>
        <v>424692.8612814066</v>
      </c>
      <c r="H17" s="297">
        <f t="shared" ca="1" si="1"/>
        <v>4290024.9265242144</v>
      </c>
      <c r="I17" s="292"/>
      <c r="J17" s="298">
        <v>15</v>
      </c>
      <c r="K17" s="294" t="s">
        <v>522</v>
      </c>
      <c r="L17" s="294" t="s">
        <v>523</v>
      </c>
      <c r="M17" s="294" t="s">
        <v>524</v>
      </c>
      <c r="N17" s="302">
        <f>'17-year Pro Forma'!E24</f>
        <v>1331988.0655199999</v>
      </c>
      <c r="O17" s="294">
        <f>OpexMinPU*'Unit Mix+Rents'!$D$14</f>
        <v>1260000</v>
      </c>
      <c r="P17" s="298" t="str">
        <f>IF('17-year Pro Forma'!E24&gt;=OpexMinPU*'Unit Mix+Rents'!$D$14,"PASS","FAIL")</f>
        <v>PASS</v>
      </c>
      <c r="Q17" s="294" t="s">
        <v>448</v>
      </c>
      <c r="R17" s="294" t="s">
        <v>411</v>
      </c>
      <c r="S17" s="294" t="str">
        <f>IF(P17="FAIL","Opex "&amp;TEXT('17-year Pro Forma'!E24/'Unit Mix+Rents'!$D$14,"$#,##0")&amp;"/unit below $4,500 floor","")</f>
        <v/>
      </c>
      <c r="T17" s="294">
        <f t="shared" si="2"/>
        <v>90</v>
      </c>
      <c r="U17" s="294" t="str">
        <f>IFERROR(INDEX(QAP_Rule_Register!$M$6:$M$37,MATCH(K17,QAP_Rule_Register!$A$6:$A$37,0)),"")</f>
        <v>QAP §IV.D.13</v>
      </c>
      <c r="V17" s="294" t="str">
        <f t="shared" si="3"/>
        <v/>
      </c>
    </row>
    <row r="18" spans="1:22" x14ac:dyDescent="0.25">
      <c r="A18" s="294" t="s">
        <v>677</v>
      </c>
      <c r="B18" s="303">
        <f ca="1">MIN(E3:E18)</f>
        <v>1.2459968576400355</v>
      </c>
      <c r="C18" s="292"/>
      <c r="D18" s="295">
        <f t="shared" si="0"/>
        <v>17</v>
      </c>
      <c r="E18" s="296" cm="1">
        <f t="array" aca="1" ref="E18" ca="1">IF((INDEX('17-year Pro Forma'!$D$30:$T$30,1,$D18)+INDEX('17-year Pro Forma'!$D$31:$T$31,1,$D18))=0,"",INDEX('17-year Pro Forma'!$D$26:$T$26,1,$D18)/(INDEX('17-year Pro Forma'!$D$30:$T$30,1,$D18)+INDEX('17-year Pro Forma'!$D$31:$T$31,1,$D18)))</f>
        <v>1.4845453486621476</v>
      </c>
      <c r="F18" s="296" cm="1">
        <f t="array" aca="1" ref="F18" ca="1">IF((INDEX('17-year Pro Forma'!$D$30:$T$30,1,$D18)+INDEX('17-year Pro Forma'!$D$31:$T$31,1,$D18))=0,"",(INDEX('17-year Pro Forma'!$D$26:$T$26,1,$D18)-INDEX('17-year Pro Forma'!$D$28:$T$28,1,$D18))/(INDEX('17-year Pro Forma'!$D$30:$T$30,1,$D18)+INDEX('17-year Pro Forma'!$D$31:$T$31,1,$D18)))</f>
        <v>1.3491727639110105</v>
      </c>
      <c r="G18" s="297" cm="1">
        <f t="array" aca="1" ref="G18" ca="1">INDEX('17-year Pro Forma'!$D$40:$T$40,1,$D18)</f>
        <v>447331.5939040645</v>
      </c>
      <c r="H18" s="297">
        <f t="shared" ca="1" si="1"/>
        <v>4737356.5204282794</v>
      </c>
      <c r="I18" s="292"/>
      <c r="J18" s="298">
        <v>16</v>
      </c>
      <c r="K18" s="294" t="s">
        <v>531</v>
      </c>
      <c r="L18" s="294" t="s">
        <v>523</v>
      </c>
      <c r="M18" s="294" t="s">
        <v>702</v>
      </c>
      <c r="N18" s="302">
        <f ca="1">'Sources &amp; Uses'!I67</f>
        <v>665994.03275999997</v>
      </c>
      <c r="O18" s="302">
        <f>OpReserveFrac*'17-year Pro Forma'!E24</f>
        <v>665994.03275999997</v>
      </c>
      <c r="P18" s="298" t="str">
        <f ca="1">IF('Sources &amp; Uses'!I67&gt;=OpReserveFrac*'17-year Pro Forma'!E24,"PASS","FAIL")</f>
        <v>PASS</v>
      </c>
      <c r="Q18" s="294" t="s">
        <v>448</v>
      </c>
      <c r="R18" s="294" t="s">
        <v>411</v>
      </c>
      <c r="S18" s="294" t="str">
        <f ca="1">IF(P18="FAIL","Operating reserve below 6 months of opex","")</f>
        <v/>
      </c>
      <c r="T18" s="294">
        <f ca="1">IF($R18="APP-SIDE",99,IF($P18="FAIL",IF($Q18="error",1,2),IF($P18="PENDING",3,90)))</f>
        <v>90</v>
      </c>
      <c r="U18" s="294" t="str">
        <f>IFERROR(INDEX(QAP_Rule_Register!$M$6:$M$37,MATCH(K18,QAP_Rule_Register!$A$6:$A$37,0)),"")</f>
        <v>QAP §IV.D.14</v>
      </c>
      <c r="V18" s="294" t="str">
        <f ca="1">IF(T18&lt;90,T18*1000+ROW(),"")</f>
        <v/>
      </c>
    </row>
    <row r="19" spans="1:22" x14ac:dyDescent="0.25">
      <c r="A19" s="294" t="s">
        <v>678</v>
      </c>
      <c r="B19" s="295">
        <f ca="1">INDEX(D3:D18,MATCH(B18,E3:E18,0))</f>
        <v>4</v>
      </c>
      <c r="C19" s="292"/>
      <c r="D19" s="292"/>
      <c r="E19" s="292"/>
      <c r="F19" s="292"/>
      <c r="G19" s="292"/>
      <c r="H19" s="292"/>
      <c r="I19" s="292"/>
      <c r="J19" s="298">
        <v>17</v>
      </c>
      <c r="K19" s="294" t="s">
        <v>545</v>
      </c>
      <c r="L19" s="294" t="s">
        <v>523</v>
      </c>
      <c r="M19" s="294" t="s">
        <v>703</v>
      </c>
      <c r="N19" s="302">
        <f>'17-year Pro Forma'!D28/'Unit Mix+Rents'!$D$14</f>
        <v>500.00000000000011</v>
      </c>
      <c r="O19" s="294">
        <f>IF(ProjectType="Senior",ReserveFloorSenior,IF(ProjectType="Rehab",ReserveFloorRehab,ReserveFloorFamily))</f>
        <v>350</v>
      </c>
      <c r="P19" s="298" t="str">
        <f>IF('17-year Pro Forma'!D28/'Unit Mix+Rents'!$D$14&gt;=O19,"PASS","FAIL")</f>
        <v>PASS</v>
      </c>
      <c r="Q19" s="294" t="s">
        <v>448</v>
      </c>
      <c r="R19" s="294" t="s">
        <v>745</v>
      </c>
      <c r="S19" s="294" t="str">
        <f>IF(P19="FAIL","Reserve deposit "&amp;TEXT('17-year Pro Forma'!D28/'Unit Mix+Rents'!$D$14,"$#,##0")&amp;"/unit below "&amp;TEXT(O19,"$#,##0")&amp;" floor","")</f>
        <v/>
      </c>
      <c r="T19" s="294">
        <f t="shared" si="2"/>
        <v>90</v>
      </c>
      <c r="U19" s="294" t="str">
        <f>IFERROR(INDEX(QAP_Rule_Register!$M$6:$M$37,MATCH(K19,QAP_Rule_Register!$A$6:$A$37,0)),"")</f>
        <v>QAP §IV.D.10</v>
      </c>
      <c r="V19" s="294" t="str">
        <f t="shared" si="3"/>
        <v/>
      </c>
    </row>
    <row r="20" spans="1:22" x14ac:dyDescent="0.25">
      <c r="A20" s="294" t="s">
        <v>679</v>
      </c>
      <c r="B20" s="303">
        <f ca="1">MAX(E3:E18)</f>
        <v>1.4845453486621476</v>
      </c>
      <c r="C20" s="292"/>
      <c r="D20" s="292"/>
      <c r="E20" s="292"/>
      <c r="F20" s="292"/>
      <c r="G20" s="292"/>
      <c r="H20" s="292"/>
      <c r="I20" s="292"/>
      <c r="J20" s="298">
        <v>18</v>
      </c>
      <c r="K20" s="294" t="s">
        <v>552</v>
      </c>
      <c r="L20" s="294" t="s">
        <v>523</v>
      </c>
      <c r="M20" s="294" t="s">
        <v>704</v>
      </c>
      <c r="N20" s="302">
        <f>MIN('17-year Pro Forma'!$D$28:$T$28)/'Unit Mix+Rents'!$D$14</f>
        <v>500.00000000000011</v>
      </c>
      <c r="O20" s="294">
        <f>O19</f>
        <v>350</v>
      </c>
      <c r="P20" s="298" t="str">
        <f>IF(N20&gt;=O20,"PASS","FAIL")</f>
        <v>PASS</v>
      </c>
      <c r="Q20" s="294" t="s">
        <v>448</v>
      </c>
      <c r="R20" s="294" t="s">
        <v>411</v>
      </c>
      <c r="S20" s="294" t="str">
        <f>IF(P20="FAIL","Reserve deposit/unit dips below floor in some year","")</f>
        <v/>
      </c>
      <c r="T20" s="294">
        <f t="shared" si="2"/>
        <v>90</v>
      </c>
      <c r="U20" s="294" t="str">
        <f>IFERROR(INDEX(QAP_Rule_Register!$M$6:$M$37,MATCH(K20,QAP_Rule_Register!$A$6:$A$37,0)),"")</f>
        <v>QAP §IV.D.10</v>
      </c>
      <c r="V20" s="294" t="str">
        <f t="shared" si="3"/>
        <v/>
      </c>
    </row>
    <row r="21" spans="1:22" x14ac:dyDescent="0.25">
      <c r="A21" s="294" t="s">
        <v>680</v>
      </c>
      <c r="B21" s="298" t="str">
        <f ca="1">IF(AND(B18&gt;=DSCRFloor,B20&lt;=DSCRCeil),"PASS","FAIL")</f>
        <v>FAIL</v>
      </c>
      <c r="C21" s="292"/>
      <c r="D21" s="292"/>
      <c r="E21" s="292"/>
      <c r="F21" s="292"/>
      <c r="G21" s="292"/>
      <c r="H21" s="292"/>
      <c r="I21" s="292"/>
      <c r="J21" s="298">
        <v>19</v>
      </c>
      <c r="K21" s="294" t="s">
        <v>558</v>
      </c>
      <c r="L21" s="294" t="s">
        <v>559</v>
      </c>
      <c r="M21" s="294" t="s">
        <v>560</v>
      </c>
      <c r="N21" s="294">
        <f>'NOI Calc'!D11</f>
        <v>7.0000000000000007E-2</v>
      </c>
      <c r="O21" s="294">
        <f>VacancyMin</f>
        <v>7.0000000000000007E-2</v>
      </c>
      <c r="P21" s="298" t="str">
        <f>IF('NOI Calc'!D11&gt;=VacancyMin,"PASS","FAIL")</f>
        <v>PASS</v>
      </c>
      <c r="Q21" s="294" t="s">
        <v>448</v>
      </c>
      <c r="R21" s="294" t="s">
        <v>411</v>
      </c>
      <c r="S21" s="294" t="str">
        <f>IF(P21="FAIL","Yr1-3 vacancy below 7%","")</f>
        <v/>
      </c>
      <c r="T21" s="294">
        <f t="shared" si="2"/>
        <v>90</v>
      </c>
      <c r="U21" s="294" t="str">
        <f>IFERROR(INDEX(QAP_Rule_Register!$M$6:$M$37,MATCH(K21,QAP_Rule_Register!$A$6:$A$37,0)),"")</f>
        <v>QAP §IV.D.5</v>
      </c>
      <c r="V21" s="294" t="str">
        <f t="shared" si="3"/>
        <v/>
      </c>
    </row>
    <row r="22" spans="1:22" x14ac:dyDescent="0.25">
      <c r="A22" s="294" t="s">
        <v>681</v>
      </c>
      <c r="B22" s="303">
        <f ca="1">MIN(E6,E11,E16)</f>
        <v>1.2640714684672869</v>
      </c>
      <c r="C22" s="292"/>
      <c r="D22" s="292"/>
      <c r="E22" s="292"/>
      <c r="F22" s="292"/>
      <c r="G22" s="292"/>
      <c r="H22" s="292"/>
      <c r="I22" s="292"/>
      <c r="J22" s="298">
        <v>20</v>
      </c>
      <c r="K22" s="294" t="s">
        <v>566</v>
      </c>
      <c r="L22" s="294" t="s">
        <v>559</v>
      </c>
      <c r="M22" s="294" t="s">
        <v>567</v>
      </c>
      <c r="N22" s="294">
        <f>'NOI Calc'!D11</f>
        <v>7.0000000000000007E-2</v>
      </c>
      <c r="O22" s="294">
        <f>VacancyMin</f>
        <v>7.0000000000000007E-2</v>
      </c>
      <c r="P22" s="298" t="str">
        <f>IF('NOI Calc'!D11&gt;=VacancyMin,"PASS","FAIL")</f>
        <v>PASS</v>
      </c>
      <c r="Q22" s="294" t="s">
        <v>448</v>
      </c>
      <c r="R22" s="294" t="s">
        <v>411</v>
      </c>
      <c r="S22" s="294" t="str">
        <f>IF(P22="FAIL","Yr4+ vacancy below 7%","")</f>
        <v/>
      </c>
      <c r="T22" s="294">
        <f t="shared" si="2"/>
        <v>90</v>
      </c>
      <c r="U22" s="294" t="str">
        <f>IFERROR(INDEX(QAP_Rule_Register!$M$6:$M$37,MATCH(K22,QAP_Rule_Register!$A$6:$A$37,0)),"")</f>
        <v>QAP §IV.D.5</v>
      </c>
      <c r="V22" s="294" t="str">
        <f t="shared" si="3"/>
        <v/>
      </c>
    </row>
    <row r="23" spans="1:22" x14ac:dyDescent="0.25">
      <c r="A23" s="294" t="s">
        <v>682</v>
      </c>
      <c r="B23" s="304">
        <f ca="1">H16</f>
        <v>3865332.0652428083</v>
      </c>
      <c r="C23" s="292"/>
      <c r="D23" s="292"/>
      <c r="E23" s="292"/>
      <c r="F23" s="292"/>
      <c r="G23" s="292"/>
      <c r="H23" s="292"/>
      <c r="I23" s="292"/>
      <c r="J23" s="298">
        <v>21</v>
      </c>
      <c r="K23" s="294" t="s">
        <v>569</v>
      </c>
      <c r="L23" s="294" t="s">
        <v>559</v>
      </c>
      <c r="M23" s="294" t="s">
        <v>570</v>
      </c>
      <c r="N23" s="294">
        <f>('17-year Pro Forma'!E6/'17-year Pro Forma'!D6)-1</f>
        <v>2.0000000000000018E-2</v>
      </c>
      <c r="O23" s="294">
        <f>RentTrendMax</f>
        <v>0.02</v>
      </c>
      <c r="P23" s="298" t="str">
        <f>IF(('17-year Pro Forma'!E6/'17-year Pro Forma'!D6)-1&lt;=RentTrendMax+0.0001,"PASS","FAIL")</f>
        <v>PASS</v>
      </c>
      <c r="Q23" s="294" t="s">
        <v>448</v>
      </c>
      <c r="R23" s="294" t="s">
        <v>411</v>
      </c>
      <c r="S23" s="294" t="str">
        <f>IF(P23="FAIL","Yr1-3 rent trend above 2%","")</f>
        <v/>
      </c>
      <c r="T23" s="294">
        <f t="shared" si="2"/>
        <v>90</v>
      </c>
      <c r="U23" s="294" t="str">
        <f>IFERROR(INDEX(QAP_Rule_Register!$M$6:$M$37,MATCH(K23,QAP_Rule_Register!$A$6:$A$37,0)),"")</f>
        <v>QAP §IV.D.4</v>
      </c>
      <c r="V23" s="294" t="str">
        <f t="shared" si="3"/>
        <v/>
      </c>
    </row>
    <row r="24" spans="1:22" x14ac:dyDescent="0.25">
      <c r="A24" s="294" t="s">
        <v>683</v>
      </c>
      <c r="B24" s="295" cm="1">
        <f t="array" aca="1" ref="B24" ca="1">IFERROR(INDEX(D3:D18,MATCH(1,INDEX(--(H3:H18&gt;=DeferredFee),0),0)),"not by Yr17")</f>
        <v>11</v>
      </c>
      <c r="C24" s="292"/>
      <c r="D24" s="292"/>
      <c r="E24" s="292"/>
      <c r="F24" s="292"/>
      <c r="G24" s="292"/>
      <c r="H24" s="292"/>
      <c r="I24" s="292"/>
      <c r="J24" s="298">
        <v>22</v>
      </c>
      <c r="K24" s="294" t="s">
        <v>576</v>
      </c>
      <c r="L24" s="294" t="s">
        <v>559</v>
      </c>
      <c r="M24" s="294" t="s">
        <v>577</v>
      </c>
      <c r="N24" s="294">
        <f>('17-year Pro Forma'!H6/'17-year Pro Forma'!G6)-1</f>
        <v>2.0000000000000018E-2</v>
      </c>
      <c r="O24" s="294">
        <f>RentTrendMax</f>
        <v>0.02</v>
      </c>
      <c r="P24" s="298" t="str">
        <f>IF(('17-year Pro Forma'!H6/'17-year Pro Forma'!G6)-1&lt;=RentTrendMax+0.0001,"PASS","FAIL")</f>
        <v>PASS</v>
      </c>
      <c r="Q24" s="294" t="s">
        <v>448</v>
      </c>
      <c r="R24" s="294" t="s">
        <v>411</v>
      </c>
      <c r="S24" s="294" t="str">
        <f>IF(P24="FAIL","Yr4-15 rent trend above 2%","")</f>
        <v/>
      </c>
      <c r="T24" s="294">
        <f t="shared" si="2"/>
        <v>90</v>
      </c>
      <c r="U24" s="294" t="str">
        <f>IFERROR(INDEX(QAP_Rule_Register!$M$6:$M$37,MATCH(K24,QAP_Rule_Register!$A$6:$A$37,0)),"")</f>
        <v>QAP §IV.D.4</v>
      </c>
      <c r="V24" s="294" t="str">
        <f t="shared" si="3"/>
        <v/>
      </c>
    </row>
    <row r="25" spans="1:22" x14ac:dyDescent="0.25">
      <c r="A25" s="294" t="s">
        <v>684</v>
      </c>
      <c r="B25" s="304">
        <f ca="1">('Sources &amp; Uses'!I78-'Sources &amp; Uses'!I12-'Sources &amp; Uses'!I19-'Sources &amp; Uses'!I24)/'Tax Credit Calc'!F4/10/('Tax Credit Calc'!E39/'Tax Credit Calc'!C39)</f>
        <v>1841756.50754661</v>
      </c>
      <c r="C25" s="292"/>
      <c r="D25" s="292"/>
      <c r="E25" s="292"/>
      <c r="F25" s="292"/>
      <c r="G25" s="292"/>
      <c r="H25" s="292"/>
      <c r="I25" s="292"/>
      <c r="J25" s="298">
        <v>23</v>
      </c>
      <c r="K25" s="294" t="s">
        <v>580</v>
      </c>
      <c r="L25" s="294" t="s">
        <v>559</v>
      </c>
      <c r="M25" s="294" t="s">
        <v>710</v>
      </c>
      <c r="N25" s="294">
        <f>('17-year Pro Forma'!F17/'17-year Pro Forma'!E17)-1</f>
        <v>3.0000000000000027E-2</v>
      </c>
      <c r="O25" s="294">
        <f>ExpTrendMin</f>
        <v>2.8000000000000001E-2</v>
      </c>
      <c r="P25" s="298" t="str">
        <f>IF(('17-year Pro Forma'!F17/'17-year Pro Forma'!E17)-1&gt;=ExpTrendMin-0.0001,"PASS","FAIL")</f>
        <v>PASS</v>
      </c>
      <c r="Q25" s="294" t="s">
        <v>448</v>
      </c>
      <c r="R25" s="294" t="s">
        <v>411</v>
      </c>
      <c r="S25" s="294" t="str">
        <f>IF(P25="FAIL","Expense trend below 2.8%","")</f>
        <v/>
      </c>
      <c r="T25" s="294">
        <f t="shared" si="2"/>
        <v>90</v>
      </c>
      <c r="U25" s="294" t="str">
        <f>IFERROR(INDEX(QAP_Rule_Register!$M$6:$M$37,MATCH(K25,QAP_Rule_Register!$A$6:$A$37,0)),"")</f>
        <v>QAP §IV.D.4</v>
      </c>
      <c r="V25" s="294" t="str">
        <f t="shared" si="3"/>
        <v/>
      </c>
    </row>
    <row r="26" spans="1:22" x14ac:dyDescent="0.25">
      <c r="A26" s="294" t="s">
        <v>720</v>
      </c>
      <c r="B26" s="295">
        <f ca="1">COUNTIFS($P$3:$P$36,"FAIL",$Q$3:$Q$36,"error",$R$3:$R$36,"&lt;&gt;APP-SIDE",$R$3:$R$36,"&lt;&gt;EXCLUDED")</f>
        <v>2</v>
      </c>
      <c r="C26" s="292"/>
      <c r="D26" s="292"/>
      <c r="E26" s="292"/>
      <c r="F26" s="292"/>
      <c r="G26" s="292"/>
      <c r="H26" s="292"/>
      <c r="I26" s="292"/>
      <c r="J26" s="298">
        <v>24</v>
      </c>
      <c r="K26" s="294" t="s">
        <v>586</v>
      </c>
      <c r="L26" s="294" t="s">
        <v>587</v>
      </c>
      <c r="M26" s="294" t="s">
        <v>705</v>
      </c>
      <c r="N26" s="300">
        <f ca="1">'Sources &amp; Uses'!I78</f>
        <v>50848028.30279091</v>
      </c>
      <c r="O26" s="294">
        <f>IF(HUDTDCLimit="","(enter on calc sheet)",HUDTDCLimit)</f>
        <v>69223310</v>
      </c>
      <c r="P26" s="298" t="str">
        <f ca="1">IF(HUDTDCLimit="","PENDING",IF('Sources &amp; Uses'!I78&lt;=HUDTDCLimit,"PASS","FAIL"))</f>
        <v>PASS</v>
      </c>
      <c r="Q26" s="294" t="s">
        <v>410</v>
      </c>
      <c r="R26" s="294" t="s">
        <v>449</v>
      </c>
      <c r="S26" s="294" t="str">
        <f ca="1">IF(P26="PENDING","Enter summed HUD per-unit TDC limit on 'Dashboard Calc' M10",IF(P26="FAIL","Adjusted TDC exceeds HUD limit",""))</f>
        <v/>
      </c>
      <c r="T26" s="294">
        <f ca="1">IF($R26="APP-SIDE",99,IF($P26="FAIL",IF($Q26="error",1,2),IF($P26="PENDING",3,90)))</f>
        <v>90</v>
      </c>
      <c r="U26" s="294" t="str">
        <f>IFERROR(INDEX(QAP_Rule_Register!$M$6:$M$37,MATCH(K26,QAP_Rule_Register!$A$6:$A$37,0)),"")</f>
        <v>QAP §IV.D.25</v>
      </c>
      <c r="V26" s="294" t="str">
        <f ca="1">IF(T26&lt;90,T26*1000+ROW(),"")</f>
        <v/>
      </c>
    </row>
    <row r="27" spans="1:22" x14ac:dyDescent="0.25">
      <c r="A27" s="294" t="s">
        <v>721</v>
      </c>
      <c r="B27" s="295">
        <f ca="1">COUNTIFS($P$3:$P$36,"FAIL",$Q$3:$Q$36,"warning",$R$3:$R$36,"&lt;&gt;APP-SIDE",$R$3:$R$36,"&lt;&gt;EXCLUDED")</f>
        <v>1</v>
      </c>
      <c r="C27" s="292"/>
      <c r="D27" s="292"/>
      <c r="E27" s="292"/>
      <c r="F27" s="292"/>
      <c r="G27" s="292"/>
      <c r="H27" s="292"/>
      <c r="I27" s="292"/>
      <c r="J27" s="298">
        <v>25</v>
      </c>
      <c r="K27" s="294" t="s">
        <v>594</v>
      </c>
      <c r="L27" s="294" t="s">
        <v>587</v>
      </c>
      <c r="M27" s="294" t="s">
        <v>706</v>
      </c>
      <c r="N27" s="294">
        <f ca="1">'Sources &amp; Uses'!I80</f>
        <v>1.1451542377471924E-5</v>
      </c>
      <c r="O27" s="294">
        <f>SUBalanceTol</f>
        <v>1</v>
      </c>
      <c r="P27" s="298" t="str">
        <f ca="1">IF(ABS('Sources &amp; Uses'!I80)&lt;=SUBalanceTol,"PASS","FAIL")</f>
        <v>PASS</v>
      </c>
      <c r="Q27" s="294" t="s">
        <v>448</v>
      </c>
      <c r="R27" s="294" t="s">
        <v>745</v>
      </c>
      <c r="S27" s="294" t="str">
        <f ca="1">IF(P27="FAIL","Sources and uses out of balance","")</f>
        <v/>
      </c>
      <c r="T27" s="294">
        <f ca="1">IF($R27="APP-SIDE",99,IF($P27="FAIL",IF($Q27="error",1,2),IF($P27="PENDING",3,90)))</f>
        <v>90</v>
      </c>
      <c r="U27" s="294" t="str">
        <f>IFERROR(INDEX(QAP_Rule_Register!$M$6:$M$37,MATCH(K27,QAP_Rule_Register!$A$6:$A$37,0)),"")</f>
        <v>QAP §IV.D.2</v>
      </c>
      <c r="V27" s="294" t="str">
        <f ca="1">IF(T27&lt;90,T27*1000+ROW(),"")</f>
        <v/>
      </c>
    </row>
    <row r="28" spans="1:22" x14ac:dyDescent="0.25">
      <c r="A28" s="294" t="s">
        <v>722</v>
      </c>
      <c r="B28" s="295">
        <f ca="1">COUNTIFS($P$3:$P$36,"PENDING",$R$3:$R$36,"&lt;&gt;APP-SIDE",$R$3:$R$36,"&lt;&gt;EXCLUDED")</f>
        <v>0</v>
      </c>
      <c r="C28" s="292"/>
      <c r="D28" s="292"/>
      <c r="E28" s="292"/>
      <c r="F28" s="292"/>
      <c r="G28" s="292"/>
      <c r="H28" s="292"/>
      <c r="I28" s="292"/>
      <c r="J28" s="298">
        <v>26</v>
      </c>
      <c r="K28" s="294" t="s">
        <v>606</v>
      </c>
      <c r="L28" s="294" t="s">
        <v>607</v>
      </c>
      <c r="M28" s="294" t="s">
        <v>608</v>
      </c>
      <c r="N28" s="300">
        <f>'Financing Assumptions'!D49</f>
        <v>50000</v>
      </c>
      <c r="O28" s="300">
        <f ca="1">IF(Syndication="Public",SyndCapPub,SyndCapPriv)*'Tax Credit Calc'!F41</f>
        <v>1458671.1539756861</v>
      </c>
      <c r="P28" s="298" t="str">
        <f ca="1">IF('Financing Assumptions'!D49&lt;=IF(Syndication="Public",SyndCapPub,SyndCapPriv)*'Tax Credit Calc'!F41,"PASS","FAIL")</f>
        <v>PASS</v>
      </c>
      <c r="Q28" s="294" t="s">
        <v>410</v>
      </c>
      <c r="R28" s="294" t="s">
        <v>745</v>
      </c>
      <c r="S28" s="294" t="str">
        <f ca="1">IF(P28="FAIL","Syndication costs exceed proceeds cap","")</f>
        <v/>
      </c>
      <c r="T28" s="294">
        <f ca="1">IF($R28="APP-SIDE",99,IF($P28="FAIL",IF($Q28="error",1,2),IF($P28="PENDING",3,90)))</f>
        <v>90</v>
      </c>
      <c r="U28" s="294" t="str">
        <f>IFERROR(INDEX(QAP_Rule_Register!$M$6:$M$37,MATCH(K28,QAP_Rule_Register!$A$6:$A$37,0)),"")</f>
        <v>QAP §IV.D.24</v>
      </c>
      <c r="V28" s="294" t="str">
        <f ca="1">IF(T28&lt;90,T28*1000+ROW(),"")</f>
        <v/>
      </c>
    </row>
    <row r="29" spans="1:22" x14ac:dyDescent="0.25">
      <c r="A29" s="294" t="s">
        <v>723</v>
      </c>
      <c r="B29" s="298" t="str">
        <f ca="1">IF(B26&gt;0,"FAIL",IF(OR(B27&gt;0,B28&gt;0),"MARGINAL","PENCILS"))</f>
        <v>FAIL</v>
      </c>
      <c r="C29" s="292"/>
      <c r="D29" s="292"/>
      <c r="E29" s="292"/>
      <c r="F29" s="292"/>
      <c r="G29" s="292"/>
      <c r="H29" s="292"/>
      <c r="I29" s="292"/>
      <c r="J29" s="298">
        <v>27</v>
      </c>
      <c r="K29" s="294" t="s">
        <v>619</v>
      </c>
      <c r="L29" s="294" t="s">
        <v>620</v>
      </c>
      <c r="M29" s="294" t="s">
        <v>707</v>
      </c>
      <c r="N29" s="300">
        <f ca="1">'17-year Pro Forma'!E40</f>
        <v>274844.28227248805</v>
      </c>
      <c r="O29" s="302">
        <f>CashFlowCeilPct*'17-year Pro Forma'!E24</f>
        <v>133198.80655199999</v>
      </c>
      <c r="P29" s="298" t="str">
        <f ca="1">IF('17-year Pro Forma'!E40&lt;=CashFlowCeilPct*'17-year Pro Forma'!E24,"PASS","FAIL")</f>
        <v>FAIL</v>
      </c>
      <c r="Q29" s="294" t="s">
        <v>448</v>
      </c>
      <c r="R29" s="294" t="s">
        <v>411</v>
      </c>
      <c r="S29" s="294" t="str">
        <f ca="1">IF(P29="FAIL","Stabilized cash "&amp;TEXT('17-year Pro Forma'!E40,"$#,##0")&amp;" exceeds 10% of opex","")</f>
        <v>Stabilized cash $274,844 exceeds 10% of opex</v>
      </c>
      <c r="T29" s="294">
        <f ca="1">IF($R29="APP-SIDE",99,IF($P29="FAIL",IF($Q29="error",1,2),IF($P29="PENDING",3,90)))</f>
        <v>2</v>
      </c>
      <c r="U29" s="294" t="str">
        <f>IFERROR(INDEX(QAP_Rule_Register!$M$6:$M$37,MATCH(K29,QAP_Rule_Register!$A$6:$A$37,0)),"")</f>
        <v>QAP §IV.D.4</v>
      </c>
      <c r="V29" s="294">
        <f ca="1">IF(T29&lt;90,T29*1000+ROW(),"")</f>
        <v>2029</v>
      </c>
    </row>
    <row r="30" spans="1:22" x14ac:dyDescent="0.25">
      <c r="A30" s="292"/>
      <c r="B30" s="292"/>
      <c r="C30" s="292"/>
      <c r="D30" s="292"/>
      <c r="E30" s="292"/>
      <c r="F30" s="292"/>
      <c r="G30" s="292"/>
      <c r="H30" s="292"/>
      <c r="I30" s="292"/>
      <c r="J30" s="298">
        <v>28</v>
      </c>
      <c r="K30" s="294" t="s">
        <v>626</v>
      </c>
      <c r="L30" s="294" t="s">
        <v>708</v>
      </c>
      <c r="M30" s="294" t="s">
        <v>709</v>
      </c>
      <c r="N30" s="297">
        <f ca="1">$B$23</f>
        <v>3865332.0652428083</v>
      </c>
      <c r="O30" s="294">
        <f ca="1">DeferredFee</f>
        <v>2131813.0761792511</v>
      </c>
      <c r="P30" s="298" t="str">
        <f ca="1">IF(DeferredFee=0,"N/A",IF($B$23&gt;=DeferredFee,"PASS","FAIL"))</f>
        <v>PASS</v>
      </c>
      <c r="Q30" s="294" t="s">
        <v>448</v>
      </c>
      <c r="R30" s="294" t="s">
        <v>411</v>
      </c>
      <c r="S30" s="294" t="str">
        <f ca="1">IF(P30="FAIL","Cum cash "&amp;TEXT($B$23,"$#,##0")&amp;" &lt; deferred fee by Yr15; repaid Yr "&amp;$B$24,"")</f>
        <v/>
      </c>
      <c r="T30" s="294">
        <f ca="1">IF($R30="APP-SIDE",99,IF($P30="FAIL",IF($Q30="error",1,2),IF($P30="PENDING",3,90)))</f>
        <v>90</v>
      </c>
      <c r="U30" s="294" t="str">
        <f>IFERROR(INDEX(QAP_Rule_Register!$M$6:$M$37,MATCH(K30,QAP_Rule_Register!$A$6:$A$37,0)),"")</f>
        <v>QAP §IV.D.3 · §IV.D.9</v>
      </c>
      <c r="V30" s="294" t="str">
        <f ca="1">IF(T30&lt;90,T30*1000+ROW(),"")</f>
        <v/>
      </c>
    </row>
    <row r="31" spans="1:22" x14ac:dyDescent="0.25">
      <c r="B31" s="292"/>
      <c r="C31" s="292"/>
      <c r="D31" s="292"/>
      <c r="E31" s="292"/>
      <c r="F31" s="292"/>
      <c r="G31" s="292"/>
      <c r="H31" s="292"/>
      <c r="I31" s="292"/>
      <c r="J31" s="298">
        <v>29</v>
      </c>
      <c r="K31" s="294" t="s">
        <v>538</v>
      </c>
      <c r="L31" s="294" t="s">
        <v>523</v>
      </c>
      <c r="M31" s="294" t="s">
        <v>711</v>
      </c>
      <c r="N31" s="294" t="s">
        <v>712</v>
      </c>
      <c r="O31" s="294" t="s">
        <v>713</v>
      </c>
      <c r="P31" s="298" t="s">
        <v>322</v>
      </c>
      <c r="Q31" s="294" t="s">
        <v>450</v>
      </c>
      <c r="R31" s="294" t="s">
        <v>457</v>
      </c>
      <c r="S31" s="294" t="s">
        <v>714</v>
      </c>
      <c r="T31" s="294">
        <f t="shared" si="2"/>
        <v>99</v>
      </c>
      <c r="U31" s="294" t="str">
        <f>IFERROR(INDEX(QAP_Rule_Register!$M$6:$M$37,MATCH(K31,QAP_Rule_Register!$A$6:$A$37,0)),"")</f>
        <v>QAP §IV.D.3 · §44</v>
      </c>
      <c r="V31" s="294" t="str">
        <f t="shared" si="3"/>
        <v/>
      </c>
    </row>
    <row r="32" spans="1:22" x14ac:dyDescent="0.25">
      <c r="B32" s="292"/>
      <c r="C32" s="292"/>
      <c r="D32" s="292"/>
      <c r="E32" s="292"/>
      <c r="F32" s="292"/>
      <c r="G32" s="292"/>
      <c r="H32" s="292"/>
      <c r="I32" s="292"/>
      <c r="J32" s="298">
        <v>30</v>
      </c>
      <c r="K32" s="294" t="s">
        <v>455</v>
      </c>
      <c r="L32" s="294" t="s">
        <v>407</v>
      </c>
      <c r="M32" s="294" t="s">
        <v>456</v>
      </c>
      <c r="N32" s="294" t="s">
        <v>712</v>
      </c>
      <c r="O32" s="294" t="s">
        <v>458</v>
      </c>
      <c r="P32" s="298" t="s">
        <v>322</v>
      </c>
      <c r="Q32" s="294" t="s">
        <v>450</v>
      </c>
      <c r="R32" s="294" t="s">
        <v>457</v>
      </c>
      <c r="S32" s="294" t="s">
        <v>715</v>
      </c>
      <c r="T32" s="294">
        <f t="shared" si="2"/>
        <v>99</v>
      </c>
      <c r="U32" s="294" t="str">
        <f>IFERROR(INDEX(QAP_Rule_Register!$M$6:$M$37,MATCH(K32,QAP_Rule_Register!$A$6:$A$37,0)),"")</f>
        <v>QAP §IV.D.2</v>
      </c>
      <c r="V32" s="294" t="str">
        <f t="shared" si="3"/>
        <v/>
      </c>
    </row>
    <row r="33" spans="1:22" x14ac:dyDescent="0.25">
      <c r="B33" s="292"/>
      <c r="C33" s="292"/>
      <c r="D33" s="292"/>
      <c r="E33" s="292"/>
      <c r="F33" s="292"/>
      <c r="G33" s="292"/>
      <c r="H33" s="292"/>
      <c r="I33" s="292"/>
      <c r="J33" s="298">
        <v>31</v>
      </c>
      <c r="K33" s="294" t="s">
        <v>600</v>
      </c>
      <c r="L33" s="294" t="s">
        <v>587</v>
      </c>
      <c r="M33" s="294" t="s">
        <v>601</v>
      </c>
      <c r="N33" s="294" t="s">
        <v>712</v>
      </c>
      <c r="O33" s="294" t="s">
        <v>716</v>
      </c>
      <c r="P33" s="298" t="s">
        <v>322</v>
      </c>
      <c r="Q33" s="294" t="s">
        <v>450</v>
      </c>
      <c r="R33" s="294" t="s">
        <v>457</v>
      </c>
      <c r="S33" s="294" t="s">
        <v>717</v>
      </c>
      <c r="T33" s="294">
        <f t="shared" si="2"/>
        <v>99</v>
      </c>
      <c r="U33" s="294" t="str">
        <f>IFERROR(INDEX(QAP_Rule_Register!$M$6:$M$37,MATCH(K33,QAP_Rule_Register!$A$6:$A$37,0)),"")</f>
        <v>IRC §42(d)</v>
      </c>
      <c r="V33" s="294" t="str">
        <f t="shared" si="3"/>
        <v/>
      </c>
    </row>
    <row r="34" spans="1:22" x14ac:dyDescent="0.25">
      <c r="B34" s="292"/>
      <c r="C34" s="292"/>
      <c r="D34" s="292"/>
      <c r="E34" s="292"/>
      <c r="F34" s="292"/>
      <c r="G34" s="292"/>
      <c r="H34" s="292"/>
      <c r="I34" s="292"/>
      <c r="J34" s="298">
        <v>32</v>
      </c>
      <c r="K34" s="294" t="s">
        <v>614</v>
      </c>
      <c r="L34" s="294" t="s">
        <v>607</v>
      </c>
      <c r="M34" s="294" t="s">
        <v>615</v>
      </c>
      <c r="N34" s="294" t="s">
        <v>712</v>
      </c>
      <c r="O34" s="294" t="s">
        <v>718</v>
      </c>
      <c r="P34" s="298" t="s">
        <v>322</v>
      </c>
      <c r="Q34" s="294" t="s">
        <v>450</v>
      </c>
      <c r="R34" s="294" t="s">
        <v>457</v>
      </c>
      <c r="S34" s="294" t="s">
        <v>719</v>
      </c>
      <c r="T34" s="294">
        <f t="shared" si="2"/>
        <v>99</v>
      </c>
      <c r="U34" s="294" t="str">
        <f>IFERROR(INDEX(QAP_Rule_Register!$M$6:$M$37,MATCH(K34,QAP_Rule_Register!$A$6:$A$37,0)),"")</f>
        <v>QAP §IV.D.24</v>
      </c>
      <c r="V34" s="294" t="str">
        <f t="shared" si="3"/>
        <v/>
      </c>
    </row>
    <row r="35" spans="1:22" x14ac:dyDescent="0.25">
      <c r="A35" s="292"/>
      <c r="B35" s="292"/>
      <c r="C35" s="292"/>
      <c r="D35" s="292"/>
      <c r="E35" s="292"/>
      <c r="F35" s="292"/>
      <c r="G35" s="292"/>
      <c r="H35" s="292"/>
      <c r="I35" s="292"/>
      <c r="J35" s="298">
        <v>33</v>
      </c>
      <c r="K35" s="294" t="s">
        <v>741</v>
      </c>
      <c r="L35" s="294" t="s">
        <v>587</v>
      </c>
      <c r="M35" s="294" t="s">
        <v>742</v>
      </c>
      <c r="N35" s="300">
        <f ca="1">'Sources &amp; Uses'!I78/'Unit Mix+Rents'!$D$14</f>
        <v>181600.1010813961</v>
      </c>
      <c r="O35" s="300">
        <f>'Sources &amp; Uses'!I85</f>
        <v>247226.10714285713</v>
      </c>
      <c r="P35" s="298" t="str">
        <f ca="1">IF(N35&lt;=O35,"PASS","FAIL")</f>
        <v>PASS</v>
      </c>
      <c r="Q35" s="294" t="s">
        <v>410</v>
      </c>
      <c r="R35" s="294" t="s">
        <v>411</v>
      </c>
      <c r="S35" s="294" t="str">
        <f ca="1">IF(P35="FAIL","Per-unit TDC "&amp;TEXT(N35,"$#,##0")&amp;" exceeds QAP max "&amp;TEXT(O35,"$#,##0"),"")</f>
        <v/>
      </c>
      <c r="T35" s="294">
        <f ca="1">IF($R35="APP-SIDE",99,IF($P35="FAIL",IF($Q35="error",1,2),IF($P35="PENDING",3,90)))</f>
        <v>90</v>
      </c>
      <c r="U35" s="294"/>
      <c r="V35" s="294" t="str">
        <f ca="1">IF(T35&lt;90,T35*1000+ROW(),"")</f>
        <v/>
      </c>
    </row>
    <row r="36" spans="1:22" x14ac:dyDescent="0.25">
      <c r="A36" s="292"/>
      <c r="B36" s="292"/>
      <c r="C36" s="292"/>
      <c r="D36" s="292"/>
      <c r="E36" s="292"/>
      <c r="F36" s="292"/>
      <c r="G36" s="292"/>
      <c r="H36" s="292"/>
      <c r="I36" s="292"/>
      <c r="J36" s="298">
        <v>34</v>
      </c>
      <c r="K36" s="294" t="s">
        <v>743</v>
      </c>
      <c r="L36" s="294" t="s">
        <v>587</v>
      </c>
      <c r="M36" s="294" t="s">
        <v>744</v>
      </c>
      <c r="N36" s="300">
        <f ca="1">'Sources &amp; Uses'!I78</f>
        <v>50848028.30279091</v>
      </c>
      <c r="O36" s="300">
        <f>'Sources &amp; Uses'!I86</f>
        <v>69223310</v>
      </c>
      <c r="P36" s="298" t="str">
        <f ca="1">IF(N36&lt;=O36,"PASS","FAIL")</f>
        <v>PASS</v>
      </c>
      <c r="Q36" s="294" t="s">
        <v>410</v>
      </c>
      <c r="R36" s="294" t="s">
        <v>411</v>
      </c>
      <c r="S36" s="294" t="str">
        <f ca="1">IF(P36="FAIL","Total TDC "&amp;TEXT(N36,"$#,##0")&amp;" exceeds QAP max "&amp;TEXT(O36,"$#,##0"),"")</f>
        <v/>
      </c>
      <c r="T36" s="294">
        <f ca="1">IF($R36="APP-SIDE",99,IF($P36="FAIL",IF($Q36="error",1,2),IF($P36="PENDING",3,90)))</f>
        <v>90</v>
      </c>
      <c r="U36" s="294"/>
      <c r="V36" s="294" t="str">
        <f ca="1">IF(T36&lt;90,T36*1000+ROW(),"")</f>
        <v/>
      </c>
    </row>
    <row r="37" spans="1:22" x14ac:dyDescent="0.25">
      <c r="A37" s="292"/>
      <c r="B37" s="292"/>
      <c r="C37" s="292"/>
      <c r="D37" s="292"/>
      <c r="E37" s="292"/>
      <c r="F37" s="292"/>
      <c r="G37" s="292"/>
      <c r="H37" s="292"/>
      <c r="I37" s="292"/>
      <c r="J37" s="292"/>
      <c r="K37" s="292"/>
      <c r="L37" s="292"/>
      <c r="M37" s="292"/>
      <c r="N37" s="292"/>
      <c r="O37" s="292"/>
      <c r="P37" s="292"/>
      <c r="Q37" s="292"/>
      <c r="R37" s="292"/>
      <c r="S37" s="292"/>
      <c r="T37" s="292"/>
      <c r="U37" s="292"/>
      <c r="V37" s="292"/>
    </row>
    <row r="56" spans="12:19" x14ac:dyDescent="0.25">
      <c r="L56" s="394" t="s">
        <v>762</v>
      </c>
      <c r="M56" s="394"/>
      <c r="N56" s="394"/>
      <c r="O56" s="394"/>
      <c r="P56" s="394"/>
      <c r="Q56" s="394"/>
      <c r="R56" s="394"/>
      <c r="S56" s="394"/>
    </row>
    <row r="57" spans="12:19" x14ac:dyDescent="0.25">
      <c r="L57" s="47" t="s">
        <v>760</v>
      </c>
      <c r="M57" s="47" t="s">
        <v>231</v>
      </c>
      <c r="N57" s="47" t="s">
        <v>763</v>
      </c>
      <c r="O57" s="47" t="s">
        <v>750</v>
      </c>
      <c r="P57" s="47" t="s">
        <v>764</v>
      </c>
      <c r="Q57" s="47" t="s">
        <v>752</v>
      </c>
      <c r="R57" s="47" t="s">
        <v>765</v>
      </c>
      <c r="S57" s="47" t="s">
        <v>766</v>
      </c>
    </row>
    <row r="58" spans="12:19" x14ac:dyDescent="0.25">
      <c r="L58">
        <v>0</v>
      </c>
      <c r="M58" s="305">
        <f>SUMIF('Unit Mix+Rents'!$A$4:$A$13,L58,'Unit Mix+Rents'!$D$4:$D$13)</f>
        <v>0</v>
      </c>
      <c r="N58" s="306">
        <v>199618</v>
      </c>
      <c r="O58" s="306">
        <v>172976</v>
      </c>
      <c r="P58" s="306">
        <v>156737</v>
      </c>
      <c r="Q58" s="306">
        <v>161035</v>
      </c>
      <c r="R58" s="306">
        <f>INDEX(N58:Q58,MATCH($B$10,$N$57:$Q$57,0))</f>
        <v>156737</v>
      </c>
      <c r="S58" s="306">
        <f>M58*R58</f>
        <v>0</v>
      </c>
    </row>
    <row r="59" spans="12:19" x14ac:dyDescent="0.25">
      <c r="L59">
        <v>1</v>
      </c>
      <c r="M59" s="305">
        <f>SUMIF('Unit Mix+Rents'!$A$4:$A$13,L59,'Unit Mix+Rents'!$D$4:$D$13)</f>
        <v>110</v>
      </c>
      <c r="N59" s="306">
        <v>258890</v>
      </c>
      <c r="O59" s="306">
        <v>227077</v>
      </c>
      <c r="P59" s="306">
        <v>213098</v>
      </c>
      <c r="Q59" s="306">
        <v>225448</v>
      </c>
      <c r="R59" s="306">
        <f>INDEX(N59:Q59,MATCH($B$10,$N$57:$Q$57,0))</f>
        <v>213098</v>
      </c>
      <c r="S59" s="306">
        <f>M59*R59</f>
        <v>23440780</v>
      </c>
    </row>
    <row r="60" spans="12:19" x14ac:dyDescent="0.25">
      <c r="L60">
        <v>2</v>
      </c>
      <c r="M60" s="305">
        <f>SUMIF('Unit Mix+Rents'!$A$4:$A$13,L60,'Unit Mix+Rents'!$D$4:$D$13)</f>
        <v>170</v>
      </c>
      <c r="N60" s="306">
        <v>310326</v>
      </c>
      <c r="O60" s="306">
        <v>276477</v>
      </c>
      <c r="P60" s="306">
        <v>269309</v>
      </c>
      <c r="Q60" s="306">
        <v>289862</v>
      </c>
      <c r="R60" s="306">
        <f>INDEX(N60:Q60,MATCH($B$10,$N$57:$Q$57,0))</f>
        <v>269309</v>
      </c>
      <c r="S60" s="306">
        <f>M60*R60</f>
        <v>45782530</v>
      </c>
    </row>
    <row r="61" spans="12:19" x14ac:dyDescent="0.25">
      <c r="L61">
        <v>3</v>
      </c>
      <c r="M61" s="305">
        <f>SUMIF('Unit Mix+Rents'!$A$4:$A$13,L61,'Unit Mix+Rents'!$D$4:$D$13)</f>
        <v>0</v>
      </c>
      <c r="N61" s="306">
        <v>370970</v>
      </c>
      <c r="O61" s="306">
        <v>339946</v>
      </c>
      <c r="P61" s="306">
        <v>354388</v>
      </c>
      <c r="Q61" s="306">
        <v>386483</v>
      </c>
      <c r="R61" s="306">
        <f>INDEX(N61:Q61,MATCH($B$10,$N$57:$Q$57,0))</f>
        <v>354388</v>
      </c>
      <c r="S61" s="306">
        <f>M61*R61</f>
        <v>0</v>
      </c>
    </row>
    <row r="62" spans="12:19" x14ac:dyDescent="0.25">
      <c r="L62">
        <v>4</v>
      </c>
      <c r="M62" s="305">
        <f>SUMIF('Unit Mix+Rents'!$A$4:$A$13,L62,'Unit Mix+Rents'!$D$4:$D$13)</f>
        <v>0</v>
      </c>
      <c r="N62" s="306">
        <v>437537</v>
      </c>
      <c r="O62" s="306">
        <v>404791</v>
      </c>
      <c r="P62" s="306">
        <v>438588</v>
      </c>
      <c r="Q62" s="306">
        <v>483104</v>
      </c>
      <c r="R62" s="306">
        <f>INDEX(N62:Q62,MATCH($B$10,$N$57:$Q$57,0))</f>
        <v>438588</v>
      </c>
      <c r="S62" s="306">
        <f>M62*R62</f>
        <v>0</v>
      </c>
    </row>
    <row r="63" spans="12:19" x14ac:dyDescent="0.25">
      <c r="N63" s="306"/>
      <c r="O63" s="307"/>
      <c r="P63" s="308"/>
      <c r="R63" s="150" t="s">
        <v>761</v>
      </c>
      <c r="S63" s="308">
        <f>SUM(S58:S62)</f>
        <v>69223310</v>
      </c>
    </row>
  </sheetData>
  <mergeCells count="1">
    <mergeCell ref="L56:S56"/>
  </mergeCells>
  <conditionalFormatting sqref="E3:E18">
    <cfRule type="expression" dxfId="1" priority="1">
      <formula>AND(E3&lt;&gt;"",OR(E3&lt;DSCRFloor,E3&gt;DSCRCeil))</formula>
    </cfRule>
    <cfRule type="expression" dxfId="0" priority="2">
      <formula>AND(E3&lt;&gt;"",E3&gt;=DSCRFloor,E3&lt;=DSCRCeil)</formula>
    </cfRule>
  </conditionalFormatting>
  <dataValidations count="6">
    <dataValidation type="list" allowBlank="1" showInputMessage="1" showErrorMessage="1" sqref="B9" xr:uid="{C3DF41BB-9A4B-4FEE-8783-7A1422A9FE8B}">
      <formula1>"Metro,Rural,Rural QNP-CHDO,Reprocessing"</formula1>
    </dataValidation>
    <dataValidation type="list" allowBlank="1" showInputMessage="1" showErrorMessage="1" sqref="B8" xr:uid="{A90623F8-DE77-4EBE-B69E-AC50460799FF}">
      <formula1>"Private,Public"</formula1>
    </dataValidation>
    <dataValidation type="list" allowBlank="1" showInputMessage="1" showErrorMessage="1" sqref="B6:B7" xr:uid="{B633CDE1-DDD4-4B0A-BAAE-7282BC12F307}">
      <formula1>"Yes,No"</formula1>
    </dataValidation>
    <dataValidation type="list" allowBlank="1" showInputMessage="1" showErrorMessage="1" sqref="B5" xr:uid="{EC1E99D3-D4B6-4F61-AAC1-41028B25A727}">
      <formula1>"4% bond,9% competitive"</formula1>
    </dataValidation>
    <dataValidation type="list" allowBlank="1" showInputMessage="1" showErrorMessage="1" sqref="B4" xr:uid="{08F6FFB9-9A5E-48CC-8E38-F3ABB60D5B6C}">
      <formula1>"Senior,Family,Rehab"</formula1>
    </dataValidation>
    <dataValidation type="list" allowBlank="1" showInputMessage="1" showErrorMessage="1" sqref="B10" xr:uid="{691911C1-D136-4F9C-BEFA-782C99D71FA2}">
      <formula1>"Detached/Semi-Detached,Row House,Walk-up,Elevator"</formula1>
    </dataValidation>
  </dataValidation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criptIds xmlns="http://schemas.microsoft.com/office/extensibility/maker/v1.0" id="script-ids-node-id">
  <scriptId id="ms-officescript%3A%2F%2Fonedrive_business_itemlink%2F017SQNN5W2QGM2SRUEGVB3NGGGF33WYH6A:ms-officescript%3A%2F%2Fonedrive_business_sharinglink%2Fu!aHR0cHM6Ly9yaXNlcmVzaWRlbnRpYWwtbXkuc2hhcmVwb2ludC5jb20vOnU6L2cvcGVyc29uYWwvdnZhc2Fuamlfc29ub21hYWR2aXNvcnNfY29tL0lRRGFnWm1wUm9RMVE3YVl4aTczYkJfQUFiTXJSNEo3V3V4TVN1aXFKc3Y4dWVn"/>
</scriptIds>
</file>

<file path=customXml/itemProps1.xml><?xml version="1.0" encoding="utf-8"?>
<ds:datastoreItem xmlns:ds="http://schemas.openxmlformats.org/officeDocument/2006/customXml" ds:itemID="{7042FC01-F84F-4EE4-93F5-B8A4F8896734}">
  <ds:schemaRefs>
    <ds:schemaRef ds:uri="http://schemas.microsoft.com/office/extensibility/maker/v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57</vt:i4>
      </vt:variant>
    </vt:vector>
  </HeadingPairs>
  <TitlesOfParts>
    <vt:vector size="73" baseType="lpstr">
      <vt:lpstr>Model Scorecard</vt:lpstr>
      <vt:lpstr>Unit Mix+Rents</vt:lpstr>
      <vt:lpstr>Expense Detail</vt:lpstr>
      <vt:lpstr>Construction Estimates</vt:lpstr>
      <vt:lpstr>Sources &amp; Uses</vt:lpstr>
      <vt:lpstr>S&amp;U Timing</vt:lpstr>
      <vt:lpstr>NOI Calc</vt:lpstr>
      <vt:lpstr>Lease-Up Period</vt:lpstr>
      <vt:lpstr>17-year Pro Forma</vt:lpstr>
      <vt:lpstr>Surplus Cash-Reserve Waterfall</vt:lpstr>
      <vt:lpstr>Tax Credit Calc</vt:lpstr>
      <vt:lpstr>Financing Assumptions</vt:lpstr>
      <vt:lpstr>Valuation</vt:lpstr>
      <vt:lpstr>Loan Amortization</vt:lpstr>
      <vt:lpstr>QAP_Rule_Register</vt:lpstr>
      <vt:lpstr>Dashboard Calc</vt:lpstr>
      <vt:lpstr>AMFeeCap</vt:lpstr>
      <vt:lpstr>ArchPct</vt:lpstr>
      <vt:lpstr>BoostCapPct</vt:lpstr>
      <vt:lpstr>BoostEligible</vt:lpstr>
      <vt:lpstr>BuilderOHPct</vt:lpstr>
      <vt:lpstr>BuilderProfitPct</vt:lpstr>
      <vt:lpstr>BuildingType</vt:lpstr>
      <vt:lpstr>CashFlowCeilPct</vt:lpstr>
      <vt:lpstr>ContingencyPct</vt:lpstr>
      <vt:lpstr>CreditType</vt:lpstr>
      <vt:lpstr>DeferredFee</vt:lpstr>
      <vt:lpstr>DevFeeCapAbs</vt:lpstr>
      <vt:lpstr>DevFeeCapPct</vt:lpstr>
      <vt:lpstr>DSCR15Floor</vt:lpstr>
      <vt:lpstr>DSCRCeil</vt:lpstr>
      <vt:lpstr>DSCRFloor</vt:lpstr>
      <vt:lpstr>ExpTrendMin</vt:lpstr>
      <vt:lpstr>GenReqPct</vt:lpstr>
      <vt:lpstr>HUDTDCLimit</vt:lpstr>
      <vt:lpstr>OpexMinPU</vt:lpstr>
      <vt:lpstr>OpReserveFrac</vt:lpstr>
      <vt:lpstr>Pool</vt:lpstr>
      <vt:lpstr>PoolCapMetro</vt:lpstr>
      <vt:lpstr>PoolCapReproc</vt:lpstr>
      <vt:lpstr>PoolCapRural</vt:lpstr>
      <vt:lpstr>PoolCapRuralQNP</vt:lpstr>
      <vt:lpstr>'17-year Pro Forma'!Print_Area</vt:lpstr>
      <vt:lpstr>'Expense Detail'!Print_Area</vt:lpstr>
      <vt:lpstr>'Financing Assumptions'!Print_Area</vt:lpstr>
      <vt:lpstr>'Lease-Up Period'!Print_Area</vt:lpstr>
      <vt:lpstr>'Loan Amortization'!Print_Area</vt:lpstr>
      <vt:lpstr>'Model Scorecard'!Print_Area</vt:lpstr>
      <vt:lpstr>'NOI Calc'!Print_Area</vt:lpstr>
      <vt:lpstr>'S&amp;U Timing'!Print_Area</vt:lpstr>
      <vt:lpstr>'Sources &amp; Uses'!Print_Area</vt:lpstr>
      <vt:lpstr>'Tax Credit Calc'!Print_Area</vt:lpstr>
      <vt:lpstr>'17-year Pro Forma'!Print_Titles</vt:lpstr>
      <vt:lpstr>'Expense Detail'!Print_Titles</vt:lpstr>
      <vt:lpstr>'Financing Assumptions'!Print_Titles</vt:lpstr>
      <vt:lpstr>'Lease-Up Period'!Print_Titles</vt:lpstr>
      <vt:lpstr>'Loan Amortization'!Print_Titles</vt:lpstr>
      <vt:lpstr>'NOI Calc'!Print_Titles</vt:lpstr>
      <vt:lpstr>'S&amp;U Timing'!Print_Titles</vt:lpstr>
      <vt:lpstr>'Sources &amp; Uses'!Print_Titles</vt:lpstr>
      <vt:lpstr>'Tax Credit Calc'!Print_Titles</vt:lpstr>
      <vt:lpstr>ProjectName</vt:lpstr>
      <vt:lpstr>ProjectType</vt:lpstr>
      <vt:lpstr>RDHUD</vt:lpstr>
      <vt:lpstr>RentTrendMax</vt:lpstr>
      <vt:lpstr>ReserveFloorFamily</vt:lpstr>
      <vt:lpstr>ReserveFloorRehab</vt:lpstr>
      <vt:lpstr>ReserveFloorSenior</vt:lpstr>
      <vt:lpstr>SUBalanceTol</vt:lpstr>
      <vt:lpstr>SyndCapPriv</vt:lpstr>
      <vt:lpstr>SyndCapPub</vt:lpstr>
      <vt:lpstr>Syndication</vt:lpstr>
      <vt:lpstr>VacancyMin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Vasanji</dc:creator>
  <cp:lastModifiedBy>Vishal Vasanji</cp:lastModifiedBy>
  <cp:lastPrinted>2026-06-30T18:10:26Z</cp:lastPrinted>
  <dcterms:created xsi:type="dcterms:W3CDTF">2026-02-26T21:19:10Z</dcterms:created>
  <dcterms:modified xsi:type="dcterms:W3CDTF">2026-08-28T17:30:48Z</dcterms:modified>
</cp:coreProperties>
</file>